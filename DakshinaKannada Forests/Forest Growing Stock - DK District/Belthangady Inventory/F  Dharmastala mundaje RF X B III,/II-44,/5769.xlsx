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DC52F8A2-B9DA-47B7-B7ED-CD5123434BBC}" xr6:coauthVersionLast="47" xr6:coauthVersionMax="47" xr10:uidLastSave="{00000000-0000-0000-0000-000000000000}"/>
  <bookViews>
    <workbookView xWindow="390" yWindow="39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9" l="1"/>
  <c r="F40" i="9"/>
  <c r="F39" i="9"/>
  <c r="F11" i="9"/>
  <c r="F10" i="9"/>
  <c r="F9" i="9"/>
  <c r="F8" i="9"/>
  <c r="F7" i="9"/>
  <c r="F6" i="9"/>
  <c r="G96" i="8"/>
  <c r="G72" i="8"/>
  <c r="G71" i="8"/>
  <c r="G70" i="8"/>
  <c r="G69" i="8"/>
  <c r="G38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<sst xmlns="http://schemas.openxmlformats.org/spreadsheetml/2006/main" count="473" uniqueCount="323">
  <si>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</si>
  <si>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</si>
  <si>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</si>
  <si>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</si>
  <si>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</si>
  <si>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</si>
  <si>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</si>
  <si>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</si>
  <si>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</si>
  <si>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</si>
  <si>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</si>
  <si>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</si>
  <si>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</si>
  <si>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</si>
  <si>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</si>
  <si>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</si>
  <si>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</si>
  <si>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</si>
  <si>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</si>
  <si>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</si>
  <si>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</si>
  <si>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</si>
  <si>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</si>
  <si>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</si>
  <si>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</si>
  <si>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</si>
  <si>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</si>
  <si>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</si>
  <si>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</si>
  <si>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</si>
  <si>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</si>
  <si>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</si>
  <si>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</si>
  <si>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</si>
  <si>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</si>
  <si>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</si>
  <si>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</si>
  <si>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</si>
  <si>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</si>
  <si>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</si>
  <si>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</si>
  <si>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</si>
  <si>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</si>
  <si>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</si>
  <si>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</si>
  <si>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</si>
  <si>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</si>
  <si>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</si>
  <si>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</si>
  <si>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</si>
  <si>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</si>
  <si>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</si>
  <si>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</si>
  <si>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</si>
  <si>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</si>
  <si>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</si>
  <si>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</si>
  <si>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</si>
  <si>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</si>
  <si>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</si>
  <si>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</si>
  <si>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</si>
  <si>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</si>
  <si>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</si>
  <si>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</si>
  <si>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</si>
  <si>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</si>
  <si>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</si>
  <si>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</si>
  <si>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</si>
  <si>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</si>
  <si>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</si>
  <si>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</si>
  <si>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</si>
  <si>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</si>
  <si>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</si>
  <si>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</si>
  <si>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</si>
  <si>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</si>
  <si>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</si>
  <si>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</si>
  <si>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</si>
  <si>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</si>
  <si>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</si>
  <si>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</si>
  <si>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</si>
  <si>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</si>
  <si>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</si>
  <si>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</si>
  <si>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</si>
  <si>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</si>
  <si>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</si>
  <si>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</si>
  <si>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</si>
  <si>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</si>
  <si>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</si>
  <si>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</si>
  <si>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</si>
  <si>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</si>
  <si>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</si>
  <si>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</si>
  <si>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</si>
  <si>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</si>
  <si>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</si>
  <si>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</si>
  <si>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</si>
  <si>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</si>
  <si>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</si>
  <si>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</si>
  <si>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</si>
  <si>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</si>
  <si>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</si>
  <si>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</si>
  <si>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</si>
  <si>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</si>
  <si>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</si>
  <si>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</si>
  <si>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</si>
  <si>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</si>
  <si>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</si>
  <si>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</si>
  <si>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</si>
  <si>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</si>
  <si>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</si>
  <si>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</si>
  <si>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</si>
  <si>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</si>
  <si>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</si>
  <si>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</si>
  <si>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</si>
  <si>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</si>
  <si>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</si>
  <si>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</si>
  <si>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</si>
  <si>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</si>
  <si>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</si>
  <si>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</si>
  <si>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</si>
  <si>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</si>
  <si>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</si>
  <si>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</si>
  <si>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</si>
  <si>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</si>
  <si>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</si>
  <si>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</si>
  <si>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</si>
  <si>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</si>
  <si>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</si>
  <si>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</si>
  <si>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</si>
  <si>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</si>
  <si>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</si>
  <si>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</si>
  <si>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</si>
  <si>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</si>
  <si>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</si>
  <si>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</si>
  <si>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</si>
  <si>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</si>
  <si>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</si>
  <si>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</si>
  <si>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</si>
  <si>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</si>
  <si>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</si>
  <si>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</si>
  <si>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</si>
  <si>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</si>
  <si>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</si>
  <si>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</si>
  <si>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</si>
  <si>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</si>
  <si>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</si>
  <si>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</si>
  <si>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</si>
  <si>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</si>
  <si>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</si>
  <si>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</si>
  <si>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</si>
  <si>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</si>
  <si>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</si>
  <si>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</si>
  <si>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</si>
  <si>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</si>
  <si>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</si>
  <si>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</si>
  <si>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</si>
  <si>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</si>
  <si>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</si>
  <si>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</si>
  <si>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</si>
  <si>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</si>
  <si>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</si>
  <si>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</si>
  <si>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</si>
  <si>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</si>
  <si>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</si>
  <si>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</si>
  <si>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</si>
  <si>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</si>
  <si>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</si>
  <si>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</si>
  <si>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</si>
  <si>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</si>
  <si>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</si>
  <si>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</si>
  <si>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</si>
  <si>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</si>
  <si>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</si>
  <si>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</si>
  <si>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</si>
  <si>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</si>
  <si>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</si>
  <si>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</si>
  <si>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</si>
  <si>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</si>
  <si>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</si>
  <si>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</si>
  <si>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</si>
  <si>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</si>
  <si>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</si>
  <si>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</si>
  <si>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</si>
  <si>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</si>
  <si>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</si>
  <si>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</si>
  <si>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</si>
  <si>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</si>
  <si>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</si>
  <si>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</si>
  <si>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</si>
  <si>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</si>
  <si>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</si>
  <si>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</si>
  <si>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</si>
  <si>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</si>
  <si>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</si>
  <si>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</si>
  <si>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</si>
  <si>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</si>
  <si>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</si>
  <si>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</si>
  <si>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</si>
  <si>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</si>
  <si>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0.5-0.75</t>
  </si>
  <si>
    <t>length of the log (m)</t>
  </si>
  <si>
    <t>NIL</t>
  </si>
  <si>
    <t>Mangalore</t>
  </si>
  <si>
    <t>Soil -   Humus rich loamy soil</t>
  </si>
  <si>
    <t xml:space="preserve">Xylia xylocarpa , Terminalia paniculata , Terminalia bellarica , Sterculia guttata , Holarrhena antidysenterica </t>
  </si>
  <si>
    <t>Canopy Dencity -  0.71</t>
  </si>
  <si>
    <t>Grasses -  cynodon dactylons , panicum sp</t>
  </si>
  <si>
    <t>Weeds -  Lantana camera, Cyndrella nudiflora</t>
  </si>
  <si>
    <t>Bamboos -  Bambusa bambos</t>
  </si>
  <si>
    <t xml:space="preserve">Herbs -  Derris sp , Asparagus recmosus </t>
  </si>
  <si>
    <t xml:space="preserve">Shrubs - Psychotria dalzelli </t>
  </si>
  <si>
    <t>Underwood species –  Memecylon talbotianum , Randia dumetorium</t>
  </si>
  <si>
    <t xml:space="preserve">Climbers - Getonia floribunda , Piper nigrum </t>
  </si>
  <si>
    <t xml:space="preserve">Rattans –Calamus thwiitesii </t>
  </si>
  <si>
    <t xml:space="preserve">NTFP yieding sps –Terminalia bellarica </t>
  </si>
  <si>
    <t>3.2m</t>
  </si>
  <si>
    <t>Texture- Smooth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</si>
  <si>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</si>
  <si>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</si>
  <si>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</si>
  <si>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</si>
  <si>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t xml:space="preserve">Xylia xylocarpa , Albizia lebbeck , Macaranga peltata 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</si>
  <si>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</si>
  <si>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</si>
  <si>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</si>
  <si>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</si>
  <si>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 xml:space="preserve">Xylia xylocarpa </t>
  </si>
  <si>
    <t xml:space="preserve">Terminalia paniculata </t>
  </si>
  <si>
    <t>Holarrhena antidysenterica</t>
  </si>
  <si>
    <t xml:space="preserve">Alseodaphne semicarpifolia </t>
  </si>
  <si>
    <t xml:space="preserve">Albizia lebbeck </t>
  </si>
  <si>
    <t xml:space="preserve">Terminalia bellarica </t>
  </si>
  <si>
    <t xml:space="preserve">Sterculia guttata </t>
  </si>
  <si>
    <t xml:space="preserve">Macaranga peltata </t>
  </si>
  <si>
    <t>Memecylon talbotianum</t>
  </si>
  <si>
    <t>Terminalia paniculata</t>
  </si>
  <si>
    <t xml:space="preserve">Holarrhena antidysenterica </t>
  </si>
  <si>
    <t xml:space="preserve">Psychotria flavida </t>
  </si>
  <si>
    <t xml:space="preserve">Memecylon talbotianum </t>
  </si>
  <si>
    <t>Kaadu coffee</t>
  </si>
  <si>
    <t>Xylia xylocarpa</t>
  </si>
  <si>
    <t>Jambe</t>
  </si>
  <si>
    <t>Terminalia bellarica</t>
  </si>
  <si>
    <t>Taare</t>
  </si>
  <si>
    <t>Matti</t>
  </si>
  <si>
    <t>128g</t>
  </si>
  <si>
    <t>769g</t>
  </si>
  <si>
    <t>1.3Kg</t>
  </si>
  <si>
    <t>266g</t>
  </si>
  <si>
    <t>3.9Kg</t>
  </si>
  <si>
    <t>162g</t>
  </si>
  <si>
    <t>862g</t>
  </si>
  <si>
    <t>722g</t>
  </si>
  <si>
    <t>230g</t>
  </si>
  <si>
    <t>2.3Kg</t>
  </si>
  <si>
    <t>Battalachandalike</t>
  </si>
  <si>
    <t>Travel from Ujire towards Dharmasthala  up to N 12.937385°   E 75.398586° by vehicle and then walk  305  m in the bearing of  286  degree to reach the grid.</t>
  </si>
  <si>
    <t>Tract -  Flat</t>
  </si>
  <si>
    <t>Aspect -  No aspect</t>
  </si>
  <si>
    <t>Moderate</t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</si>
  <si>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</si>
  <si>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</si>
  <si>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</si>
  <si>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</si>
  <si>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Fungi, Inscects, Humans</t>
  </si>
  <si>
    <t xml:space="preserve">450 ft </t>
  </si>
  <si>
    <t>Belthangady</t>
  </si>
  <si>
    <t>Dharmastala Mundaje RF X B III</t>
  </si>
  <si>
    <t>II-44</t>
  </si>
  <si>
    <t>Huli Toradu</t>
  </si>
  <si>
    <t>Baage Mara</t>
  </si>
  <si>
    <t>leaves, furits</t>
  </si>
  <si>
    <t>stem, bark</t>
  </si>
  <si>
    <t>Edible fruits, Fiber</t>
  </si>
  <si>
    <t xml:space="preserve">Bark , seeds </t>
  </si>
  <si>
    <t xml:space="preserve">fruit pulp, seed </t>
  </si>
  <si>
    <t>leaves</t>
  </si>
  <si>
    <t>stems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</si>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</sst>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5" sqref="C5: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310</v>
      </c>
    </row>
    <row r="6" spans="1:3" ht="39" customHeight="1" x14ac:dyDescent="0.25">
      <c r="A6" s="4">
        <v>2</v>
      </c>
      <c r="B6" s="51" t="s">
        <v>7</v>
      </c>
      <c r="C6" s="8" t="s">
        <v>311</v>
      </c>
    </row>
    <row r="7" spans="1:3" ht="39" customHeight="1" x14ac:dyDescent="0.25">
      <c r="A7" s="4">
        <v>3</v>
      </c>
      <c r="B7" s="51" t="s">
        <v>8</v>
      </c>
      <c r="C7" s="8" t="s">
        <v>312</v>
      </c>
    </row>
    <row r="8" spans="1:3" ht="39" customHeight="1" x14ac:dyDescent="0.25">
      <c r="A8" s="4">
        <v>4</v>
      </c>
      <c r="B8" s="51" t="s">
        <v>9</v>
      </c>
      <c r="C8" s="8">
        <v>5769</v>
      </c>
    </row>
    <row r="9" spans="1:3" ht="39" customHeight="1" x14ac:dyDescent="0.25">
      <c r="A9" s="4">
        <v>5</v>
      </c>
      <c r="B9" s="51" t="s">
        <v>10</v>
      </c>
      <c r="C9" s="9">
        <v>12.938167999999999</v>
      </c>
    </row>
    <row r="10" spans="1:3" ht="39" customHeight="1" x14ac:dyDescent="0.25">
      <c r="A10" s="4">
        <v>6</v>
      </c>
      <c r="B10" s="51" t="s">
        <v>11</v>
      </c>
      <c r="C10" s="9">
        <v>75.395916999999997</v>
      </c>
    </row>
    <row r="11" spans="1:3" ht="141.75" customHeight="1" x14ac:dyDescent="0.25">
      <c r="A11" s="4">
        <v>7</v>
      </c>
      <c r="B11" s="51" t="s">
        <v>12</v>
      </c>
      <c r="C11" s="53" t="s">
        <v>300</v>
      </c>
    </row>
    <row r="12" spans="1:3" ht="98.25" customHeight="1" x14ac:dyDescent="0.25">
      <c r="A12" s="4">
        <v>8</v>
      </c>
      <c r="B12" s="51" t="s">
        <v>13</v>
      </c>
      <c r="C12" s="10" t="s">
        <v>248</v>
      </c>
    </row>
    <row r="13" spans="1:3" ht="32.25" customHeight="1" x14ac:dyDescent="0.25">
      <c r="A13" s="55">
        <v>9</v>
      </c>
      <c r="B13" s="56" t="s">
        <v>14</v>
      </c>
      <c r="C13" s="6" t="s">
        <v>301</v>
      </c>
    </row>
    <row r="14" spans="1:3" ht="32.25" customHeight="1" x14ac:dyDescent="0.25">
      <c r="A14" s="55"/>
      <c r="B14" s="56"/>
      <c r="C14" s="6" t="s">
        <v>302</v>
      </c>
    </row>
    <row r="15" spans="1:3" ht="32.25" customHeight="1" x14ac:dyDescent="0.25">
      <c r="A15" s="55"/>
      <c r="B15" s="56"/>
      <c r="C15" s="6" t="s">
        <v>249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250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252</v>
      </c>
    </row>
    <row r="20" spans="1:3" ht="57.75" customHeight="1" x14ac:dyDescent="0.25">
      <c r="A20" s="55"/>
      <c r="B20" s="56"/>
      <c r="C20" s="6" t="s">
        <v>253</v>
      </c>
    </row>
    <row r="21" spans="1:3" ht="63" customHeight="1" x14ac:dyDescent="0.25">
      <c r="A21" s="55"/>
      <c r="B21" s="56"/>
      <c r="C21" s="6" t="s">
        <v>254</v>
      </c>
    </row>
    <row r="22" spans="1:3" ht="63" customHeight="1" x14ac:dyDescent="0.25">
      <c r="A22" s="55"/>
      <c r="B22" s="56"/>
      <c r="C22" s="6" t="s">
        <v>255</v>
      </c>
    </row>
    <row r="23" spans="1:3" ht="63" customHeight="1" x14ac:dyDescent="0.25">
      <c r="A23" s="55"/>
      <c r="B23" s="56"/>
      <c r="C23" s="6" t="s">
        <v>256</v>
      </c>
    </row>
    <row r="24" spans="1:3" ht="63" customHeight="1" x14ac:dyDescent="0.25">
      <c r="A24" s="55"/>
      <c r="B24" s="56"/>
      <c r="C24" s="6" t="s">
        <v>257</v>
      </c>
    </row>
    <row r="25" spans="1:3" ht="63" customHeight="1" x14ac:dyDescent="0.25">
      <c r="A25" s="55"/>
      <c r="B25" s="56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245</v>
      </c>
    </row>
    <row r="27" spans="1:3" ht="53.25" customHeight="1" x14ac:dyDescent="0.25">
      <c r="A27" s="4">
        <v>11</v>
      </c>
      <c r="B27" s="51" t="s">
        <v>16</v>
      </c>
      <c r="C27" s="6" t="s">
        <v>303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31" zoomScaleSheetLayoutView="100" workbookViewId="0">
      <selection activeCell="C32" sqref="C32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5769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12.938167999999999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75.395916999999997</v>
      </c>
    </row>
    <row r="11" spans="1:3" ht="32.25" customHeight="1" x14ac:dyDescent="0.25">
      <c r="A11" s="11">
        <v>7</v>
      </c>
      <c r="B11" s="52" t="s">
        <v>22</v>
      </c>
      <c r="C11" s="20" t="s">
        <v>309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304</v>
      </c>
    </row>
    <row r="15" spans="1:3" ht="25.5" customHeight="1" x14ac:dyDescent="0.25">
      <c r="A15" s="11">
        <v>11</v>
      </c>
      <c r="B15" s="52" t="s">
        <v>26</v>
      </c>
      <c r="C15" s="22" t="s">
        <v>305</v>
      </c>
    </row>
    <row r="16" spans="1:3" ht="37.5" customHeight="1" x14ac:dyDescent="0.25">
      <c r="A16" s="11">
        <v>12</v>
      </c>
      <c r="B16" s="52" t="s">
        <v>27</v>
      </c>
      <c r="C16" s="22" t="s">
        <v>306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265</v>
      </c>
    </row>
    <row r="23" spans="1:3" ht="15.75" x14ac:dyDescent="0.25">
      <c r="A23" s="11">
        <v>17</v>
      </c>
      <c r="B23" s="52" t="s">
        <v>220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308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245</v>
      </c>
    </row>
    <row r="31" spans="1:3" ht="72.75" customHeight="1" x14ac:dyDescent="0.25">
      <c r="A31" s="11">
        <v>25</v>
      </c>
      <c r="B31" s="52" t="s">
        <v>40</v>
      </c>
      <c r="C31" s="22" t="s">
        <v>245</v>
      </c>
    </row>
    <row r="32" spans="1:3" ht="60" customHeight="1" x14ac:dyDescent="0.25">
      <c r="A32" s="11">
        <v>26</v>
      </c>
      <c r="B32" s="52" t="s">
        <v>41</v>
      </c>
      <c r="C32" s="22" t="s">
        <v>245</v>
      </c>
    </row>
    <row r="33" spans="1:3" ht="60" customHeight="1" x14ac:dyDescent="0.25">
      <c r="A33" s="11">
        <v>27</v>
      </c>
      <c r="B33" s="52" t="s">
        <v>42</v>
      </c>
      <c r="C33" s="20" t="s">
        <v>307</v>
      </c>
    </row>
    <row r="34" spans="1:3" ht="57.75" customHeight="1" x14ac:dyDescent="0.25">
      <c r="A34" s="11">
        <v>28</v>
      </c>
      <c r="B34" s="52" t="s">
        <v>43</v>
      </c>
      <c r="C34" s="22" t="s">
        <v>245</v>
      </c>
    </row>
    <row r="35" spans="1:3" ht="59.25" customHeight="1" x14ac:dyDescent="0.25">
      <c r="A35" s="11">
        <v>29</v>
      </c>
      <c r="B35" s="52" t="s">
        <v>44</v>
      </c>
      <c r="C35" s="22" t="s">
        <v>245</v>
      </c>
    </row>
    <row r="36" spans="1:3" ht="66" customHeight="1" x14ac:dyDescent="0.25">
      <c r="A36" s="11">
        <v>30</v>
      </c>
      <c r="B36" s="52" t="s">
        <v>223</v>
      </c>
      <c r="C36" s="22" t="s">
        <v>243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view="pageBreakPreview" topLeftCell="A26" zoomScale="60" zoomScaleNormal="70" workbookViewId="0">
      <selection activeCell="M21" sqref="M2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270</v>
      </c>
      <c r="C12" s="24"/>
      <c r="D12" s="24">
        <v>138</v>
      </c>
      <c r="E12" s="24"/>
      <c r="F12" s="24"/>
      <c r="G12" s="24"/>
      <c r="H12" s="24"/>
      <c r="I12" s="24">
        <v>6</v>
      </c>
      <c r="J12" s="24">
        <v>7</v>
      </c>
      <c r="K12" s="24">
        <f>L12+M12+R12</f>
        <v>14</v>
      </c>
      <c r="L12" s="24">
        <v>3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40" si="0">ROW()-11</f>
        <v>2</v>
      </c>
      <c r="B13" s="24" t="s">
        <v>271</v>
      </c>
      <c r="C13" s="24"/>
      <c r="D13" s="24">
        <v>113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40" si="1">L13+M13+R13</f>
        <v>12</v>
      </c>
      <c r="L13" s="24">
        <v>4</v>
      </c>
      <c r="M13" s="24">
        <v>2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34</v>
      </c>
      <c r="E14" s="24"/>
      <c r="F14" s="24"/>
      <c r="G14" s="24"/>
      <c r="H14" s="24"/>
      <c r="I14" s="24">
        <v>4.5</v>
      </c>
      <c r="J14" s="24">
        <v>4</v>
      </c>
      <c r="K14" s="24">
        <f t="shared" si="1"/>
        <v>9.5</v>
      </c>
      <c r="L14" s="24">
        <v>3</v>
      </c>
      <c r="M14" s="24">
        <v>2</v>
      </c>
      <c r="N14" s="24"/>
      <c r="O14" s="24"/>
      <c r="P14" s="24"/>
      <c r="Q14" s="24"/>
      <c r="R14" s="24">
        <v>4.5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46</v>
      </c>
      <c r="E15" s="24"/>
      <c r="F15" s="24"/>
      <c r="G15" s="24"/>
      <c r="H15" s="24"/>
      <c r="I15" s="24">
        <v>4</v>
      </c>
      <c r="J15" s="24">
        <v>3.5</v>
      </c>
      <c r="K15" s="24">
        <f t="shared" si="1"/>
        <v>10</v>
      </c>
      <c r="L15" s="24">
        <v>4</v>
      </c>
      <c r="M15" s="24">
        <v>3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270</v>
      </c>
      <c r="C16" s="24"/>
      <c r="D16" s="24">
        <v>62</v>
      </c>
      <c r="E16" s="24"/>
      <c r="F16" s="24"/>
      <c r="G16" s="24"/>
      <c r="H16" s="24"/>
      <c r="I16" s="24">
        <v>6</v>
      </c>
      <c r="J16" s="24">
        <v>5</v>
      </c>
      <c r="K16" s="24">
        <f t="shared" si="1"/>
        <v>11</v>
      </c>
      <c r="L16" s="24">
        <v>3</v>
      </c>
      <c r="M16" s="24">
        <v>4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171</v>
      </c>
      <c r="E17" s="24"/>
      <c r="F17" s="24"/>
      <c r="G17" s="24"/>
      <c r="H17" s="24"/>
      <c r="I17" s="24">
        <v>6</v>
      </c>
      <c r="J17" s="24">
        <v>7</v>
      </c>
      <c r="K17" s="24">
        <f t="shared" si="1"/>
        <v>12</v>
      </c>
      <c r="L17" s="24">
        <v>3</v>
      </c>
      <c r="M17" s="24">
        <v>4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274</v>
      </c>
      <c r="C18" s="24"/>
      <c r="D18" s="24">
        <v>120</v>
      </c>
      <c r="E18" s="24"/>
      <c r="F18" s="24"/>
      <c r="G18" s="24"/>
      <c r="H18" s="24"/>
      <c r="I18" s="24">
        <v>5</v>
      </c>
      <c r="J18" s="24">
        <v>6.5</v>
      </c>
      <c r="K18" s="24">
        <f t="shared" si="1"/>
        <v>14</v>
      </c>
      <c r="L18" s="24">
        <v>3</v>
      </c>
      <c r="M18" s="24">
        <v>4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271</v>
      </c>
      <c r="C19" s="24"/>
      <c r="D19" s="24">
        <v>96</v>
      </c>
      <c r="E19" s="24"/>
      <c r="F19" s="24"/>
      <c r="G19" s="24"/>
      <c r="H19" s="24"/>
      <c r="I19" s="24">
        <v>6</v>
      </c>
      <c r="J19" s="24">
        <v>6</v>
      </c>
      <c r="K19" s="24">
        <f t="shared" si="1"/>
        <v>13</v>
      </c>
      <c r="L19" s="24">
        <v>4</v>
      </c>
      <c r="M19" s="24">
        <v>4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271</v>
      </c>
      <c r="C20" s="24"/>
      <c r="D20" s="24">
        <v>81</v>
      </c>
      <c r="E20" s="24"/>
      <c r="F20" s="24"/>
      <c r="G20" s="24"/>
      <c r="H20" s="24"/>
      <c r="I20" s="24">
        <v>6.5</v>
      </c>
      <c r="J20" s="24">
        <v>7.5</v>
      </c>
      <c r="K20" s="24">
        <f t="shared" si="1"/>
        <v>13</v>
      </c>
      <c r="L20" s="24">
        <v>3</v>
      </c>
      <c r="M20" s="24">
        <v>4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275</v>
      </c>
      <c r="C21" s="24"/>
      <c r="D21" s="24">
        <v>183</v>
      </c>
      <c r="E21" s="24"/>
      <c r="F21" s="24"/>
      <c r="G21" s="24"/>
      <c r="H21" s="24"/>
      <c r="I21" s="24">
        <v>8</v>
      </c>
      <c r="J21" s="24">
        <v>9</v>
      </c>
      <c r="K21" s="24">
        <f t="shared" si="1"/>
        <v>16</v>
      </c>
      <c r="L21" s="24">
        <v>5</v>
      </c>
      <c r="M21" s="24">
        <v>3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276</v>
      </c>
      <c r="C22" s="24"/>
      <c r="D22" s="24">
        <v>151</v>
      </c>
      <c r="E22" s="24"/>
      <c r="F22" s="24"/>
      <c r="G22" s="24"/>
      <c r="H22" s="24"/>
      <c r="I22" s="24">
        <v>7</v>
      </c>
      <c r="J22" s="24">
        <v>8</v>
      </c>
      <c r="K22" s="24">
        <f t="shared" si="1"/>
        <v>14</v>
      </c>
      <c r="L22" s="24">
        <v>4</v>
      </c>
      <c r="M22" s="24">
        <v>3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271</v>
      </c>
      <c r="C23" s="24"/>
      <c r="D23" s="24">
        <v>111</v>
      </c>
      <c r="E23" s="24"/>
      <c r="F23" s="24"/>
      <c r="G23" s="24"/>
      <c r="H23" s="24"/>
      <c r="I23" s="24">
        <v>6</v>
      </c>
      <c r="J23" s="24">
        <v>7</v>
      </c>
      <c r="K23" s="24">
        <f t="shared" si="1"/>
        <v>12</v>
      </c>
      <c r="L23" s="24">
        <v>3</v>
      </c>
      <c r="M23" s="24">
        <v>4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270</v>
      </c>
      <c r="C24" s="24"/>
      <c r="D24" s="24">
        <v>68</v>
      </c>
      <c r="E24" s="24"/>
      <c r="F24" s="24"/>
      <c r="G24" s="24"/>
      <c r="H24" s="24"/>
      <c r="I24" s="24">
        <v>6</v>
      </c>
      <c r="J24" s="24">
        <v>5.5</v>
      </c>
      <c r="K24" s="24">
        <f t="shared" si="1"/>
        <v>12</v>
      </c>
      <c r="L24" s="24">
        <v>3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270</v>
      </c>
      <c r="C25" s="24"/>
      <c r="D25" s="24">
        <v>79</v>
      </c>
      <c r="E25" s="24"/>
      <c r="F25" s="24"/>
      <c r="G25" s="24"/>
      <c r="H25" s="24"/>
      <c r="I25" s="24">
        <v>6.5</v>
      </c>
      <c r="J25" s="24">
        <v>5.5</v>
      </c>
      <c r="K25" s="24">
        <f t="shared" si="1"/>
        <v>13.5</v>
      </c>
      <c r="L25" s="24">
        <v>3</v>
      </c>
      <c r="M25" s="24">
        <v>4.5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49</v>
      </c>
      <c r="E26" s="24"/>
      <c r="F26" s="24"/>
      <c r="G26" s="24"/>
      <c r="H26" s="24"/>
      <c r="I26" s="24">
        <v>6</v>
      </c>
      <c r="J26" s="24">
        <v>6.5</v>
      </c>
      <c r="K26" s="24">
        <f t="shared" si="1"/>
        <v>11</v>
      </c>
      <c r="L26" s="24">
        <v>4</v>
      </c>
      <c r="M26" s="24">
        <v>3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270</v>
      </c>
      <c r="C27" s="24"/>
      <c r="D27" s="24">
        <v>56</v>
      </c>
      <c r="E27" s="24"/>
      <c r="F27" s="24"/>
      <c r="G27" s="24"/>
      <c r="H27" s="24"/>
      <c r="I27" s="24">
        <v>6</v>
      </c>
      <c r="J27" s="24">
        <v>5.5</v>
      </c>
      <c r="K27" s="24">
        <f t="shared" si="1"/>
        <v>12.5</v>
      </c>
      <c r="L27" s="24">
        <v>4</v>
      </c>
      <c r="M27" s="24">
        <v>3</v>
      </c>
      <c r="N27" s="24"/>
      <c r="O27" s="24"/>
      <c r="P27" s="24"/>
      <c r="Q27" s="24"/>
      <c r="R27" s="24">
        <v>5.5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277</v>
      </c>
      <c r="C28" s="24"/>
      <c r="D28" s="24">
        <v>91</v>
      </c>
      <c r="E28" s="24"/>
      <c r="F28" s="24"/>
      <c r="G28" s="24"/>
      <c r="H28" s="24"/>
      <c r="I28" s="24">
        <v>6</v>
      </c>
      <c r="J28" s="24">
        <v>6</v>
      </c>
      <c r="K28" s="24">
        <f t="shared" si="1"/>
        <v>13</v>
      </c>
      <c r="L28" s="24">
        <v>3</v>
      </c>
      <c r="M28" s="24">
        <v>4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277</v>
      </c>
      <c r="C29" s="24"/>
      <c r="D29" s="24">
        <v>8</v>
      </c>
      <c r="E29" s="24"/>
      <c r="F29" s="24"/>
      <c r="G29" s="24"/>
      <c r="H29" s="24"/>
      <c r="I29" s="24">
        <v>5</v>
      </c>
      <c r="J29" s="24">
        <v>6</v>
      </c>
      <c r="K29" s="24">
        <f t="shared" si="1"/>
        <v>13</v>
      </c>
      <c r="L29" s="24">
        <v>3</v>
      </c>
      <c r="M29" s="24">
        <v>3</v>
      </c>
      <c r="N29" s="24"/>
      <c r="O29" s="24"/>
      <c r="P29" s="24"/>
      <c r="Q29" s="24"/>
      <c r="R29" s="24">
        <v>7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278</v>
      </c>
      <c r="C30" s="24"/>
      <c r="D30" s="24">
        <v>32</v>
      </c>
      <c r="E30" s="24"/>
      <c r="F30" s="24"/>
      <c r="G30" s="24"/>
      <c r="H30" s="24"/>
      <c r="I30" s="24">
        <v>3</v>
      </c>
      <c r="J30" s="24">
        <v>3.5</v>
      </c>
      <c r="K30" s="24">
        <f t="shared" si="1"/>
        <v>6.5</v>
      </c>
      <c r="L30" s="24">
        <v>2</v>
      </c>
      <c r="M30" s="24">
        <v>3</v>
      </c>
      <c r="N30" s="24"/>
      <c r="O30" s="24"/>
      <c r="P30" s="24"/>
      <c r="Q30" s="24"/>
      <c r="R30" s="24">
        <v>1.5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278</v>
      </c>
      <c r="C31" s="24"/>
      <c r="D31" s="24">
        <v>41</v>
      </c>
      <c r="E31" s="24"/>
      <c r="F31" s="24"/>
      <c r="G31" s="24"/>
      <c r="H31" s="24"/>
      <c r="I31" s="24">
        <v>4</v>
      </c>
      <c r="J31" s="24">
        <v>3.5</v>
      </c>
      <c r="K31" s="24">
        <f t="shared" si="1"/>
        <v>8</v>
      </c>
      <c r="L31" s="24">
        <v>3</v>
      </c>
      <c r="M31" s="24">
        <v>3</v>
      </c>
      <c r="N31" s="24"/>
      <c r="O31" s="24"/>
      <c r="P31" s="24"/>
      <c r="Q31" s="24"/>
      <c r="R31" s="24">
        <v>2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270</v>
      </c>
      <c r="C32" s="24"/>
      <c r="D32" s="24">
        <v>51</v>
      </c>
      <c r="E32" s="24"/>
      <c r="F32" s="24"/>
      <c r="G32" s="24"/>
      <c r="H32" s="24"/>
      <c r="I32" s="24">
        <v>3</v>
      </c>
      <c r="J32" s="24">
        <v>4.5</v>
      </c>
      <c r="K32" s="24">
        <f t="shared" si="1"/>
        <v>10.5</v>
      </c>
      <c r="L32" s="24">
        <v>4</v>
      </c>
      <c r="M32" s="24">
        <v>3</v>
      </c>
      <c r="N32" s="24"/>
      <c r="O32" s="24"/>
      <c r="P32" s="24"/>
      <c r="Q32" s="24"/>
      <c r="R32" s="24">
        <v>3.5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270</v>
      </c>
      <c r="C33" s="24"/>
      <c r="D33" s="24">
        <v>66</v>
      </c>
      <c r="E33" s="24"/>
      <c r="F33" s="24"/>
      <c r="G33" s="24"/>
      <c r="H33" s="24"/>
      <c r="I33" s="24">
        <v>5</v>
      </c>
      <c r="J33" s="24">
        <v>4</v>
      </c>
      <c r="K33" s="24">
        <f t="shared" si="1"/>
        <v>11</v>
      </c>
      <c r="L33" s="24">
        <v>3</v>
      </c>
      <c r="M33" s="24">
        <v>4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270</v>
      </c>
      <c r="C34" s="24"/>
      <c r="D34" s="24">
        <v>60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12</v>
      </c>
      <c r="L34" s="24">
        <v>3</v>
      </c>
      <c r="M34" s="24">
        <v>4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270</v>
      </c>
      <c r="C35" s="24"/>
      <c r="D35" s="24">
        <v>90</v>
      </c>
      <c r="E35" s="24"/>
      <c r="F35" s="24"/>
      <c r="G35" s="24"/>
      <c r="H35" s="24"/>
      <c r="I35" s="24">
        <v>4</v>
      </c>
      <c r="J35" s="24">
        <v>6</v>
      </c>
      <c r="K35" s="24">
        <f t="shared" si="1"/>
        <v>15</v>
      </c>
      <c r="L35" s="24">
        <v>5</v>
      </c>
      <c r="M35" s="24">
        <v>3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279</v>
      </c>
      <c r="C36" s="24"/>
      <c r="D36" s="24">
        <v>129</v>
      </c>
      <c r="E36" s="24"/>
      <c r="F36" s="24"/>
      <c r="G36" s="24"/>
      <c r="H36" s="24"/>
      <c r="I36" s="24">
        <v>5.5</v>
      </c>
      <c r="J36" s="24">
        <v>6.5</v>
      </c>
      <c r="K36" s="24">
        <f t="shared" si="1"/>
        <v>14</v>
      </c>
      <c r="L36" s="24">
        <v>4</v>
      </c>
      <c r="M36" s="24">
        <v>3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279</v>
      </c>
      <c r="C37" s="24"/>
      <c r="D37" s="24">
        <v>161</v>
      </c>
      <c r="E37" s="24"/>
      <c r="F37" s="24"/>
      <c r="G37" s="24"/>
      <c r="H37" s="24"/>
      <c r="I37" s="24">
        <v>8</v>
      </c>
      <c r="J37" s="24">
        <v>7</v>
      </c>
      <c r="K37" s="24">
        <f t="shared" si="1"/>
        <v>15</v>
      </c>
      <c r="L37" s="24">
        <v>5</v>
      </c>
      <c r="M37" s="24">
        <v>3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270</v>
      </c>
      <c r="C38" s="24"/>
      <c r="D38" s="24">
        <v>49</v>
      </c>
      <c r="E38" s="24"/>
      <c r="F38" s="24"/>
      <c r="G38" s="24"/>
      <c r="H38" s="24"/>
      <c r="I38" s="24">
        <v>6</v>
      </c>
      <c r="J38" s="24">
        <v>7.5</v>
      </c>
      <c r="K38" s="24">
        <f t="shared" si="1"/>
        <v>10</v>
      </c>
      <c r="L38" s="24">
        <v>3</v>
      </c>
      <c r="M38" s="24">
        <v>3</v>
      </c>
      <c r="N38" s="24"/>
      <c r="O38" s="24"/>
      <c r="P38" s="24"/>
      <c r="Q38" s="24"/>
      <c r="R38" s="24">
        <v>4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280</v>
      </c>
      <c r="C39" s="24"/>
      <c r="D39" s="24">
        <v>34</v>
      </c>
      <c r="E39" s="24"/>
      <c r="F39" s="24"/>
      <c r="G39" s="24"/>
      <c r="H39" s="24"/>
      <c r="I39" s="24">
        <v>4</v>
      </c>
      <c r="J39" s="24">
        <v>3</v>
      </c>
      <c r="K39" s="24">
        <f t="shared" si="1"/>
        <v>7</v>
      </c>
      <c r="L39" s="24">
        <v>3</v>
      </c>
      <c r="M39" s="24">
        <v>2</v>
      </c>
      <c r="N39" s="24"/>
      <c r="O39" s="24"/>
      <c r="P39" s="24"/>
      <c r="Q39" s="24"/>
      <c r="R39" s="24">
        <v>2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278</v>
      </c>
      <c r="C40" s="24"/>
      <c r="D40" s="24">
        <v>36</v>
      </c>
      <c r="E40" s="24"/>
      <c r="F40" s="24"/>
      <c r="G40" s="24"/>
      <c r="H40" s="24"/>
      <c r="I40" s="24">
        <v>4</v>
      </c>
      <c r="J40" s="24">
        <v>3.5</v>
      </c>
      <c r="K40" s="24">
        <f t="shared" si="1"/>
        <v>8</v>
      </c>
      <c r="L40" s="24">
        <v>3</v>
      </c>
      <c r="M40" s="24">
        <v>3</v>
      </c>
      <c r="N40" s="24"/>
      <c r="O40" s="24"/>
      <c r="P40" s="24"/>
      <c r="Q40" s="24"/>
      <c r="R40" s="24">
        <v>2</v>
      </c>
      <c r="S40" s="24"/>
      <c r="T4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70" zoomScaleSheetLayoutView="100" workbookViewId="0">
      <selection activeCell="F72" sqref="F7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25">
      <c r="B2" s="29" t="s">
        <v>164</v>
      </c>
      <c r="F2" s="76" t="s">
        <v>165</v>
      </c>
      <c r="G2" s="76"/>
      <c r="H2" s="76"/>
    </row>
    <row r="3" spans="1:8" ht="24" customHeight="1" x14ac:dyDescent="0.25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25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25">
      <c r="A5" s="11">
        <v>1</v>
      </c>
      <c r="B5" s="12" t="s">
        <v>286</v>
      </c>
      <c r="C5" s="12" t="s">
        <v>287</v>
      </c>
      <c r="D5" s="12">
        <v>4.5</v>
      </c>
      <c r="E5" s="12">
        <v>3.5</v>
      </c>
      <c r="F5" s="89" t="s">
        <v>319</v>
      </c>
      <c r="G5" s="12">
        <f>D5*E5</f>
        <v>15.75</v>
      </c>
      <c r="H5" s="12"/>
    </row>
    <row r="6" spans="1:8" ht="29.25" customHeight="1" x14ac:dyDescent="0.25">
      <c r="A6" s="11">
        <v>2</v>
      </c>
      <c r="B6" s="12" t="s">
        <v>271</v>
      </c>
      <c r="C6" s="12" t="s">
        <v>288</v>
      </c>
      <c r="D6" s="12">
        <v>6.8</v>
      </c>
      <c r="E6" s="12">
        <v>5.5</v>
      </c>
      <c r="F6" s="89" t="s">
        <v>319</v>
      </c>
      <c r="G6" s="12">
        <f>D6*E6</f>
        <v>37.4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25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289</v>
      </c>
    </row>
    <row r="30" spans="1:8" ht="31.5" customHeight="1" x14ac:dyDescent="0.25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290</v>
      </c>
    </row>
    <row r="31" spans="1:8" ht="24.75" customHeight="1" x14ac:dyDescent="0.25">
      <c r="A31" s="11">
        <v>3</v>
      </c>
      <c r="B31" s="80" t="s">
        <v>178</v>
      </c>
      <c r="C31" s="80"/>
      <c r="D31" s="80"/>
      <c r="E31" s="80"/>
      <c r="F31" s="80"/>
      <c r="G31" s="80"/>
      <c r="H31" s="35" t="s">
        <v>291</v>
      </c>
    </row>
    <row r="32" spans="1:8" ht="24.75" customHeight="1" x14ac:dyDescent="0.25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292</v>
      </c>
    </row>
    <row r="33" spans="1:8" ht="24.75" customHeight="1" x14ac:dyDescent="0.25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293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150000000000006" customHeight="1" x14ac:dyDescent="0.25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25">
      <c r="A38" s="11">
        <v>1</v>
      </c>
      <c r="B38" s="18" t="s">
        <v>284</v>
      </c>
      <c r="C38" s="18" t="s">
        <v>285</v>
      </c>
      <c r="D38" s="18">
        <v>5.5</v>
      </c>
      <c r="E38" s="18">
        <v>4.5</v>
      </c>
      <c r="F38" s="89" t="s">
        <v>318</v>
      </c>
      <c r="G38" s="12">
        <f>D38*E38</f>
        <v>24.75</v>
      </c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25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294</v>
      </c>
    </row>
    <row r="61" spans="1:8" ht="38.25" customHeight="1" x14ac:dyDescent="0.25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295</v>
      </c>
    </row>
    <row r="62" spans="1:8" ht="25.5" customHeight="1" x14ac:dyDescent="0.25">
      <c r="A62" s="11">
        <v>3</v>
      </c>
      <c r="B62" s="80" t="s">
        <v>178</v>
      </c>
      <c r="C62" s="80"/>
      <c r="D62" s="80"/>
      <c r="E62" s="80"/>
      <c r="F62" s="80"/>
      <c r="G62" s="80"/>
      <c r="H62" s="11" t="s">
        <v>296</v>
      </c>
    </row>
    <row r="63" spans="1:8" ht="25.5" customHeight="1" x14ac:dyDescent="0.25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297</v>
      </c>
    </row>
    <row r="64" spans="1:8" ht="24.75" customHeight="1" x14ac:dyDescent="0.25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298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3" x14ac:dyDescent="0.25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25">
      <c r="A69" s="11">
        <v>1</v>
      </c>
      <c r="B69" s="40" t="s">
        <v>277</v>
      </c>
      <c r="C69" s="11" t="s">
        <v>299</v>
      </c>
      <c r="D69" s="11">
        <v>6.3</v>
      </c>
      <c r="E69" s="11">
        <v>5</v>
      </c>
      <c r="F69" s="11"/>
      <c r="G69" s="12">
        <f t="shared" ref="G69:G72" si="0">D69*E69</f>
        <v>31.5</v>
      </c>
      <c r="H69" s="11"/>
    </row>
    <row r="70" spans="1:8" s="28" customFormat="1" ht="41.25" customHeight="1" x14ac:dyDescent="0.25">
      <c r="A70" s="11">
        <v>2</v>
      </c>
      <c r="B70" s="40" t="s">
        <v>277</v>
      </c>
      <c r="C70" s="11" t="s">
        <v>299</v>
      </c>
      <c r="D70" s="11">
        <v>4.8</v>
      </c>
      <c r="E70" s="11">
        <v>4.5</v>
      </c>
      <c r="F70" s="89" t="s">
        <v>317</v>
      </c>
      <c r="G70" s="12">
        <f t="shared" si="0"/>
        <v>21.599999999999998</v>
      </c>
      <c r="H70" s="11"/>
    </row>
    <row r="71" spans="1:8" s="28" customFormat="1" ht="41.25" customHeight="1" x14ac:dyDescent="0.25">
      <c r="A71" s="11">
        <v>3</v>
      </c>
      <c r="B71" s="40" t="s">
        <v>277</v>
      </c>
      <c r="C71" s="11" t="s">
        <v>299</v>
      </c>
      <c r="D71" s="11">
        <v>7.3</v>
      </c>
      <c r="E71" s="11">
        <v>6</v>
      </c>
      <c r="F71" s="11"/>
      <c r="G71" s="12">
        <f t="shared" si="0"/>
        <v>43.8</v>
      </c>
      <c r="H71" s="11"/>
    </row>
    <row r="72" spans="1:8" s="28" customFormat="1" ht="41.25" customHeight="1" x14ac:dyDescent="0.25">
      <c r="A72" s="11">
        <v>4</v>
      </c>
      <c r="B72" s="40" t="s">
        <v>276</v>
      </c>
      <c r="C72" s="11" t="s">
        <v>313</v>
      </c>
      <c r="D72" s="11">
        <v>5.8</v>
      </c>
      <c r="E72" s="11">
        <v>4</v>
      </c>
      <c r="F72" s="11" t="s">
        <v>316</v>
      </c>
      <c r="G72" s="12">
        <f t="shared" si="0"/>
        <v>23.2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1" t="s">
        <v>240</v>
      </c>
      <c r="G93" s="81"/>
      <c r="H93" s="81"/>
    </row>
    <row r="94" spans="1:8" ht="24" customHeight="1" x14ac:dyDescent="0.25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25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25">
      <c r="A96" s="41">
        <v>1</v>
      </c>
      <c r="B96" s="40" t="s">
        <v>274</v>
      </c>
      <c r="C96" s="11" t="s">
        <v>314</v>
      </c>
      <c r="D96" s="41">
        <v>3.8</v>
      </c>
      <c r="E96" s="42">
        <v>3</v>
      </c>
      <c r="F96" s="23" t="s">
        <v>315</v>
      </c>
      <c r="G96" s="12">
        <f>D96*E96</f>
        <v>11.399999999999999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5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25">
      <c r="E2" s="76" t="s">
        <v>165</v>
      </c>
      <c r="F2" s="76"/>
      <c r="G2" s="76"/>
    </row>
    <row r="3" spans="1:7" ht="45.6" customHeight="1" x14ac:dyDescent="0.25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25">
      <c r="A4" s="79"/>
      <c r="B4" s="79"/>
      <c r="C4" s="59"/>
      <c r="D4" s="79"/>
      <c r="E4" s="18" t="s">
        <v>187</v>
      </c>
      <c r="F4" s="18" t="s">
        <v>188</v>
      </c>
      <c r="G4" s="79"/>
    </row>
    <row r="5" spans="1:7" ht="45.6" customHeight="1" x14ac:dyDescent="0.25">
      <c r="A5" s="79"/>
      <c r="B5" s="79"/>
      <c r="C5" s="59"/>
      <c r="D5" s="79"/>
      <c r="E5" s="18" t="s">
        <v>189</v>
      </c>
      <c r="F5" s="18" t="s">
        <v>221</v>
      </c>
      <c r="G5" s="79"/>
    </row>
    <row r="6" spans="1:7" ht="45.6" customHeight="1" x14ac:dyDescent="0.25">
      <c r="A6" s="11">
        <v>1</v>
      </c>
      <c r="B6" s="18" t="s">
        <v>281</v>
      </c>
      <c r="C6" s="45" t="s">
        <v>283</v>
      </c>
      <c r="D6" s="18">
        <v>17</v>
      </c>
      <c r="E6" s="18"/>
      <c r="F6" s="18">
        <f>0.05*(D6)*(D6)</f>
        <v>14.450000000000001</v>
      </c>
      <c r="G6" s="18"/>
    </row>
    <row r="7" spans="1:7" ht="45.6" customHeight="1" x14ac:dyDescent="0.25">
      <c r="A7" s="11">
        <v>2</v>
      </c>
      <c r="B7" s="18" t="s">
        <v>281</v>
      </c>
      <c r="C7" s="45" t="s">
        <v>283</v>
      </c>
      <c r="D7" s="18">
        <v>15</v>
      </c>
      <c r="E7" s="18" t="s">
        <v>320</v>
      </c>
      <c r="F7" s="18">
        <f t="shared" ref="F7:F11" si="0">0.05*(D7)*(D7)</f>
        <v>11.25</v>
      </c>
      <c r="G7" s="18"/>
    </row>
    <row r="8" spans="1:7" ht="45.6" customHeight="1" x14ac:dyDescent="0.25">
      <c r="A8" s="11">
        <v>3</v>
      </c>
      <c r="B8" s="18" t="s">
        <v>281</v>
      </c>
      <c r="C8" s="45" t="s">
        <v>283</v>
      </c>
      <c r="D8" s="18">
        <v>25</v>
      </c>
      <c r="E8" s="18" t="s">
        <v>321</v>
      </c>
      <c r="F8" s="18">
        <f t="shared" si="0"/>
        <v>31.25</v>
      </c>
      <c r="G8" s="18"/>
    </row>
    <row r="9" spans="1:7" ht="45.6" customHeight="1" x14ac:dyDescent="0.25">
      <c r="A9" s="11">
        <v>4</v>
      </c>
      <c r="B9" s="18" t="s">
        <v>281</v>
      </c>
      <c r="C9" s="45" t="s">
        <v>283</v>
      </c>
      <c r="D9" s="18">
        <v>23</v>
      </c>
      <c r="E9" s="18" t="s">
        <v>322</v>
      </c>
      <c r="F9" s="18">
        <f t="shared" si="0"/>
        <v>26.450000000000003</v>
      </c>
      <c r="G9" s="18"/>
    </row>
    <row r="10" spans="1:7" ht="45.6" customHeight="1" x14ac:dyDescent="0.25">
      <c r="A10" s="11">
        <v>5</v>
      </c>
      <c r="B10" s="18" t="s">
        <v>281</v>
      </c>
      <c r="C10" s="45" t="s">
        <v>283</v>
      </c>
      <c r="D10" s="18">
        <v>31</v>
      </c>
      <c r="E10" s="18"/>
      <c r="F10" s="18">
        <f t="shared" si="0"/>
        <v>48.050000000000004</v>
      </c>
      <c r="G10" s="18"/>
    </row>
    <row r="11" spans="1:7" ht="45.6" customHeight="1" x14ac:dyDescent="0.25">
      <c r="A11" s="11">
        <v>6</v>
      </c>
      <c r="B11" s="18" t="s">
        <v>282</v>
      </c>
      <c r="C11" s="45"/>
      <c r="D11" s="18">
        <v>35</v>
      </c>
      <c r="E11" s="89" t="s">
        <v>317</v>
      </c>
      <c r="F11" s="18">
        <f t="shared" si="0"/>
        <v>61.25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5" t="s">
        <v>192</v>
      </c>
      <c r="F35" s="75"/>
      <c r="G35" s="75"/>
    </row>
    <row r="36" spans="1:7" ht="45.6" customHeight="1" x14ac:dyDescent="0.25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25">
      <c r="A37" s="79"/>
      <c r="B37" s="79"/>
      <c r="C37" s="85"/>
      <c r="D37" s="79"/>
      <c r="E37" s="18" t="s">
        <v>187</v>
      </c>
      <c r="F37" s="18" t="s">
        <v>188</v>
      </c>
      <c r="G37" s="79"/>
    </row>
    <row r="38" spans="1:7" ht="45.6" customHeight="1" x14ac:dyDescent="0.25">
      <c r="A38" s="79"/>
      <c r="B38" s="79"/>
      <c r="C38" s="86"/>
      <c r="D38" s="79"/>
      <c r="E38" s="18" t="s">
        <v>189</v>
      </c>
      <c r="F38" s="18" t="s">
        <v>190</v>
      </c>
      <c r="G38" s="79"/>
    </row>
    <row r="39" spans="1:7" s="28" customFormat="1" ht="45.6" customHeight="1" x14ac:dyDescent="0.25">
      <c r="A39" s="41">
        <v>1</v>
      </c>
      <c r="B39" s="23" t="s">
        <v>276</v>
      </c>
      <c r="C39" s="48" t="s">
        <v>313</v>
      </c>
      <c r="D39" s="41">
        <v>31</v>
      </c>
      <c r="E39" s="11" t="s">
        <v>316</v>
      </c>
      <c r="F39" s="18">
        <f t="shared" ref="F39:F41" si="1">0.05*(D39)*(D39)</f>
        <v>48.050000000000004</v>
      </c>
      <c r="G39" s="23"/>
    </row>
    <row r="40" spans="1:7" s="28" customFormat="1" ht="45.6" customHeight="1" x14ac:dyDescent="0.25">
      <c r="A40" s="41">
        <v>2</v>
      </c>
      <c r="B40" s="23" t="s">
        <v>284</v>
      </c>
      <c r="C40" s="48" t="s">
        <v>285</v>
      </c>
      <c r="D40" s="41">
        <v>17</v>
      </c>
      <c r="E40" s="89" t="s">
        <v>318</v>
      </c>
      <c r="F40" s="18">
        <f t="shared" si="1"/>
        <v>14.450000000000001</v>
      </c>
      <c r="G40" s="23"/>
    </row>
    <row r="41" spans="1:7" s="28" customFormat="1" ht="45.6" customHeight="1" x14ac:dyDescent="0.25">
      <c r="A41" s="41">
        <v>3</v>
      </c>
      <c r="B41" s="23" t="s">
        <v>284</v>
      </c>
      <c r="C41" s="48" t="s">
        <v>285</v>
      </c>
      <c r="D41" s="41">
        <v>23</v>
      </c>
      <c r="E41" s="23"/>
      <c r="F41" s="18">
        <f t="shared" si="1"/>
        <v>26.450000000000003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2024-06-17T05:33:12Z</dcterms:modified>
</cp:coreProperties>
</file>