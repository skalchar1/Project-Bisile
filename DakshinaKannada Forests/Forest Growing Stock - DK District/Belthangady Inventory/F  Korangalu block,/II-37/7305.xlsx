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Korangalu block\II-37\"/>
    </mc:Choice>
  </mc:AlternateContent>
  <xr:revisionPtr revIDLastSave="0" documentId="13_ncr:1_{36A39800-E7FB-40B7-A6A1-6117033D0C3D}" xr6:coauthVersionLast="47" xr6:coauthVersionMax="47" xr10:uidLastSave="{00000000-0000-0000-0000-000000000000}"/>
  <bookViews>
    <workbookView xWindow="780" yWindow="78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0" i="8"/>
  <c r="G69" i="8"/>
  <c r="G39" i="8"/>
  <c r="G38" i="8"/>
  <c r="G5" i="8"/>
  <c r="F41" i="9"/>
  <c r="F40" i="9"/>
  <c r="F39" i="9"/>
  <c r="F8" i="9"/>
  <c r="F7" i="9"/>
  <c r="F6" i="9"/>
  <c r="K13" i="6"/>
  <c r="K14" i="6"/>
  <c r="K15" i="6"/>
  <c r="K16" i="6"/>
  <c r="K17" i="6"/>
  <c r="K12" i="6"/>
  <c r="A13" i="6"/>
  <c r="A14" i="6"/>
  <c r="A15" i="6"/>
  <c r="A16" i="6"/>
  <c r="A17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<sst xmlns="http://schemas.openxmlformats.org/spreadsheetml/2006/main" count="436" uniqueCount="320">
  <si>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</si>
  <si>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</si>
  <si>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</si>
  <si>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</si>
  <si>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</si>
  <si>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</si>
  <si>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</si>
  <si>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</si>
  <si>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</si>
  <si>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</si>
  <si>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</si>
  <si>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</si>
  <si>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</si>
  <si>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</si>
  <si>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</si>
  <si>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</si>
  <si>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</si>
  <si>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</si>
  <si>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</si>
  <si>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</si>
  <si>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</si>
  <si>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</si>
  <si>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</si>
  <si>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</si>
  <si>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</si>
  <si>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</si>
  <si>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</si>
  <si>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</si>
  <si>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</si>
  <si>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</si>
  <si>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</si>
  <si>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</si>
  <si>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</si>
  <si>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</si>
  <si>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</si>
  <si>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</si>
  <si>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</si>
  <si>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</si>
  <si>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</si>
  <si>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</si>
  <si>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</si>
  <si>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</si>
  <si>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</si>
  <si>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</si>
  <si>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</si>
  <si>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</si>
  <si>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</si>
  <si>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</si>
  <si>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</si>
  <si>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</si>
  <si>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</si>
  <si>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</si>
  <si>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</si>
  <si>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</si>
  <si>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</si>
  <si>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</si>
  <si>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</si>
  <si>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</si>
  <si>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</si>
  <si>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</si>
  <si>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</si>
  <si>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</si>
  <si>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</si>
  <si>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</si>
  <si>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</si>
  <si>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</si>
  <si>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</si>
  <si>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</si>
  <si>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</si>
  <si>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</si>
  <si>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</si>
  <si>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</si>
  <si>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</si>
  <si>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</si>
  <si>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</si>
  <si>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</si>
  <si>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</si>
  <si>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</si>
  <si>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</si>
  <si>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</si>
  <si>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</si>
  <si>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</si>
  <si>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</si>
  <si>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</si>
  <si>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</si>
  <si>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</si>
  <si>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</si>
  <si>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</si>
  <si>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</si>
  <si>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</si>
  <si>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</si>
  <si>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</si>
  <si>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</si>
  <si>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</si>
  <si>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</si>
  <si>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</si>
  <si>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</si>
  <si>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</si>
  <si>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</si>
  <si>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</si>
  <si>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</si>
  <si>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</si>
  <si>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</si>
  <si>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</si>
  <si>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</si>
  <si>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</si>
  <si>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</si>
  <si>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</si>
  <si>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</si>
  <si>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</si>
  <si>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</si>
  <si>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</si>
  <si>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</si>
  <si>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</si>
  <si>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</si>
  <si>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</si>
  <si>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</si>
  <si>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</si>
  <si>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</si>
  <si>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</si>
  <si>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</si>
  <si>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</si>
  <si>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</si>
  <si>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</si>
  <si>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</si>
  <si>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</si>
  <si>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</si>
  <si>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</si>
  <si>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</si>
  <si>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</si>
  <si>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</si>
  <si>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</si>
  <si>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</si>
  <si>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</si>
  <si>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</si>
  <si>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</si>
  <si>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</si>
  <si>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</si>
  <si>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</si>
  <si>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</si>
  <si>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</si>
  <si>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</si>
  <si>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</si>
  <si>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</si>
  <si>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</si>
  <si>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</si>
  <si>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</si>
  <si>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</si>
  <si>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</si>
  <si>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</si>
  <si>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</si>
  <si>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</si>
  <si>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</si>
  <si>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</si>
  <si>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</si>
  <si>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</si>
  <si>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</si>
  <si>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</si>
  <si>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</si>
  <si>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</si>
  <si>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</si>
  <si>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</si>
  <si>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</si>
  <si>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</si>
  <si>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</si>
  <si>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</si>
  <si>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</si>
  <si>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</si>
  <si>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</si>
  <si>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</si>
  <si>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</si>
  <si>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</si>
  <si>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</si>
  <si>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</si>
  <si>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</si>
  <si>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</si>
  <si>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</si>
  <si>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</si>
  <si>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</si>
  <si>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</si>
  <si>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</si>
  <si>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</si>
  <si>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</si>
  <si>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</si>
  <si>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</si>
  <si>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</si>
  <si>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</si>
  <si>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</si>
  <si>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</si>
  <si>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</si>
  <si>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</si>
  <si>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</si>
  <si>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</si>
  <si>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</si>
  <si>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</si>
  <si>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</si>
  <si>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</si>
  <si>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</si>
  <si>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</si>
  <si>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</si>
  <si>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</si>
  <si>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</si>
  <si>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</si>
  <si>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</si>
  <si>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</si>
  <si>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</si>
  <si>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</si>
  <si>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</si>
  <si>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</si>
  <si>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</si>
  <si>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</si>
  <si>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</si>
  <si>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</si>
  <si>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</si>
  <si>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</si>
  <si>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</si>
  <si>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</si>
  <si>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</si>
  <si>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</si>
  <si>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</si>
  <si>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</si>
  <si>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</si>
  <si>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</si>
  <si>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</si>
  <si>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</si>
  <si>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</si>
  <si>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</si>
  <si>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</si>
  <si>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</si>
  <si>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</si>
  <si>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</si>
  <si>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</si>
  <si>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</si>
  <si>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</si>
  <si>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</si>
  <si>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</si>
  <si>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</si>
  <si>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</si>
  <si>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</si>
  <si>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</si>
  <si>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</si>
  <si>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</si>
  <si>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</si>
  <si>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Adkada kore  upto     N  13.093456   E 75.381892   by vehicle then travel in the bearing of   33  degree upto a distance of 94    m to reach the grid.</t>
  </si>
  <si>
    <t>Schleichera oleosa , Xylia xylocarpa ,Acacia auriculiformis , Casurina equisitifolia</t>
  </si>
  <si>
    <t>Canopy Dencity - 0.3</t>
  </si>
  <si>
    <t xml:space="preserve">Weeds - Alternaria sp , Chromolaena odorata </t>
  </si>
  <si>
    <t xml:space="preserve">Bamboos -Bambusa bambos </t>
  </si>
  <si>
    <t xml:space="preserve">Shrubs - Malabatricum, Syzygium cumini </t>
  </si>
  <si>
    <t xml:space="preserve">Underwood species – Anacardium occidentale </t>
  </si>
  <si>
    <t xml:space="preserve">Climbers - Getonia floribunda </t>
  </si>
  <si>
    <t xml:space="preserve">NTFP yieding sps – Acacia concinna </t>
  </si>
  <si>
    <t>1.2m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</si>
  <si>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</si>
  <si>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</si>
  <si>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</si>
  <si>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</si>
  <si>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</si>
  <si>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Depth- good</t>
  </si>
  <si>
    <t>Permiability- good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</si>
  <si>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</si>
  <si>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r>
      <t>Adequate/ Moderate/ Poor /</t>
    </r>
    <r>
      <rPr>
        <b/>
        <sz val="12"/>
        <rFont val="Times New Roman"/>
        <family val="1"/>
      </rPr>
      <t>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</si>
  <si>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</si>
  <si>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Lopping heavy by humans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</si>
  <si>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</si>
  <si>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</si>
  <si>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</si>
  <si>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Alternaria sp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</si>
  <si>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</si>
  <si>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&lt;0.5</t>
  </si>
  <si>
    <t>Anacardium occidentale</t>
  </si>
  <si>
    <t>Acacia auriculiformis</t>
  </si>
  <si>
    <t>Schleichera oleosa</t>
  </si>
  <si>
    <t>Artocarpus hirusts</t>
  </si>
  <si>
    <t>Casuarina equisitifolia</t>
  </si>
  <si>
    <t>NIL</t>
  </si>
  <si>
    <t>Chandalike</t>
  </si>
  <si>
    <t>Aporosa lindleyana</t>
  </si>
  <si>
    <t>4.3kg</t>
  </si>
  <si>
    <t>Tabernamontana heyneana</t>
  </si>
  <si>
    <t>Syzygium caryophyllateum</t>
  </si>
  <si>
    <t>Chromolaena odorata</t>
  </si>
  <si>
    <t>Clerodendrum infortunatum</t>
  </si>
  <si>
    <t>Malabatricum</t>
  </si>
  <si>
    <t>Milky latex yield climber</t>
  </si>
  <si>
    <t>Calycopperis floribunda</t>
  </si>
  <si>
    <t>50g</t>
  </si>
  <si>
    <t>180g</t>
  </si>
  <si>
    <t>120g</t>
  </si>
  <si>
    <t>45g</t>
  </si>
  <si>
    <t>130g</t>
  </si>
  <si>
    <t>145g</t>
  </si>
  <si>
    <t>654 ft</t>
  </si>
  <si>
    <t>Hilly</t>
  </si>
  <si>
    <t>Heavy</t>
  </si>
  <si>
    <t>Belthangady</t>
  </si>
  <si>
    <t>Korangalu block</t>
  </si>
  <si>
    <t>II-37</t>
  </si>
  <si>
    <t>Tract - Hilly</t>
  </si>
  <si>
    <t>Aspect - West</t>
  </si>
  <si>
    <t>Soil - Red soil</t>
  </si>
  <si>
    <t xml:space="preserve">Herbs - NIL </t>
  </si>
  <si>
    <t>Rattans – NIL</t>
  </si>
  <si>
    <t>Grasses - NIL</t>
  </si>
  <si>
    <t xml:space="preserve">Anacardium occidentale , Schleichera oleosa , Acacia auriculiformis , Casuarina equisitifolia </t>
  </si>
  <si>
    <t>Texture- Rocky red soil</t>
  </si>
  <si>
    <t>Mangalore</t>
  </si>
  <si>
    <t xml:space="preserve">Macaranga peltata </t>
  </si>
  <si>
    <t>Salle</t>
  </si>
  <si>
    <t>Maddarasa</t>
  </si>
  <si>
    <t>Kuntu Nerale</t>
  </si>
  <si>
    <t xml:space="preserve">Congress </t>
  </si>
  <si>
    <t>leaves</t>
  </si>
  <si>
    <t>milky latex</t>
  </si>
  <si>
    <t>flowers</t>
  </si>
  <si>
    <t>bark</t>
  </si>
  <si>
    <t>seeds</t>
  </si>
  <si>
    <t>fruits</t>
  </si>
  <si>
    <t>bark, roots</t>
  </si>
  <si>
    <t>Edible fruits,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</si>
</sst>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1" t="s">
        <v>0</v>
      </c>
      <c r="B1" s="51"/>
      <c r="C1" s="51"/>
    </row>
    <row r="2" spans="1:3" ht="24.75" customHeight="1" x14ac:dyDescent="0.25">
      <c r="A2" s="51" t="s">
        <v>1</v>
      </c>
      <c r="B2" s="51"/>
      <c r="C2" s="51"/>
    </row>
    <row r="3" spans="1:3" s="3" customFormat="1" ht="24.75" customHeight="1" x14ac:dyDescent="0.25">
      <c r="A3" s="51" t="s">
        <v>2</v>
      </c>
      <c r="B3" s="51"/>
      <c r="C3" s="2" t="s">
        <v>306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7" t="s">
        <v>295</v>
      </c>
    </row>
    <row r="6" spans="1:3" ht="39" customHeight="1" x14ac:dyDescent="0.25">
      <c r="A6" s="4">
        <v>2</v>
      </c>
      <c r="B6" s="49" t="s">
        <v>7</v>
      </c>
      <c r="C6" s="7" t="s">
        <v>296</v>
      </c>
    </row>
    <row r="7" spans="1:3" ht="39" customHeight="1" x14ac:dyDescent="0.25">
      <c r="A7" s="4">
        <v>3</v>
      </c>
      <c r="B7" s="49" t="s">
        <v>8</v>
      </c>
      <c r="C7" s="7" t="s">
        <v>297</v>
      </c>
    </row>
    <row r="8" spans="1:3" ht="39" customHeight="1" x14ac:dyDescent="0.25">
      <c r="A8" s="4">
        <v>4</v>
      </c>
      <c r="B8" s="49" t="s">
        <v>9</v>
      </c>
      <c r="C8" s="7">
        <v>7305</v>
      </c>
    </row>
    <row r="9" spans="1:3" ht="39" customHeight="1" x14ac:dyDescent="0.25">
      <c r="A9" s="4">
        <v>5</v>
      </c>
      <c r="B9" s="49" t="s">
        <v>10</v>
      </c>
      <c r="C9" s="8">
        <v>13.094172</v>
      </c>
    </row>
    <row r="10" spans="1:3" ht="39" customHeight="1" x14ac:dyDescent="0.25">
      <c r="A10" s="4">
        <v>6</v>
      </c>
      <c r="B10" s="49" t="s">
        <v>11</v>
      </c>
      <c r="C10" s="8">
        <v>75.382328000000001</v>
      </c>
    </row>
    <row r="11" spans="1:3" ht="141.75" customHeight="1" x14ac:dyDescent="0.25">
      <c r="A11" s="4">
        <v>7</v>
      </c>
      <c r="B11" s="49" t="s">
        <v>12</v>
      </c>
      <c r="C11" s="7" t="s">
        <v>243</v>
      </c>
    </row>
    <row r="12" spans="1:3" ht="98.25" customHeight="1" x14ac:dyDescent="0.25">
      <c r="A12" s="4">
        <v>8</v>
      </c>
      <c r="B12" s="49" t="s">
        <v>13</v>
      </c>
      <c r="C12" s="9" t="s">
        <v>244</v>
      </c>
    </row>
    <row r="13" spans="1:3" ht="32.25" customHeight="1" x14ac:dyDescent="0.25">
      <c r="A13" s="52">
        <v>9</v>
      </c>
      <c r="B13" s="53" t="s">
        <v>14</v>
      </c>
      <c r="C13" s="6" t="s">
        <v>298</v>
      </c>
    </row>
    <row r="14" spans="1:3" ht="32.25" customHeight="1" x14ac:dyDescent="0.25">
      <c r="A14" s="52"/>
      <c r="B14" s="53"/>
      <c r="C14" s="6" t="s">
        <v>299</v>
      </c>
    </row>
    <row r="15" spans="1:3" ht="32.25" customHeight="1" x14ac:dyDescent="0.25">
      <c r="A15" s="52"/>
      <c r="B15" s="53"/>
      <c r="C15" s="6" t="s">
        <v>245</v>
      </c>
    </row>
    <row r="16" spans="1:3" ht="32.25" customHeight="1" x14ac:dyDescent="0.25">
      <c r="A16" s="52"/>
      <c r="B16" s="53"/>
      <c r="C16" s="6" t="s">
        <v>300</v>
      </c>
    </row>
    <row r="17" spans="1:3" ht="32.25" customHeight="1" x14ac:dyDescent="0.25">
      <c r="A17" s="52"/>
      <c r="B17" s="53"/>
      <c r="C17" s="6" t="s">
        <v>303</v>
      </c>
    </row>
    <row r="18" spans="1:3" ht="32.25" customHeight="1" x14ac:dyDescent="0.25">
      <c r="A18" s="52"/>
      <c r="B18" s="53"/>
      <c r="C18" s="6" t="s">
        <v>246</v>
      </c>
    </row>
    <row r="19" spans="1:3" ht="32.25" customHeight="1" x14ac:dyDescent="0.25">
      <c r="A19" s="52"/>
      <c r="B19" s="53"/>
      <c r="C19" s="6" t="s">
        <v>247</v>
      </c>
    </row>
    <row r="20" spans="1:3" ht="57.75" customHeight="1" x14ac:dyDescent="0.25">
      <c r="A20" s="52"/>
      <c r="B20" s="53"/>
      <c r="C20" s="6" t="s">
        <v>301</v>
      </c>
    </row>
    <row r="21" spans="1:3" ht="63" customHeight="1" x14ac:dyDescent="0.25">
      <c r="A21" s="52"/>
      <c r="B21" s="53"/>
      <c r="C21" s="6" t="s">
        <v>248</v>
      </c>
    </row>
    <row r="22" spans="1:3" ht="63" customHeight="1" x14ac:dyDescent="0.25">
      <c r="A22" s="52"/>
      <c r="B22" s="53"/>
      <c r="C22" s="6" t="s">
        <v>249</v>
      </c>
    </row>
    <row r="23" spans="1:3" ht="63" customHeight="1" x14ac:dyDescent="0.25">
      <c r="A23" s="52"/>
      <c r="B23" s="53"/>
      <c r="C23" s="6" t="s">
        <v>250</v>
      </c>
    </row>
    <row r="24" spans="1:3" ht="63" customHeight="1" x14ac:dyDescent="0.25">
      <c r="A24" s="52"/>
      <c r="B24" s="53"/>
      <c r="C24" s="6" t="s">
        <v>302</v>
      </c>
    </row>
    <row r="25" spans="1:3" ht="63" customHeight="1" x14ac:dyDescent="0.25">
      <c r="A25" s="52"/>
      <c r="B25" s="53"/>
      <c r="C25" s="6" t="s">
        <v>251</v>
      </c>
    </row>
    <row r="26" spans="1:3" ht="49.5" customHeight="1" x14ac:dyDescent="0.25">
      <c r="A26" s="4">
        <v>10</v>
      </c>
      <c r="B26" s="49" t="s">
        <v>15</v>
      </c>
      <c r="C26" s="6" t="s">
        <v>293</v>
      </c>
    </row>
    <row r="27" spans="1:3" ht="53.25" customHeight="1" x14ac:dyDescent="0.25">
      <c r="A27" s="4">
        <v>11</v>
      </c>
      <c r="B27" s="49" t="s">
        <v>16</v>
      </c>
      <c r="C27" s="6" t="s">
        <v>294</v>
      </c>
    </row>
    <row r="28" spans="1:3" s="12" customFormat="1" ht="51" customHeight="1" x14ac:dyDescent="0.25">
      <c r="A28" s="17">
        <v>12</v>
      </c>
      <c r="B28" s="50" t="s">
        <v>218</v>
      </c>
      <c r="C28" s="19">
        <v>1</v>
      </c>
    </row>
    <row r="29" spans="1:3" s="12" customFormat="1" ht="51.75" customHeight="1" x14ac:dyDescent="0.25">
      <c r="A29" s="17">
        <v>13</v>
      </c>
      <c r="B29" s="50" t="s">
        <v>219</v>
      </c>
      <c r="C29" s="11" t="s">
        <v>252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4" t="s">
        <v>17</v>
      </c>
      <c r="B1" s="54"/>
      <c r="C1" s="54"/>
    </row>
    <row r="2" spans="1:3" ht="25.5" customHeight="1" x14ac:dyDescent="0.25">
      <c r="A2" s="54" t="s">
        <v>18</v>
      </c>
      <c r="B2" s="54"/>
      <c r="C2" s="54"/>
    </row>
    <row r="3" spans="1:3" s="14" customFormat="1" ht="25.5" customHeight="1" x14ac:dyDescent="0.25">
      <c r="A3" s="54" t="s">
        <v>2</v>
      </c>
      <c r="B3" s="54"/>
      <c r="C3" s="16" t="s">
        <v>306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0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0" t="s">
        <v>224</v>
      </c>
      <c r="C6" s="19"/>
    </row>
    <row r="7" spans="1:3" ht="32.25" customHeight="1" x14ac:dyDescent="0.25">
      <c r="A7" s="10">
        <v>3</v>
      </c>
      <c r="B7" s="50" t="s">
        <v>220</v>
      </c>
      <c r="C7" s="19" t="str">
        <f>'Form 1'!C6</f>
        <v>Korangalu block</v>
      </c>
    </row>
    <row r="8" spans="1:3" ht="32.25" customHeight="1" x14ac:dyDescent="0.25">
      <c r="A8" s="10">
        <v>4</v>
      </c>
      <c r="B8" s="50" t="s">
        <v>9</v>
      </c>
      <c r="C8" s="19">
        <f>'Form 1'!C8</f>
        <v>7305</v>
      </c>
    </row>
    <row r="9" spans="1:3" ht="32.25" customHeight="1" x14ac:dyDescent="0.25">
      <c r="A9" s="10">
        <v>5</v>
      </c>
      <c r="B9" s="50" t="s">
        <v>20</v>
      </c>
      <c r="C9" s="19">
        <f>'Form 1'!C9</f>
        <v>13.094172</v>
      </c>
    </row>
    <row r="10" spans="1:3" ht="32.25" customHeight="1" x14ac:dyDescent="0.25">
      <c r="A10" s="10">
        <v>6</v>
      </c>
      <c r="B10" s="50" t="s">
        <v>21</v>
      </c>
      <c r="C10" s="19">
        <f>'Form 1'!C10</f>
        <v>75.382328000000001</v>
      </c>
    </row>
    <row r="11" spans="1:3" ht="32.25" customHeight="1" x14ac:dyDescent="0.25">
      <c r="A11" s="10">
        <v>7</v>
      </c>
      <c r="B11" s="50" t="s">
        <v>22</v>
      </c>
      <c r="C11" s="19" t="s">
        <v>292</v>
      </c>
    </row>
    <row r="12" spans="1:3" ht="43.5" customHeight="1" x14ac:dyDescent="0.25">
      <c r="A12" s="10">
        <v>8</v>
      </c>
      <c r="B12" s="50" t="s">
        <v>23</v>
      </c>
      <c r="C12" s="19" t="s">
        <v>253</v>
      </c>
    </row>
    <row r="13" spans="1:3" ht="43.5" customHeight="1" x14ac:dyDescent="0.25">
      <c r="A13" s="10">
        <v>9</v>
      </c>
      <c r="B13" s="50" t="s">
        <v>24</v>
      </c>
      <c r="C13" s="19" t="s">
        <v>254</v>
      </c>
    </row>
    <row r="14" spans="1:3" ht="38.25" customHeight="1" x14ac:dyDescent="0.25">
      <c r="A14" s="10">
        <v>10</v>
      </c>
      <c r="B14" s="50" t="s">
        <v>25</v>
      </c>
      <c r="C14" s="19" t="s">
        <v>255</v>
      </c>
    </row>
    <row r="15" spans="1:3" ht="25.5" customHeight="1" x14ac:dyDescent="0.25">
      <c r="A15" s="10">
        <v>11</v>
      </c>
      <c r="B15" s="50" t="s">
        <v>26</v>
      </c>
      <c r="C15" s="20" t="s">
        <v>256</v>
      </c>
    </row>
    <row r="16" spans="1:3" ht="37.5" customHeight="1" x14ac:dyDescent="0.25">
      <c r="A16" s="10">
        <v>12</v>
      </c>
      <c r="B16" s="50" t="s">
        <v>27</v>
      </c>
      <c r="C16" s="20" t="s">
        <v>257</v>
      </c>
    </row>
    <row r="17" spans="1:3" ht="37.5" customHeight="1" x14ac:dyDescent="0.25">
      <c r="A17" s="10">
        <v>13</v>
      </c>
      <c r="B17" s="50" t="s">
        <v>28</v>
      </c>
      <c r="C17" s="20" t="s">
        <v>29</v>
      </c>
    </row>
    <row r="18" spans="1:3" ht="31.5" customHeight="1" x14ac:dyDescent="0.25">
      <c r="A18" s="55">
        <v>14</v>
      </c>
      <c r="B18" s="56" t="s">
        <v>30</v>
      </c>
      <c r="C18" s="20" t="s">
        <v>305</v>
      </c>
    </row>
    <row r="19" spans="1:3" ht="30.75" customHeight="1" x14ac:dyDescent="0.25">
      <c r="A19" s="55"/>
      <c r="B19" s="56"/>
      <c r="C19" s="20" t="s">
        <v>258</v>
      </c>
    </row>
    <row r="20" spans="1:3" ht="30.75" customHeight="1" x14ac:dyDescent="0.25">
      <c r="A20" s="55"/>
      <c r="B20" s="56"/>
      <c r="C20" s="21" t="s">
        <v>259</v>
      </c>
    </row>
    <row r="21" spans="1:3" ht="36" customHeight="1" x14ac:dyDescent="0.25">
      <c r="A21" s="10">
        <v>15</v>
      </c>
      <c r="B21" s="50" t="s">
        <v>31</v>
      </c>
      <c r="C21" s="20" t="s">
        <v>260</v>
      </c>
    </row>
    <row r="22" spans="1:3" ht="54.75" customHeight="1" x14ac:dyDescent="0.25">
      <c r="A22" s="10">
        <v>16</v>
      </c>
      <c r="B22" s="50" t="s">
        <v>32</v>
      </c>
      <c r="C22" s="20" t="s">
        <v>304</v>
      </c>
    </row>
    <row r="23" spans="1:3" ht="15.75" x14ac:dyDescent="0.25">
      <c r="A23" s="10">
        <v>17</v>
      </c>
      <c r="B23" s="50" t="s">
        <v>221</v>
      </c>
      <c r="C23" s="20" t="s">
        <v>261</v>
      </c>
    </row>
    <row r="24" spans="1:3" ht="35.25" customHeight="1" x14ac:dyDescent="0.25">
      <c r="A24" s="10">
        <v>18</v>
      </c>
      <c r="B24" s="50" t="s">
        <v>33</v>
      </c>
      <c r="C24" s="20" t="s">
        <v>262</v>
      </c>
    </row>
    <row r="25" spans="1:3" ht="72.75" customHeight="1" x14ac:dyDescent="0.25">
      <c r="A25" s="10">
        <v>19</v>
      </c>
      <c r="B25" s="50" t="s">
        <v>34</v>
      </c>
      <c r="C25" s="20" t="s">
        <v>263</v>
      </c>
    </row>
    <row r="26" spans="1:3" ht="30" customHeight="1" x14ac:dyDescent="0.25">
      <c r="A26" s="10">
        <v>20</v>
      </c>
      <c r="B26" s="50" t="s">
        <v>35</v>
      </c>
      <c r="C26" s="21" t="s">
        <v>264</v>
      </c>
    </row>
    <row r="27" spans="1:3" ht="30" customHeight="1" x14ac:dyDescent="0.25">
      <c r="A27" s="10">
        <v>21</v>
      </c>
      <c r="B27" s="50" t="s">
        <v>36</v>
      </c>
      <c r="C27" s="20" t="s">
        <v>265</v>
      </c>
    </row>
    <row r="28" spans="1:3" ht="30" customHeight="1" x14ac:dyDescent="0.25">
      <c r="A28" s="10">
        <v>22</v>
      </c>
      <c r="B28" s="50" t="s">
        <v>37</v>
      </c>
      <c r="C28" s="20" t="s">
        <v>266</v>
      </c>
    </row>
    <row r="29" spans="1:3" ht="32.25" customHeight="1" x14ac:dyDescent="0.25">
      <c r="A29" s="10">
        <v>23</v>
      </c>
      <c r="B29" s="50" t="s">
        <v>38</v>
      </c>
      <c r="C29" s="20" t="s">
        <v>266</v>
      </c>
    </row>
    <row r="30" spans="1:3" ht="62.25" customHeight="1" x14ac:dyDescent="0.25">
      <c r="A30" s="10">
        <v>24</v>
      </c>
      <c r="B30" s="50" t="s">
        <v>39</v>
      </c>
      <c r="C30" s="20" t="s">
        <v>267</v>
      </c>
    </row>
    <row r="31" spans="1:3" ht="72.75" customHeight="1" x14ac:dyDescent="0.25">
      <c r="A31" s="10">
        <v>25</v>
      </c>
      <c r="B31" s="50" t="s">
        <v>40</v>
      </c>
      <c r="C31" s="20" t="s">
        <v>275</v>
      </c>
    </row>
    <row r="32" spans="1:3" ht="60" customHeight="1" x14ac:dyDescent="0.25">
      <c r="A32" s="10">
        <v>26</v>
      </c>
      <c r="B32" s="50" t="s">
        <v>41</v>
      </c>
      <c r="C32" s="20" t="s">
        <v>275</v>
      </c>
    </row>
    <row r="33" spans="1:3" ht="60" customHeight="1" x14ac:dyDescent="0.25">
      <c r="A33" s="10">
        <v>27</v>
      </c>
      <c r="B33" s="50" t="s">
        <v>42</v>
      </c>
      <c r="C33" s="19" t="s">
        <v>268</v>
      </c>
    </row>
    <row r="34" spans="1:3" ht="57.75" customHeight="1" x14ac:dyDescent="0.25">
      <c r="A34" s="10">
        <v>28</v>
      </c>
      <c r="B34" s="50" t="s">
        <v>43</v>
      </c>
      <c r="C34" s="20" t="s">
        <v>275</v>
      </c>
    </row>
    <row r="35" spans="1:3" ht="59.25" customHeight="1" x14ac:dyDescent="0.25">
      <c r="A35" s="10">
        <v>29</v>
      </c>
      <c r="B35" s="50" t="s">
        <v>44</v>
      </c>
      <c r="C35" s="20" t="s">
        <v>275</v>
      </c>
    </row>
    <row r="36" spans="1:3" ht="66" customHeight="1" x14ac:dyDescent="0.25">
      <c r="A36" s="10">
        <v>30</v>
      </c>
      <c r="B36" s="50" t="s">
        <v>225</v>
      </c>
      <c r="C36" s="20" t="s">
        <v>269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7" zoomScale="60" zoomScaleNormal="70" workbookViewId="0">
      <selection activeCell="R20" sqref="R20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0" t="s">
        <v>45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20" ht="40.5" customHeight="1" x14ac:dyDescent="0.25">
      <c r="A2" s="61" t="s">
        <v>46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25">
      <c r="A8" s="62" t="s">
        <v>240</v>
      </c>
      <c r="B8" s="51" t="s">
        <v>69</v>
      </c>
      <c r="C8" s="51"/>
      <c r="D8" s="51"/>
      <c r="E8" s="51"/>
      <c r="F8" s="51"/>
      <c r="G8" s="51"/>
      <c r="H8" s="51"/>
      <c r="I8" s="63" t="s">
        <v>70</v>
      </c>
      <c r="J8" s="64"/>
      <c r="K8" s="64"/>
      <c r="L8" s="64"/>
      <c r="M8" s="64"/>
      <c r="N8" s="64"/>
      <c r="O8" s="64"/>
      <c r="P8" s="64"/>
      <c r="Q8" s="64"/>
      <c r="R8" s="64"/>
      <c r="S8" s="65"/>
      <c r="T8" s="57" t="s">
        <v>226</v>
      </c>
    </row>
    <row r="9" spans="1:20" s="23" customFormat="1" ht="40.5" customHeight="1" x14ac:dyDescent="0.25">
      <c r="A9" s="62"/>
      <c r="B9" s="52" t="s">
        <v>71</v>
      </c>
      <c r="C9" s="52" t="s">
        <v>72</v>
      </c>
      <c r="D9" s="52" t="s">
        <v>231</v>
      </c>
      <c r="E9" s="52" t="s">
        <v>73</v>
      </c>
      <c r="F9" s="52" t="s">
        <v>74</v>
      </c>
      <c r="G9" s="52" t="s">
        <v>75</v>
      </c>
      <c r="H9" s="52" t="s">
        <v>76</v>
      </c>
      <c r="I9" s="52" t="s">
        <v>77</v>
      </c>
      <c r="J9" s="52"/>
      <c r="K9" s="52" t="s">
        <v>78</v>
      </c>
      <c r="L9" s="52"/>
      <c r="M9" s="52"/>
      <c r="N9" s="52" t="s">
        <v>79</v>
      </c>
      <c r="O9" s="52" t="s">
        <v>80</v>
      </c>
      <c r="P9" s="52" t="s">
        <v>81</v>
      </c>
      <c r="Q9" s="52" t="s">
        <v>82</v>
      </c>
      <c r="R9" s="52" t="s">
        <v>83</v>
      </c>
      <c r="S9" s="52" t="s">
        <v>84</v>
      </c>
      <c r="T9" s="58"/>
    </row>
    <row r="10" spans="1:20" s="23" customFormat="1" ht="40.5" customHeight="1" x14ac:dyDescent="0.25">
      <c r="A10" s="62"/>
      <c r="B10" s="52"/>
      <c r="C10" s="52"/>
      <c r="D10" s="52"/>
      <c r="E10" s="52"/>
      <c r="F10" s="52"/>
      <c r="G10" s="52"/>
      <c r="H10" s="52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2"/>
      <c r="O10" s="52"/>
      <c r="P10" s="52"/>
      <c r="Q10" s="52"/>
      <c r="R10" s="52"/>
      <c r="S10" s="52"/>
      <c r="T10" s="59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>
        <f>ROW()-11</f>
        <v>1</v>
      </c>
      <c r="B12" s="22" t="s">
        <v>270</v>
      </c>
      <c r="C12" s="22"/>
      <c r="D12" s="22">
        <v>62</v>
      </c>
      <c r="E12" s="22"/>
      <c r="F12" s="22"/>
      <c r="G12" s="22"/>
      <c r="H12" s="22"/>
      <c r="I12" s="22">
        <v>5</v>
      </c>
      <c r="J12" s="22">
        <v>4.5</v>
      </c>
      <c r="K12" s="22">
        <f>L12+M12+R12</f>
        <v>6.5</v>
      </c>
      <c r="L12" s="22">
        <v>2</v>
      </c>
      <c r="M12" s="22">
        <v>1.5</v>
      </c>
      <c r="N12" s="22"/>
      <c r="O12" s="22"/>
      <c r="P12" s="22"/>
      <c r="Q12" s="22"/>
      <c r="R12" s="22">
        <v>3</v>
      </c>
      <c r="S12" s="22"/>
      <c r="T12" s="22"/>
    </row>
    <row r="13" spans="1:20" ht="40.5" customHeight="1" x14ac:dyDescent="0.25">
      <c r="A13" s="22">
        <f t="shared" ref="A13:A17" si="0">ROW()-11</f>
        <v>2</v>
      </c>
      <c r="B13" s="22" t="s">
        <v>271</v>
      </c>
      <c r="C13" s="22"/>
      <c r="D13" s="22">
        <v>34</v>
      </c>
      <c r="E13" s="22"/>
      <c r="F13" s="22"/>
      <c r="G13" s="22"/>
      <c r="H13" s="22"/>
      <c r="I13" s="22">
        <v>0</v>
      </c>
      <c r="J13" s="22">
        <v>0</v>
      </c>
      <c r="K13" s="22">
        <f t="shared" ref="K13:K17" si="1">L13+M13+R13</f>
        <v>4</v>
      </c>
      <c r="L13" s="22">
        <v>0</v>
      </c>
      <c r="M13" s="22">
        <v>0</v>
      </c>
      <c r="N13" s="22"/>
      <c r="O13" s="22"/>
      <c r="P13" s="22"/>
      <c r="Q13" s="22"/>
      <c r="R13" s="22">
        <v>4</v>
      </c>
      <c r="S13" s="22"/>
      <c r="T13" s="22"/>
    </row>
    <row r="14" spans="1:20" ht="40.5" customHeight="1" x14ac:dyDescent="0.25">
      <c r="A14" s="22">
        <f t="shared" si="0"/>
        <v>3</v>
      </c>
      <c r="B14" s="22" t="s">
        <v>270</v>
      </c>
      <c r="C14" s="22"/>
      <c r="D14" s="22">
        <v>38</v>
      </c>
      <c r="E14" s="22"/>
      <c r="F14" s="22"/>
      <c r="G14" s="22"/>
      <c r="H14" s="22"/>
      <c r="I14" s="22">
        <v>5</v>
      </c>
      <c r="J14" s="22">
        <v>4</v>
      </c>
      <c r="K14" s="22">
        <f t="shared" si="1"/>
        <v>4</v>
      </c>
      <c r="L14" s="22">
        <v>1</v>
      </c>
      <c r="M14" s="22">
        <v>2</v>
      </c>
      <c r="N14" s="22"/>
      <c r="O14" s="22"/>
      <c r="P14" s="22"/>
      <c r="Q14" s="22"/>
      <c r="R14" s="22">
        <v>1</v>
      </c>
      <c r="S14" s="22"/>
      <c r="T14" s="22"/>
    </row>
    <row r="15" spans="1:20" ht="40.5" customHeight="1" x14ac:dyDescent="0.25">
      <c r="A15" s="22">
        <f t="shared" si="0"/>
        <v>4</v>
      </c>
      <c r="B15" s="22" t="s">
        <v>272</v>
      </c>
      <c r="C15" s="22"/>
      <c r="D15" s="22">
        <v>160</v>
      </c>
      <c r="E15" s="22"/>
      <c r="F15" s="22"/>
      <c r="G15" s="22"/>
      <c r="H15" s="22"/>
      <c r="I15" s="22">
        <v>4</v>
      </c>
      <c r="J15" s="22">
        <v>5</v>
      </c>
      <c r="K15" s="22">
        <f t="shared" si="1"/>
        <v>14.5</v>
      </c>
      <c r="L15" s="22">
        <v>5</v>
      </c>
      <c r="M15" s="22">
        <v>4.5</v>
      </c>
      <c r="N15" s="22"/>
      <c r="O15" s="22"/>
      <c r="P15" s="22"/>
      <c r="Q15" s="22"/>
      <c r="R15" s="22">
        <v>5</v>
      </c>
      <c r="S15" s="22"/>
      <c r="T15" s="22"/>
    </row>
    <row r="16" spans="1:20" ht="40.5" customHeight="1" x14ac:dyDescent="0.25">
      <c r="A16" s="22">
        <f t="shared" si="0"/>
        <v>5</v>
      </c>
      <c r="B16" s="22" t="s">
        <v>273</v>
      </c>
      <c r="C16" s="22"/>
      <c r="D16" s="22">
        <v>48</v>
      </c>
      <c r="E16" s="22"/>
      <c r="F16" s="22"/>
      <c r="G16" s="22"/>
      <c r="H16" s="22"/>
      <c r="I16" s="22">
        <v>3</v>
      </c>
      <c r="J16" s="22">
        <v>3.5</v>
      </c>
      <c r="K16" s="22">
        <f t="shared" si="1"/>
        <v>10.5</v>
      </c>
      <c r="L16" s="22">
        <v>3</v>
      </c>
      <c r="M16" s="22">
        <v>2.5</v>
      </c>
      <c r="N16" s="22"/>
      <c r="O16" s="22"/>
      <c r="P16" s="22"/>
      <c r="Q16" s="22"/>
      <c r="R16" s="22">
        <v>5</v>
      </c>
      <c r="S16" s="22"/>
      <c r="T16" s="22"/>
    </row>
    <row r="17" spans="1:20" ht="40.5" customHeight="1" x14ac:dyDescent="0.25">
      <c r="A17" s="22">
        <f t="shared" si="0"/>
        <v>6</v>
      </c>
      <c r="B17" s="22" t="s">
        <v>274</v>
      </c>
      <c r="C17" s="22"/>
      <c r="D17" s="22">
        <v>63</v>
      </c>
      <c r="E17" s="22"/>
      <c r="F17" s="22"/>
      <c r="G17" s="22"/>
      <c r="H17" s="22"/>
      <c r="I17" s="22">
        <v>4</v>
      </c>
      <c r="J17" s="22">
        <v>4.5</v>
      </c>
      <c r="K17" s="22">
        <f t="shared" si="1"/>
        <v>14</v>
      </c>
      <c r="L17" s="22">
        <v>4</v>
      </c>
      <c r="M17" s="22">
        <v>3</v>
      </c>
      <c r="N17" s="22"/>
      <c r="O17" s="22"/>
      <c r="P17" s="22"/>
      <c r="Q17" s="22"/>
      <c r="R17" s="22">
        <v>7</v>
      </c>
      <c r="S17" s="22"/>
      <c r="T17" s="22"/>
    </row>
    <row r="18" spans="1:20" ht="40.5" customHeigh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1:20" ht="40.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ht="40.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spans="1:20" ht="40.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1:20" ht="40.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1:20" ht="40.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 ht="40.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 ht="40.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1:20" ht="40.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ht="40.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0" t="s">
        <v>107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1" t="s">
        <v>108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2" t="s">
        <v>109</v>
      </c>
      <c r="E5" s="52"/>
      <c r="F5" s="52" t="s">
        <v>110</v>
      </c>
      <c r="G5" s="52"/>
      <c r="H5" s="52" t="s">
        <v>111</v>
      </c>
      <c r="I5" s="52"/>
      <c r="J5" s="52" t="s">
        <v>112</v>
      </c>
      <c r="K5" s="52"/>
      <c r="S5" s="52" t="s">
        <v>113</v>
      </c>
      <c r="T5" s="52"/>
      <c r="U5" s="52"/>
      <c r="V5" s="52"/>
      <c r="W5" s="52"/>
      <c r="X5" s="52"/>
      <c r="Y5" s="52" t="s">
        <v>114</v>
      </c>
      <c r="Z5" s="52"/>
    </row>
    <row r="6" spans="1:34" s="14" customFormat="1" ht="23.25" customHeight="1" x14ac:dyDescent="0.25">
      <c r="D6" s="51" t="s">
        <v>58</v>
      </c>
      <c r="E6" s="51"/>
      <c r="F6" s="51" t="s">
        <v>59</v>
      </c>
      <c r="G6" s="51"/>
      <c r="H6" s="51" t="s">
        <v>60</v>
      </c>
      <c r="I6" s="51"/>
      <c r="J6" s="51" t="s">
        <v>61</v>
      </c>
      <c r="K6" s="51"/>
      <c r="S6" s="52" t="s">
        <v>115</v>
      </c>
      <c r="T6" s="52"/>
      <c r="U6" s="52"/>
      <c r="V6" s="52" t="s">
        <v>116</v>
      </c>
      <c r="W6" s="52"/>
      <c r="X6" s="52"/>
      <c r="Y6" s="52"/>
      <c r="Z6" s="52"/>
    </row>
    <row r="7" spans="1:34" s="18" customFormat="1" ht="23.25" customHeight="1" x14ac:dyDescent="0.25">
      <c r="D7" s="62"/>
      <c r="E7" s="62"/>
      <c r="F7" s="62">
        <v>5</v>
      </c>
      <c r="G7" s="62"/>
      <c r="H7" s="62"/>
      <c r="I7" s="62"/>
      <c r="J7" s="62"/>
      <c r="K7" s="62"/>
      <c r="S7" s="62" t="s">
        <v>117</v>
      </c>
      <c r="T7" s="62"/>
      <c r="U7" s="62"/>
      <c r="V7" s="62" t="s">
        <v>118</v>
      </c>
      <c r="W7" s="62"/>
      <c r="X7" s="62"/>
      <c r="Y7" s="62" t="s">
        <v>119</v>
      </c>
      <c r="Z7" s="62"/>
    </row>
    <row r="8" spans="1:34" s="18" customFormat="1" ht="24.75" customHeight="1" x14ac:dyDescent="0.25">
      <c r="S8" s="62"/>
      <c r="T8" s="62"/>
      <c r="U8" s="62"/>
      <c r="V8" s="66"/>
      <c r="W8" s="67"/>
      <c r="X8" s="68"/>
      <c r="Y8" s="66"/>
      <c r="Z8" s="68"/>
    </row>
    <row r="10" spans="1:34" s="25" customFormat="1" ht="24.75" customHeight="1" x14ac:dyDescent="0.25">
      <c r="A10" s="51" t="s">
        <v>120</v>
      </c>
      <c r="B10" s="51"/>
      <c r="C10" s="52" t="s">
        <v>121</v>
      </c>
      <c r="D10" s="52" t="s">
        <v>232</v>
      </c>
      <c r="E10" s="52" t="s">
        <v>122</v>
      </c>
      <c r="F10" s="52" t="s">
        <v>123</v>
      </c>
      <c r="G10" s="52"/>
      <c r="H10" s="52"/>
      <c r="I10" s="52"/>
      <c r="J10" s="52"/>
      <c r="K10" s="52"/>
      <c r="L10" s="52"/>
      <c r="M10" s="52"/>
      <c r="N10" s="52"/>
      <c r="O10" s="52" t="s">
        <v>124</v>
      </c>
      <c r="P10" s="52"/>
      <c r="Q10" s="52"/>
      <c r="R10" s="52"/>
      <c r="S10" s="52"/>
      <c r="T10" s="52"/>
      <c r="U10" s="52"/>
      <c r="V10" s="52"/>
      <c r="W10" s="52"/>
      <c r="X10" s="52" t="s">
        <v>125</v>
      </c>
      <c r="Y10" s="52"/>
      <c r="Z10" s="52"/>
      <c r="AA10" s="52"/>
      <c r="AB10" s="51" t="s">
        <v>126</v>
      </c>
      <c r="AC10" s="51"/>
      <c r="AD10" s="51"/>
      <c r="AE10" s="51"/>
      <c r="AF10" s="52" t="s">
        <v>127</v>
      </c>
      <c r="AG10" s="57" t="s">
        <v>128</v>
      </c>
      <c r="AH10" s="52" t="s">
        <v>129</v>
      </c>
    </row>
    <row r="11" spans="1:34" s="25" customFormat="1" ht="42" customHeight="1" x14ac:dyDescent="0.25">
      <c r="A11" s="57" t="s">
        <v>130</v>
      </c>
      <c r="B11" s="51" t="s">
        <v>131</v>
      </c>
      <c r="C11" s="52"/>
      <c r="D11" s="52"/>
      <c r="E11" s="52"/>
      <c r="F11" s="52" t="s">
        <v>132</v>
      </c>
      <c r="G11" s="52" t="s">
        <v>133</v>
      </c>
      <c r="H11" s="52"/>
      <c r="I11" s="52"/>
      <c r="J11" s="52"/>
      <c r="K11" s="52" t="s">
        <v>134</v>
      </c>
      <c r="L11" s="52"/>
      <c r="M11" s="52"/>
      <c r="N11" s="52"/>
      <c r="O11" s="52" t="s">
        <v>132</v>
      </c>
      <c r="P11" s="52" t="s">
        <v>133</v>
      </c>
      <c r="Q11" s="52"/>
      <c r="R11" s="52"/>
      <c r="S11" s="52"/>
      <c r="T11" s="52" t="s">
        <v>134</v>
      </c>
      <c r="U11" s="52"/>
      <c r="V11" s="52"/>
      <c r="W11" s="52"/>
      <c r="X11" s="52"/>
      <c r="Y11" s="52"/>
      <c r="Z11" s="52"/>
      <c r="AA11" s="52"/>
      <c r="AB11" s="51"/>
      <c r="AC11" s="51"/>
      <c r="AD11" s="51"/>
      <c r="AE11" s="51"/>
      <c r="AF11" s="52"/>
      <c r="AG11" s="59"/>
      <c r="AH11" s="52"/>
    </row>
    <row r="12" spans="1:34" s="25" customFormat="1" ht="36" customHeight="1" x14ac:dyDescent="0.25">
      <c r="A12" s="59"/>
      <c r="B12" s="51"/>
      <c r="C12" s="52"/>
      <c r="D12" s="52"/>
      <c r="E12" s="52"/>
      <c r="F12" s="52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2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="60" workbookViewId="0">
      <selection activeCell="F8" sqref="F8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2" t="s">
        <v>163</v>
      </c>
      <c r="B1" s="72"/>
      <c r="C1" s="72"/>
      <c r="D1" s="72"/>
      <c r="E1" s="72"/>
      <c r="F1" s="72"/>
      <c r="G1" s="72"/>
      <c r="H1" s="72"/>
    </row>
    <row r="2" spans="1:8" s="26" customFormat="1" ht="24.75" customHeight="1" x14ac:dyDescent="0.25">
      <c r="B2" s="27" t="s">
        <v>164</v>
      </c>
      <c r="F2" s="73" t="s">
        <v>165</v>
      </c>
      <c r="G2" s="73"/>
      <c r="H2" s="7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6" t="s">
        <v>171</v>
      </c>
      <c r="G3" s="76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7" t="s">
        <v>173</v>
      </c>
      <c r="G4" s="17" t="s">
        <v>174</v>
      </c>
      <c r="H4" s="75"/>
    </row>
    <row r="5" spans="1:8" ht="29.25" customHeight="1" x14ac:dyDescent="0.25">
      <c r="A5" s="10">
        <v>1</v>
      </c>
      <c r="B5" s="11"/>
      <c r="C5" s="11"/>
      <c r="D5" s="11"/>
      <c r="E5" s="11"/>
      <c r="F5" s="11"/>
      <c r="G5" s="11">
        <f>D5*E5</f>
        <v>0</v>
      </c>
      <c r="H5" s="11"/>
    </row>
    <row r="6" spans="1:8" ht="29.25" customHeight="1" x14ac:dyDescent="0.25">
      <c r="A6" s="10">
        <v>2</v>
      </c>
      <c r="B6" s="11" t="s">
        <v>275</v>
      </c>
      <c r="C6" s="11"/>
      <c r="D6" s="11"/>
      <c r="E6" s="11"/>
      <c r="F6" s="11"/>
      <c r="G6" s="11"/>
      <c r="H6" s="11"/>
    </row>
    <row r="7" spans="1:8" ht="29.25" customHeight="1" x14ac:dyDescent="0.25">
      <c r="A7" s="10">
        <v>3</v>
      </c>
      <c r="B7" s="11"/>
      <c r="C7" s="11"/>
      <c r="D7" s="11"/>
      <c r="E7" s="11"/>
      <c r="F7" s="11"/>
      <c r="G7" s="11"/>
      <c r="H7" s="11"/>
    </row>
    <row r="8" spans="1:8" ht="29.25" customHeight="1" x14ac:dyDescent="0.25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76" t="s">
        <v>175</v>
      </c>
      <c r="B28" s="76"/>
      <c r="C28" s="76"/>
      <c r="D28" s="76"/>
      <c r="E28" s="76"/>
      <c r="F28" s="76"/>
      <c r="G28" s="76"/>
      <c r="H28" s="76"/>
    </row>
    <row r="29" spans="1:8" ht="36" customHeight="1" x14ac:dyDescent="0.25">
      <c r="A29" s="10">
        <v>1</v>
      </c>
      <c r="B29" s="77" t="s">
        <v>176</v>
      </c>
      <c r="C29" s="77"/>
      <c r="D29" s="77"/>
      <c r="E29" s="77"/>
      <c r="F29" s="77"/>
      <c r="G29" s="77"/>
      <c r="H29" s="33" t="s">
        <v>286</v>
      </c>
    </row>
    <row r="30" spans="1:8" ht="31.5" customHeight="1" x14ac:dyDescent="0.25">
      <c r="A30" s="10">
        <v>2</v>
      </c>
      <c r="B30" s="77" t="s">
        <v>177</v>
      </c>
      <c r="C30" s="77"/>
      <c r="D30" s="77"/>
      <c r="E30" s="77"/>
      <c r="F30" s="77"/>
      <c r="G30" s="77"/>
      <c r="H30" s="33" t="s">
        <v>287</v>
      </c>
    </row>
    <row r="31" spans="1:8" ht="24.75" customHeight="1" x14ac:dyDescent="0.25">
      <c r="A31" s="10">
        <v>3</v>
      </c>
      <c r="B31" s="77" t="s">
        <v>178</v>
      </c>
      <c r="C31" s="77"/>
      <c r="D31" s="77"/>
      <c r="E31" s="77"/>
      <c r="F31" s="77"/>
      <c r="G31" s="77"/>
      <c r="H31" s="33">
        <v>0</v>
      </c>
    </row>
    <row r="32" spans="1:8" ht="24.75" customHeight="1" x14ac:dyDescent="0.25">
      <c r="A32" s="10">
        <v>4</v>
      </c>
      <c r="B32" s="69" t="s">
        <v>179</v>
      </c>
      <c r="C32" s="70"/>
      <c r="D32" s="70"/>
      <c r="E32" s="70"/>
      <c r="F32" s="70"/>
      <c r="G32" s="71"/>
      <c r="H32" s="33" t="s">
        <v>288</v>
      </c>
    </row>
    <row r="33" spans="1:8" ht="24.75" customHeight="1" x14ac:dyDescent="0.25">
      <c r="A33" s="10">
        <v>5</v>
      </c>
      <c r="B33" s="69" t="s">
        <v>180</v>
      </c>
      <c r="C33" s="70"/>
      <c r="D33" s="70"/>
      <c r="E33" s="70"/>
      <c r="F33" s="70"/>
      <c r="G33" s="71"/>
      <c r="H33" s="33">
        <v>0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76" t="s">
        <v>166</v>
      </c>
      <c r="B36" s="76" t="s">
        <v>167</v>
      </c>
      <c r="C36" s="76" t="s">
        <v>168</v>
      </c>
      <c r="D36" s="74" t="s">
        <v>169</v>
      </c>
      <c r="E36" s="76" t="s">
        <v>170</v>
      </c>
      <c r="F36" s="76" t="s">
        <v>171</v>
      </c>
      <c r="G36" s="76"/>
      <c r="H36" s="76" t="s">
        <v>172</v>
      </c>
    </row>
    <row r="37" spans="1:8" ht="67.150000000000006" customHeight="1" x14ac:dyDescent="0.25">
      <c r="A37" s="76"/>
      <c r="B37" s="76"/>
      <c r="C37" s="76"/>
      <c r="D37" s="75"/>
      <c r="E37" s="76"/>
      <c r="F37" s="17" t="s">
        <v>173</v>
      </c>
      <c r="G37" s="17" t="s">
        <v>174</v>
      </c>
      <c r="H37" s="76"/>
    </row>
    <row r="38" spans="1:8" ht="36" customHeight="1" x14ac:dyDescent="0.25">
      <c r="A38" s="10">
        <v>1</v>
      </c>
      <c r="B38" s="17" t="s">
        <v>307</v>
      </c>
      <c r="C38" s="17" t="s">
        <v>276</v>
      </c>
      <c r="D38" s="17">
        <v>4</v>
      </c>
      <c r="E38" s="17">
        <v>4</v>
      </c>
      <c r="F38" s="86" t="s">
        <v>319</v>
      </c>
      <c r="G38" s="11">
        <f t="shared" ref="G38:G39" si="0">D38*E38</f>
        <v>16</v>
      </c>
      <c r="H38" s="17"/>
    </row>
    <row r="39" spans="1:8" ht="36" customHeight="1" x14ac:dyDescent="0.25">
      <c r="A39" s="10">
        <v>2</v>
      </c>
      <c r="B39" s="17" t="s">
        <v>277</v>
      </c>
      <c r="C39" s="17" t="s">
        <v>308</v>
      </c>
      <c r="D39" s="17">
        <v>4</v>
      </c>
      <c r="E39" s="17">
        <v>2.5</v>
      </c>
      <c r="F39" s="17" t="s">
        <v>316</v>
      </c>
      <c r="G39" s="11">
        <f t="shared" si="0"/>
        <v>10</v>
      </c>
      <c r="H39" s="17"/>
    </row>
    <row r="40" spans="1:8" ht="36" customHeight="1" x14ac:dyDescent="0.25">
      <c r="A40" s="10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25">
      <c r="A41" s="10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76" t="s">
        <v>175</v>
      </c>
      <c r="B59" s="76"/>
      <c r="C59" s="76"/>
      <c r="D59" s="76"/>
      <c r="E59" s="76"/>
      <c r="F59" s="76"/>
      <c r="G59" s="76"/>
      <c r="H59" s="76"/>
    </row>
    <row r="60" spans="1:8" ht="38.25" customHeight="1" x14ac:dyDescent="0.25">
      <c r="A60" s="10">
        <v>1</v>
      </c>
      <c r="B60" s="77" t="s">
        <v>176</v>
      </c>
      <c r="C60" s="77"/>
      <c r="D60" s="77"/>
      <c r="E60" s="77"/>
      <c r="F60" s="77"/>
      <c r="G60" s="77"/>
      <c r="H60" s="10" t="s">
        <v>289</v>
      </c>
    </row>
    <row r="61" spans="1:8" ht="38.25" customHeight="1" x14ac:dyDescent="0.25">
      <c r="A61" s="10">
        <v>2</v>
      </c>
      <c r="B61" s="77" t="s">
        <v>177</v>
      </c>
      <c r="C61" s="77"/>
      <c r="D61" s="77"/>
      <c r="E61" s="77"/>
      <c r="F61" s="77"/>
      <c r="G61" s="77"/>
      <c r="H61" s="10" t="s">
        <v>290</v>
      </c>
    </row>
    <row r="62" spans="1:8" ht="25.5" customHeight="1" x14ac:dyDescent="0.25">
      <c r="A62" s="10">
        <v>3</v>
      </c>
      <c r="B62" s="77" t="s">
        <v>178</v>
      </c>
      <c r="C62" s="77"/>
      <c r="D62" s="77"/>
      <c r="E62" s="77"/>
      <c r="F62" s="77"/>
      <c r="G62" s="77"/>
      <c r="H62" s="10">
        <v>0</v>
      </c>
    </row>
    <row r="63" spans="1:8" ht="25.5" customHeight="1" x14ac:dyDescent="0.25">
      <c r="A63" s="10">
        <v>4</v>
      </c>
      <c r="B63" s="69" t="s">
        <v>182</v>
      </c>
      <c r="C63" s="70"/>
      <c r="D63" s="70"/>
      <c r="E63" s="70"/>
      <c r="F63" s="70"/>
      <c r="G63" s="71"/>
      <c r="H63" s="10" t="s">
        <v>291</v>
      </c>
    </row>
    <row r="64" spans="1:8" ht="24.75" customHeight="1" x14ac:dyDescent="0.25">
      <c r="A64" s="10">
        <v>5</v>
      </c>
      <c r="B64" s="77" t="s">
        <v>183</v>
      </c>
      <c r="C64" s="77"/>
      <c r="D64" s="77"/>
      <c r="E64" s="77"/>
      <c r="F64" s="77"/>
      <c r="G64" s="77"/>
      <c r="H64" s="10" t="s">
        <v>278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241</v>
      </c>
      <c r="G66" s="27"/>
    </row>
    <row r="67" spans="1:8" ht="29.45" customHeight="1" x14ac:dyDescent="0.25">
      <c r="A67" s="76" t="s">
        <v>166</v>
      </c>
      <c r="B67" s="76" t="s">
        <v>167</v>
      </c>
      <c r="C67" s="76" t="s">
        <v>168</v>
      </c>
      <c r="D67" s="74" t="s">
        <v>169</v>
      </c>
      <c r="E67" s="76" t="s">
        <v>170</v>
      </c>
      <c r="F67" s="76" t="s">
        <v>171</v>
      </c>
      <c r="G67" s="76"/>
      <c r="H67" s="76" t="s">
        <v>172</v>
      </c>
    </row>
    <row r="68" spans="1:8" ht="63" x14ac:dyDescent="0.25">
      <c r="A68" s="76"/>
      <c r="B68" s="76"/>
      <c r="C68" s="76"/>
      <c r="D68" s="75"/>
      <c r="E68" s="76"/>
      <c r="F68" s="17" t="s">
        <v>173</v>
      </c>
      <c r="G68" s="17" t="s">
        <v>174</v>
      </c>
      <c r="H68" s="76"/>
    </row>
    <row r="69" spans="1:8" s="26" customFormat="1" ht="41.25" customHeight="1" x14ac:dyDescent="0.25">
      <c r="A69" s="10">
        <v>1</v>
      </c>
      <c r="B69" s="38" t="s">
        <v>279</v>
      </c>
      <c r="C69" s="10" t="s">
        <v>309</v>
      </c>
      <c r="D69" s="10">
        <v>5</v>
      </c>
      <c r="E69" s="10">
        <v>1.8</v>
      </c>
      <c r="F69" s="10" t="s">
        <v>318</v>
      </c>
      <c r="G69" s="11">
        <f t="shared" ref="G69:G70" si="1">D69*E69</f>
        <v>9</v>
      </c>
      <c r="H69" s="10"/>
    </row>
    <row r="70" spans="1:8" s="26" customFormat="1" ht="41.25" customHeight="1" x14ac:dyDescent="0.25">
      <c r="A70" s="10">
        <v>2</v>
      </c>
      <c r="B70" s="38" t="s">
        <v>280</v>
      </c>
      <c r="C70" s="10" t="s">
        <v>310</v>
      </c>
      <c r="D70" s="10">
        <v>4</v>
      </c>
      <c r="E70" s="10">
        <v>3</v>
      </c>
      <c r="F70" s="10" t="s">
        <v>317</v>
      </c>
      <c r="G70" s="11">
        <f t="shared" si="1"/>
        <v>12</v>
      </c>
      <c r="H70" s="10"/>
    </row>
    <row r="71" spans="1:8" s="26" customFormat="1" ht="41.25" customHeight="1" x14ac:dyDescent="0.25">
      <c r="A71" s="10">
        <v>3</v>
      </c>
      <c r="B71" s="38"/>
      <c r="C71" s="10"/>
      <c r="D71" s="10"/>
      <c r="E71" s="10"/>
      <c r="F71" s="10"/>
      <c r="G71" s="10"/>
      <c r="H71" s="10"/>
    </row>
    <row r="72" spans="1:8" s="26" customFormat="1" ht="41.25" customHeight="1" x14ac:dyDescent="0.25">
      <c r="A72" s="10">
        <v>4</v>
      </c>
      <c r="B72" s="38"/>
      <c r="C72" s="10"/>
      <c r="D72" s="10"/>
      <c r="E72" s="10"/>
      <c r="F72" s="10"/>
      <c r="G72" s="10"/>
      <c r="H72" s="10"/>
    </row>
    <row r="73" spans="1:8" s="26" customFormat="1" ht="41.25" customHeight="1" x14ac:dyDescent="0.25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25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25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25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25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25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25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25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25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25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25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25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25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25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25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25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25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25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25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8" t="s">
        <v>242</v>
      </c>
      <c r="G93" s="78"/>
      <c r="H93" s="78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9" t="s">
        <v>171</v>
      </c>
      <c r="G94" s="80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7" t="s">
        <v>173</v>
      </c>
      <c r="G95" s="17" t="s">
        <v>174</v>
      </c>
      <c r="H95" s="75"/>
    </row>
    <row r="96" spans="1:8" s="26" customFormat="1" ht="39" customHeight="1" x14ac:dyDescent="0.25">
      <c r="A96" s="39">
        <v>1</v>
      </c>
      <c r="B96" s="38" t="s">
        <v>280</v>
      </c>
      <c r="C96" s="10" t="s">
        <v>310</v>
      </c>
      <c r="D96" s="10">
        <v>5</v>
      </c>
      <c r="E96" s="10">
        <v>3.5</v>
      </c>
      <c r="F96" s="21" t="s">
        <v>317</v>
      </c>
      <c r="G96" s="11">
        <f t="shared" ref="G96:G97" si="2">D96*E96</f>
        <v>17.5</v>
      </c>
      <c r="H96" s="21"/>
    </row>
    <row r="97" spans="1:8" s="26" customFormat="1" ht="39" customHeight="1" x14ac:dyDescent="0.25">
      <c r="A97" s="39">
        <v>2</v>
      </c>
      <c r="B97" s="38" t="s">
        <v>277</v>
      </c>
      <c r="C97" s="38" t="s">
        <v>308</v>
      </c>
      <c r="D97" s="38">
        <v>4.5</v>
      </c>
      <c r="E97" s="38">
        <v>3.5</v>
      </c>
      <c r="F97" s="21" t="s">
        <v>316</v>
      </c>
      <c r="G97" s="11">
        <f t="shared" si="2"/>
        <v>15.75</v>
      </c>
      <c r="H97" s="21"/>
    </row>
    <row r="98" spans="1:8" s="26" customFormat="1" ht="39" customHeight="1" x14ac:dyDescent="0.25">
      <c r="A98" s="39">
        <v>3</v>
      </c>
      <c r="B98" s="38"/>
      <c r="C98" s="10"/>
      <c r="D98" s="39"/>
      <c r="E98" s="40"/>
      <c r="F98" s="21"/>
      <c r="G98" s="21"/>
      <c r="H98" s="21"/>
    </row>
    <row r="99" spans="1:8" s="26" customFormat="1" ht="39" customHeight="1" x14ac:dyDescent="0.25">
      <c r="A99" s="39">
        <v>4</v>
      </c>
      <c r="B99" s="38"/>
      <c r="C99" s="10"/>
      <c r="D99" s="39"/>
      <c r="E99" s="40"/>
      <c r="F99" s="21"/>
      <c r="G99" s="21"/>
      <c r="H99" s="21"/>
    </row>
    <row r="100" spans="1:8" s="26" customFormat="1" ht="39" customHeight="1" x14ac:dyDescent="0.25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25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25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7" sqref="E7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0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2" t="s">
        <v>184</v>
      </c>
      <c r="B1" s="72"/>
      <c r="C1" s="72"/>
      <c r="D1" s="72"/>
      <c r="E1" s="72"/>
      <c r="F1" s="72"/>
      <c r="G1" s="72"/>
    </row>
    <row r="2" spans="1:7" ht="45.6" customHeight="1" x14ac:dyDescent="0.25">
      <c r="E2" s="73" t="s">
        <v>165</v>
      </c>
      <c r="F2" s="73"/>
      <c r="G2" s="73"/>
    </row>
    <row r="3" spans="1:7" ht="45.6" customHeight="1" x14ac:dyDescent="0.25">
      <c r="A3" s="76" t="s">
        <v>166</v>
      </c>
      <c r="B3" s="76" t="s">
        <v>167</v>
      </c>
      <c r="C3" s="56" t="s">
        <v>168</v>
      </c>
      <c r="D3" s="76" t="s">
        <v>185</v>
      </c>
      <c r="E3" s="76" t="s">
        <v>171</v>
      </c>
      <c r="F3" s="76"/>
      <c r="G3" s="76" t="s">
        <v>186</v>
      </c>
    </row>
    <row r="4" spans="1:7" ht="45.6" customHeight="1" x14ac:dyDescent="0.25">
      <c r="A4" s="76"/>
      <c r="B4" s="76"/>
      <c r="C4" s="56"/>
      <c r="D4" s="76"/>
      <c r="E4" s="17" t="s">
        <v>187</v>
      </c>
      <c r="F4" s="17" t="s">
        <v>188</v>
      </c>
      <c r="G4" s="76"/>
    </row>
    <row r="5" spans="1:7" ht="45.6" customHeight="1" x14ac:dyDescent="0.25">
      <c r="A5" s="76"/>
      <c r="B5" s="76"/>
      <c r="C5" s="56"/>
      <c r="D5" s="76"/>
      <c r="E5" s="17" t="s">
        <v>189</v>
      </c>
      <c r="F5" s="17" t="s">
        <v>222</v>
      </c>
      <c r="G5" s="76"/>
    </row>
    <row r="6" spans="1:7" ht="45.6" customHeight="1" x14ac:dyDescent="0.25">
      <c r="A6" s="10">
        <v>1</v>
      </c>
      <c r="B6" s="17" t="s">
        <v>281</v>
      </c>
      <c r="C6" s="43" t="s">
        <v>311</v>
      </c>
      <c r="D6" s="17">
        <v>25</v>
      </c>
      <c r="E6" s="17" t="s">
        <v>312</v>
      </c>
      <c r="F6" s="17">
        <f>0.05*(D6)*(D6)</f>
        <v>31.25</v>
      </c>
      <c r="G6" s="17"/>
    </row>
    <row r="7" spans="1:7" ht="45.6" customHeight="1" x14ac:dyDescent="0.25">
      <c r="A7" s="10">
        <v>2</v>
      </c>
      <c r="B7" s="17" t="s">
        <v>282</v>
      </c>
      <c r="C7" s="43"/>
      <c r="D7" s="17">
        <v>27</v>
      </c>
      <c r="E7" s="17" t="s">
        <v>314</v>
      </c>
      <c r="F7" s="17">
        <f t="shared" ref="F7:F8" si="0">0.05*(D7)*(D7)</f>
        <v>36.450000000000003</v>
      </c>
      <c r="G7" s="17"/>
    </row>
    <row r="8" spans="1:7" ht="45.6" customHeight="1" x14ac:dyDescent="0.25">
      <c r="A8" s="10">
        <v>3</v>
      </c>
      <c r="B8" s="17" t="s">
        <v>283</v>
      </c>
      <c r="C8" s="43"/>
      <c r="D8" s="17">
        <v>23</v>
      </c>
      <c r="E8" s="17" t="s">
        <v>315</v>
      </c>
      <c r="F8" s="17">
        <f t="shared" si="0"/>
        <v>26.450000000000003</v>
      </c>
      <c r="G8" s="17"/>
    </row>
    <row r="9" spans="1:7" ht="45.6" customHeight="1" x14ac:dyDescent="0.25">
      <c r="A9" s="10">
        <v>4</v>
      </c>
      <c r="B9" s="17"/>
      <c r="C9" s="43"/>
      <c r="D9" s="17"/>
      <c r="E9" s="17"/>
      <c r="F9" s="17"/>
      <c r="G9" s="17"/>
    </row>
    <row r="10" spans="1:7" ht="45.6" customHeight="1" x14ac:dyDescent="0.25">
      <c r="A10" s="10">
        <v>5</v>
      </c>
      <c r="B10" s="17"/>
      <c r="C10" s="43"/>
      <c r="D10" s="17"/>
      <c r="E10" s="17"/>
      <c r="F10" s="17"/>
      <c r="G10" s="17"/>
    </row>
    <row r="11" spans="1:7" ht="45.6" customHeight="1" x14ac:dyDescent="0.25">
      <c r="A11" s="10">
        <v>6</v>
      </c>
      <c r="B11" s="17"/>
      <c r="C11" s="43"/>
      <c r="D11" s="17"/>
      <c r="E11" s="17"/>
      <c r="F11" s="17"/>
      <c r="G11" s="17"/>
    </row>
    <row r="12" spans="1:7" ht="45.6" customHeight="1" x14ac:dyDescent="0.25">
      <c r="A12" s="10">
        <v>7</v>
      </c>
      <c r="B12" s="17"/>
      <c r="C12" s="43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3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3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3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3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3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3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3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3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3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3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3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3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3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3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3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3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3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3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3"/>
      <c r="D31" s="17"/>
      <c r="E31" s="17"/>
      <c r="F31" s="17"/>
      <c r="G31" s="17"/>
    </row>
    <row r="32" spans="1:7" s="26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6" t="s">
        <v>175</v>
      </c>
      <c r="B33" s="76"/>
      <c r="C33" s="76"/>
      <c r="D33" s="76"/>
      <c r="E33" s="76"/>
      <c r="F33" s="76"/>
      <c r="G33" s="76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72" t="s">
        <v>192</v>
      </c>
      <c r="F35" s="72"/>
      <c r="G35" s="72"/>
    </row>
    <row r="36" spans="1:7" ht="45.6" customHeight="1" x14ac:dyDescent="0.25">
      <c r="A36" s="76" t="s">
        <v>166</v>
      </c>
      <c r="B36" s="76" t="s">
        <v>167</v>
      </c>
      <c r="C36" s="81" t="s">
        <v>168</v>
      </c>
      <c r="D36" s="76" t="s">
        <v>185</v>
      </c>
      <c r="E36" s="76" t="s">
        <v>171</v>
      </c>
      <c r="F36" s="76"/>
      <c r="G36" s="76" t="s">
        <v>186</v>
      </c>
    </row>
    <row r="37" spans="1:7" ht="45.6" customHeight="1" x14ac:dyDescent="0.25">
      <c r="A37" s="76"/>
      <c r="B37" s="76"/>
      <c r="C37" s="82"/>
      <c r="D37" s="76"/>
      <c r="E37" s="17" t="s">
        <v>187</v>
      </c>
      <c r="F37" s="17" t="s">
        <v>188</v>
      </c>
      <c r="G37" s="76"/>
    </row>
    <row r="38" spans="1:7" ht="45.6" customHeight="1" x14ac:dyDescent="0.25">
      <c r="A38" s="76"/>
      <c r="B38" s="76"/>
      <c r="C38" s="83"/>
      <c r="D38" s="76"/>
      <c r="E38" s="17" t="s">
        <v>189</v>
      </c>
      <c r="F38" s="17" t="s">
        <v>190</v>
      </c>
      <c r="G38" s="76"/>
    </row>
    <row r="39" spans="1:7" s="26" customFormat="1" ht="45.6" customHeight="1" x14ac:dyDescent="0.25">
      <c r="A39" s="39">
        <v>1</v>
      </c>
      <c r="B39" s="21" t="s">
        <v>285</v>
      </c>
      <c r="C39" s="46"/>
      <c r="D39" s="39">
        <v>30</v>
      </c>
      <c r="E39" s="21" t="s">
        <v>314</v>
      </c>
      <c r="F39" s="17">
        <f t="shared" ref="F39:F41" si="1">0.05*(D39)*(D39)</f>
        <v>45</v>
      </c>
      <c r="G39" s="21"/>
    </row>
    <row r="40" spans="1:7" s="26" customFormat="1" ht="45.6" customHeight="1" x14ac:dyDescent="0.25">
      <c r="A40" s="39">
        <v>2</v>
      </c>
      <c r="B40" s="21" t="s">
        <v>281</v>
      </c>
      <c r="C40" s="46" t="s">
        <v>311</v>
      </c>
      <c r="D40" s="39">
        <v>33</v>
      </c>
      <c r="E40" s="21" t="s">
        <v>312</v>
      </c>
      <c r="F40" s="17">
        <f t="shared" si="1"/>
        <v>54.45</v>
      </c>
      <c r="G40" s="21"/>
    </row>
    <row r="41" spans="1:7" s="26" customFormat="1" ht="45.6" customHeight="1" x14ac:dyDescent="0.25">
      <c r="A41" s="39">
        <v>3</v>
      </c>
      <c r="B41" s="21" t="s">
        <v>284</v>
      </c>
      <c r="C41" s="46"/>
      <c r="D41" s="39">
        <v>12</v>
      </c>
      <c r="E41" s="21" t="s">
        <v>313</v>
      </c>
      <c r="F41" s="17">
        <f t="shared" si="1"/>
        <v>7.2000000000000011</v>
      </c>
      <c r="G41" s="21"/>
    </row>
    <row r="42" spans="1:7" s="26" customFormat="1" ht="45.6" customHeight="1" x14ac:dyDescent="0.25">
      <c r="A42" s="39">
        <v>4</v>
      </c>
      <c r="B42" s="21"/>
      <c r="C42" s="46"/>
      <c r="D42" s="39"/>
      <c r="E42" s="21"/>
      <c r="F42" s="21"/>
      <c r="G42" s="21"/>
    </row>
    <row r="43" spans="1:7" s="26" customFormat="1" ht="45.6" customHeight="1" x14ac:dyDescent="0.25">
      <c r="A43" s="39">
        <v>5</v>
      </c>
      <c r="B43" s="21"/>
      <c r="C43" s="46"/>
      <c r="D43" s="39"/>
      <c r="E43" s="21"/>
      <c r="F43" s="21"/>
      <c r="G43" s="21"/>
    </row>
    <row r="44" spans="1:7" s="26" customFormat="1" ht="45.6" customHeight="1" x14ac:dyDescent="0.25">
      <c r="A44" s="39">
        <v>6</v>
      </c>
      <c r="B44" s="21"/>
      <c r="C44" s="46"/>
      <c r="D44" s="39"/>
      <c r="E44" s="21"/>
      <c r="F44" s="21"/>
      <c r="G44" s="21"/>
    </row>
    <row r="45" spans="1:7" s="26" customFormat="1" ht="45.6" customHeight="1" x14ac:dyDescent="0.25">
      <c r="A45" s="39">
        <v>7</v>
      </c>
      <c r="B45" s="21"/>
      <c r="C45" s="46"/>
      <c r="D45" s="39"/>
      <c r="E45" s="21"/>
      <c r="F45" s="21"/>
      <c r="G45" s="21"/>
    </row>
    <row r="46" spans="1:7" s="26" customFormat="1" ht="45.6" customHeight="1" x14ac:dyDescent="0.25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25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25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25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25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76" t="s">
        <v>175</v>
      </c>
      <c r="B62" s="76"/>
      <c r="C62" s="76"/>
      <c r="D62" s="76"/>
      <c r="E62" s="76"/>
      <c r="F62" s="76"/>
      <c r="G62" s="76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1" t="s">
        <v>194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5" t="s">
        <v>201</v>
      </c>
      <c r="J5" s="85"/>
      <c r="K5" s="85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5"/>
      <c r="J6" s="85"/>
      <c r="K6" s="85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5" t="s">
        <v>205</v>
      </c>
      <c r="J7" s="85"/>
      <c r="K7" s="85"/>
    </row>
    <row r="9" spans="1:11" ht="36.75" customHeight="1" x14ac:dyDescent="0.25">
      <c r="A9" s="52" t="s">
        <v>206</v>
      </c>
      <c r="B9" s="51" t="s">
        <v>207</v>
      </c>
      <c r="C9" s="51"/>
      <c r="D9" s="51"/>
      <c r="E9" s="51"/>
      <c r="F9" s="51" t="s">
        <v>208</v>
      </c>
      <c r="G9" s="51"/>
      <c r="H9" s="51"/>
    </row>
    <row r="10" spans="1:11" s="42" customFormat="1" ht="75" customHeight="1" x14ac:dyDescent="0.25">
      <c r="A10" s="52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25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25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25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1" t="s">
        <v>227</v>
      </c>
      <c r="B1" s="51"/>
      <c r="C1" s="51"/>
      <c r="D1" s="51"/>
      <c r="E1" s="51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1" t="s">
        <v>237</v>
      </c>
      <c r="B19" s="51"/>
      <c r="C19" s="51"/>
      <c r="D19" s="51"/>
      <c r="E19" s="51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2024-06-17T08:32:43Z</dcterms:modified>
</cp:coreProperties>
</file>