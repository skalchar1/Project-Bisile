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ravi RF Block II-25 #\"/>
    </mc:Choice>
  </mc:AlternateContent>
  <xr:revisionPtr revIDLastSave="0" documentId="13_ncr:1_{CBD9DF7A-0FDF-47C6-93BC-50BFC421133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<sst xmlns="http://schemas.openxmlformats.org/spreadsheetml/2006/main" count="458" uniqueCount="328">
  <si>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</si>
  <si>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</si>
  <si>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</si>
  <si>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</si>
  <si>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</si>
  <si>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</si>
  <si>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</si>
  <si>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</si>
  <si>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</si>
  <si>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</si>
  <si>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</si>
  <si>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</si>
  <si>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</si>
  <si>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</si>
  <si>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</si>
  <si>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</si>
  <si>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</si>
  <si>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</si>
  <si>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</si>
  <si>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</si>
  <si>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</si>
  <si>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</si>
  <si>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</si>
  <si>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</si>
  <si>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</si>
  <si>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</si>
  <si>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</si>
  <si>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</si>
  <si>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</si>
  <si>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</si>
  <si>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</si>
  <si>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</si>
  <si>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</si>
  <si>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</si>
  <si>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</si>
  <si>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</si>
  <si>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</si>
  <si>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</si>
  <si>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</si>
  <si>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</si>
  <si>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</si>
  <si>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</si>
  <si>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</si>
  <si>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</si>
  <si>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</si>
  <si>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</si>
  <si>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</si>
  <si>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</si>
  <si>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</si>
  <si>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</si>
  <si>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</si>
  <si>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</si>
  <si>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</si>
  <si>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</si>
  <si>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</si>
  <si>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</si>
  <si>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</si>
  <si>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</si>
  <si>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</si>
  <si>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</si>
  <si>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</si>
  <si>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</si>
  <si>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</si>
  <si>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</si>
  <si>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</si>
  <si>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</si>
  <si>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</si>
  <si>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</si>
  <si>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</si>
  <si>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</si>
  <si>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</si>
  <si>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</si>
  <si>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</si>
  <si>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</si>
  <si>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</si>
  <si>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</si>
  <si>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</si>
  <si>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</si>
  <si>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</si>
  <si>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</si>
  <si>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</si>
  <si>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</si>
  <si>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</si>
  <si>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</si>
  <si>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</si>
  <si>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</si>
  <si>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</si>
  <si>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</si>
  <si>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</si>
  <si>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</si>
  <si>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</si>
  <si>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</si>
  <si>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</si>
  <si>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</si>
  <si>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</si>
  <si>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</si>
  <si>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</si>
  <si>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</si>
  <si>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</si>
  <si>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</si>
  <si>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</si>
  <si>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</si>
  <si>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</si>
  <si>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</si>
  <si>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</si>
  <si>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</si>
  <si>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</si>
  <si>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</si>
  <si>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</si>
  <si>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</si>
  <si>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</si>
  <si>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</si>
  <si>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</si>
  <si>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</si>
  <si>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</si>
  <si>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</si>
  <si>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</si>
  <si>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</si>
  <si>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</si>
  <si>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</si>
  <si>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</si>
  <si>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</si>
  <si>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</si>
  <si>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</si>
  <si>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</si>
  <si>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</si>
  <si>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</si>
  <si>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</si>
  <si>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</si>
  <si>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</si>
  <si>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</si>
  <si>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</si>
  <si>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</si>
  <si>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</si>
  <si>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</si>
  <si>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</si>
  <si>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</si>
  <si>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</si>
  <si>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</si>
  <si>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</si>
  <si>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</si>
  <si>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</si>
  <si>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</si>
  <si>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</si>
  <si>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</si>
  <si>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</si>
  <si>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</si>
  <si>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</si>
  <si>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</si>
  <si>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</si>
  <si>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</si>
  <si>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</si>
  <si>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</si>
  <si>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</si>
  <si>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</si>
  <si>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</si>
  <si>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</si>
  <si>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</si>
  <si>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</si>
  <si>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</si>
  <si>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</si>
  <si>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</si>
  <si>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</si>
  <si>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</si>
  <si>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</si>
  <si>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</si>
  <si>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</si>
  <si>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</si>
  <si>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</si>
  <si>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</si>
  <si>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</si>
  <si>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</si>
  <si>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</si>
  <si>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</si>
  <si>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</si>
  <si>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</si>
  <si>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</si>
  <si>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</si>
  <si>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</si>
  <si>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</si>
  <si>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</si>
  <si>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</si>
  <si>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</si>
  <si>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</si>
  <si>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</si>
  <si>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</si>
  <si>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</si>
  <si>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</si>
  <si>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</si>
  <si>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</si>
  <si>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</si>
  <si>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</si>
  <si>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</si>
  <si>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</si>
  <si>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</si>
  <si>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</si>
  <si>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</si>
  <si>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</si>
  <si>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</si>
  <si>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</si>
  <si>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</si>
  <si>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</si>
  <si>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</si>
  <si>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</si>
  <si>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</si>
  <si>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</si>
  <si>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</si>
  <si>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</si>
  <si>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</si>
  <si>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</si>
  <si>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</si>
  <si>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</si>
  <si>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</si>
  <si>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</si>
  <si>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</si>
  <si>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</si>
  <si>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</si>
  <si>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</si>
  <si>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</si>
  <si>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</si>
  <si>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</si>
  <si>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</si>
  <si>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</si>
  <si>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</si>
  <si>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</si>
  <si>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</si>
  <si>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</si>
  <si>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</si>
  <si>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</si>
  <si>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</si>
  <si>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</si>
  <si>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</si>
  <si>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</si>
  <si>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</si>
  <si>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</si>
  <si>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</si>
  <si>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</si>
  <si>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</si>
  <si>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</si>
  <si>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</si>
  <si>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</si>
  <si>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</si>
  <si>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</si>
  <si>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Denthaje upto 13.053374 E.72.278876 in the bearing of 307 degree for 51m.*</t>
  </si>
  <si>
    <t>Tract - Hilly</t>
  </si>
  <si>
    <t xml:space="preserve">Terminalia tomentosa , Terminalia paniculata , Holigarna arnattiana </t>
  </si>
  <si>
    <t>Aspect -NE</t>
  </si>
  <si>
    <t>Soil -Red soil</t>
  </si>
  <si>
    <t>Grasses - Opplesima spp, Themeda spp</t>
  </si>
  <si>
    <t>Weeds - Chromolaena odorata, Lantana camera</t>
  </si>
  <si>
    <t xml:space="preserve">Herbs - Clerodendrum infortunatum Nervosa sp </t>
  </si>
  <si>
    <t xml:space="preserve">Shrubs - Strychnos nux-vomica , Aporosa lindleyana ,Xylia xylocarpa </t>
  </si>
  <si>
    <t xml:space="preserve">Underwood species –Schleichera oleosa , Terminalia tomentosa ,Careya arborea </t>
  </si>
  <si>
    <t xml:space="preserve">Climbers -Getonia floribunda </t>
  </si>
  <si>
    <t>Human settlememts</t>
  </si>
  <si>
    <t xml:space="preserve">NTFP yieding sps –Garcinia morella 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</si>
  <si>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</si>
  <si>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 xml:space="preserve">Closed Forest </t>
    </r>
    <r>
      <rPr>
        <b/>
        <sz val="12"/>
        <rFont val="Times New Roman"/>
        <family val="1"/>
      </rPr>
      <t xml:space="preserve">/Dense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</si>
  <si>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</si>
  <si>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</si>
  <si>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rPr>
        <b/>
        <sz val="12"/>
        <rFont val="Times New Roman"/>
        <family val="1"/>
      </rPr>
      <t>Northern</t>
    </r>
    <r>
      <rPr>
        <sz val="12"/>
        <rFont val="Times New Roman"/>
        <family val="1"/>
      </rPr>
      <t xml:space="preserve"> / NE/Eastern / SE /Southern /SW /Western/ NW /No aspect</t>
    </r>
  </si>
  <si>
    <t>Depth-  Moderate</t>
  </si>
  <si>
    <t>Permiability-Goood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</si>
  <si>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</si>
  <si>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</si>
  <si>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</si>
  <si>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Human interferance</t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</si>
  <si>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</si>
  <si>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</si>
  <si>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</si>
  <si>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</si>
  <si>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</si>
  <si>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</si>
  <si>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Careya arborea </t>
  </si>
  <si>
    <t xml:space="preserve">Olea dioca </t>
  </si>
  <si>
    <t>karekumara</t>
  </si>
  <si>
    <t xml:space="preserve">Tabernamontana heyneana </t>
  </si>
  <si>
    <t xml:space="preserve">Anacardium occidentale </t>
  </si>
  <si>
    <t xml:space="preserve">Schleichera oleosa </t>
  </si>
  <si>
    <t xml:space="preserve">Lagestroemia lanceolata </t>
  </si>
  <si>
    <t xml:space="preserve">Bombax ceiba </t>
  </si>
  <si>
    <t xml:space="preserve">Dillenia pentagyna </t>
  </si>
  <si>
    <t xml:space="preserve">Terminalia bellarica </t>
  </si>
  <si>
    <t xml:space="preserve">dillenia pentagyna </t>
  </si>
  <si>
    <t xml:space="preserve">Strychnos nux-vomica </t>
  </si>
  <si>
    <t xml:space="preserve">Terminalia paniculata </t>
  </si>
  <si>
    <t xml:space="preserve">Aporosa lindleyana </t>
  </si>
  <si>
    <t xml:space="preserve">Ziziphus oenoplia </t>
  </si>
  <si>
    <t xml:space="preserve">Pterocarpus marsupium </t>
  </si>
  <si>
    <t>Haaluballi</t>
  </si>
  <si>
    <t>Curcuma spp</t>
  </si>
  <si>
    <t xml:space="preserve">Cinnamomum malabarica </t>
  </si>
  <si>
    <t xml:space="preserve">Syzygium cumini </t>
  </si>
  <si>
    <t xml:space="preserve">Hemidesmus indicus </t>
  </si>
  <si>
    <t>NI:L</t>
  </si>
  <si>
    <t>25g</t>
  </si>
  <si>
    <t>280g</t>
  </si>
  <si>
    <t>30g</t>
  </si>
  <si>
    <t>200g</t>
  </si>
  <si>
    <t>800g</t>
  </si>
  <si>
    <t>NIL</t>
  </si>
  <si>
    <t>Belthangady</t>
  </si>
  <si>
    <t xml:space="preserve">Naravi RF Block </t>
  </si>
  <si>
    <t>II-25</t>
  </si>
  <si>
    <t>Canopy Dencity -0.63</t>
  </si>
  <si>
    <t>Bamboos -NIL</t>
  </si>
  <si>
    <t>Rattans –NIL</t>
  </si>
  <si>
    <t>Mild</t>
  </si>
  <si>
    <t>1m</t>
  </si>
  <si>
    <t>Texture- Coarse gravely</t>
  </si>
  <si>
    <t>687 ft</t>
  </si>
  <si>
    <t xml:space="preserve">Anacardium occidentale , Aporosa lindleyana , Dillenia pentagyna </t>
  </si>
  <si>
    <t>Mangalore</t>
  </si>
  <si>
    <t>Salle</t>
  </si>
  <si>
    <t>Paragi</t>
  </si>
  <si>
    <t>Honne</t>
  </si>
  <si>
    <t>Sagadi</t>
  </si>
  <si>
    <t>Arishina Jaati gida</t>
  </si>
  <si>
    <t>Dalchinni</t>
  </si>
  <si>
    <t>Nerale</t>
  </si>
  <si>
    <t>Halina gida</t>
  </si>
  <si>
    <t>Fruit</t>
  </si>
  <si>
    <t>Gum</t>
  </si>
  <si>
    <t>Root</t>
  </si>
  <si>
    <t>Bark</t>
  </si>
  <si>
    <t xml:space="preserve">Rahizome </t>
  </si>
  <si>
    <t>gum</t>
  </si>
  <si>
    <t>root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</si>
</sst>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312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301</v>
      </c>
    </row>
    <row r="6" spans="1:3" ht="39" customHeight="1" x14ac:dyDescent="0.3">
      <c r="A6" s="4">
        <v>2</v>
      </c>
      <c r="B6" s="51" t="s">
        <v>7</v>
      </c>
      <c r="C6" s="8" t="s">
        <v>302</v>
      </c>
    </row>
    <row r="7" spans="1:3" ht="39" customHeight="1" x14ac:dyDescent="0.3">
      <c r="A7" s="4">
        <v>3</v>
      </c>
      <c r="B7" s="51" t="s">
        <v>8</v>
      </c>
      <c r="C7" s="8" t="s">
        <v>303</v>
      </c>
    </row>
    <row r="8" spans="1:3" ht="39" customHeight="1" x14ac:dyDescent="0.3">
      <c r="A8" s="4">
        <v>4</v>
      </c>
      <c r="B8" s="51" t="s">
        <v>9</v>
      </c>
      <c r="C8" s="8">
        <v>7106</v>
      </c>
    </row>
    <row r="9" spans="1:3" ht="39" customHeight="1" x14ac:dyDescent="0.3">
      <c r="A9" s="4">
        <v>5</v>
      </c>
      <c r="B9" s="51" t="s">
        <v>10</v>
      </c>
      <c r="C9" s="9">
        <v>13.053613</v>
      </c>
    </row>
    <row r="10" spans="1:3" ht="39" customHeight="1" x14ac:dyDescent="0.3">
      <c r="A10" s="4">
        <v>6</v>
      </c>
      <c r="B10" s="51" t="s">
        <v>11</v>
      </c>
      <c r="C10" s="9">
        <v>75.278502000000003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245</v>
      </c>
    </row>
    <row r="13" spans="1:3" ht="32.25" customHeight="1" x14ac:dyDescent="0.3">
      <c r="A13" s="54">
        <v>9</v>
      </c>
      <c r="B13" s="55" t="s">
        <v>14</v>
      </c>
      <c r="C13" s="6" t="s">
        <v>244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304</v>
      </c>
    </row>
    <row r="16" spans="1:3" ht="32.25" customHeight="1" x14ac:dyDescent="0.3">
      <c r="A16" s="54"/>
      <c r="B16" s="55"/>
      <c r="C16" s="6" t="s">
        <v>247</v>
      </c>
    </row>
    <row r="17" spans="1:3" ht="32.25" customHeight="1" x14ac:dyDescent="0.3">
      <c r="A17" s="54"/>
      <c r="B17" s="55"/>
      <c r="C17" s="6" t="s">
        <v>248</v>
      </c>
    </row>
    <row r="18" spans="1:3" ht="32.25" customHeight="1" x14ac:dyDescent="0.3">
      <c r="A18" s="54"/>
      <c r="B18" s="55"/>
      <c r="C18" s="6" t="s">
        <v>249</v>
      </c>
    </row>
    <row r="19" spans="1:3" ht="32.25" customHeight="1" x14ac:dyDescent="0.3">
      <c r="A19" s="54"/>
      <c r="B19" s="55"/>
      <c r="C19" s="6" t="s">
        <v>305</v>
      </c>
    </row>
    <row r="20" spans="1:3" ht="57.75" customHeight="1" x14ac:dyDescent="0.3">
      <c r="A20" s="54"/>
      <c r="B20" s="55"/>
      <c r="C20" s="6" t="s">
        <v>250</v>
      </c>
    </row>
    <row r="21" spans="1:3" ht="63" customHeight="1" x14ac:dyDescent="0.3">
      <c r="A21" s="54"/>
      <c r="B21" s="55"/>
      <c r="C21" s="6" t="s">
        <v>251</v>
      </c>
    </row>
    <row r="22" spans="1:3" ht="63" customHeight="1" x14ac:dyDescent="0.3">
      <c r="A22" s="54"/>
      <c r="B22" s="55"/>
      <c r="C22" s="6" t="s">
        <v>252</v>
      </c>
    </row>
    <row r="23" spans="1:3" ht="63" customHeight="1" x14ac:dyDescent="0.3">
      <c r="A23" s="54"/>
      <c r="B23" s="55"/>
      <c r="C23" s="6" t="s">
        <v>253</v>
      </c>
    </row>
    <row r="24" spans="1:3" ht="63" customHeight="1" x14ac:dyDescent="0.3">
      <c r="A24" s="54"/>
      <c r="B24" s="55"/>
      <c r="C24" s="6" t="s">
        <v>306</v>
      </c>
    </row>
    <row r="25" spans="1:3" ht="63" customHeight="1" x14ac:dyDescent="0.3">
      <c r="A25" s="54"/>
      <c r="B25" s="55"/>
      <c r="C25" s="6" t="s">
        <v>255</v>
      </c>
    </row>
    <row r="26" spans="1:3" ht="49.5" customHeight="1" x14ac:dyDescent="0.3">
      <c r="A26" s="4">
        <v>10</v>
      </c>
      <c r="B26" s="51" t="s">
        <v>15</v>
      </c>
      <c r="C26" s="6" t="s">
        <v>254</v>
      </c>
    </row>
    <row r="27" spans="1:3" ht="53.25" customHeight="1" x14ac:dyDescent="0.3">
      <c r="A27" s="4">
        <v>11</v>
      </c>
      <c r="B27" s="51" t="s">
        <v>16</v>
      </c>
      <c r="C27" s="6" t="s">
        <v>307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20" t="s">
        <v>308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312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Naravi RF Block </v>
      </c>
    </row>
    <row r="8" spans="1:3" ht="32.25" customHeight="1" x14ac:dyDescent="0.3">
      <c r="A8" s="11">
        <v>4</v>
      </c>
      <c r="B8" s="52" t="s">
        <v>9</v>
      </c>
      <c r="C8" s="20">
        <f>'Form 1'!C8</f>
        <v>7106</v>
      </c>
    </row>
    <row r="9" spans="1:3" ht="32.25" customHeight="1" x14ac:dyDescent="0.3">
      <c r="A9" s="11">
        <v>5</v>
      </c>
      <c r="B9" s="52" t="s">
        <v>20</v>
      </c>
      <c r="C9" s="21">
        <f>'Form 1'!C9</f>
        <v>13.053613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75.278502000000003</v>
      </c>
    </row>
    <row r="11" spans="1:3" ht="32.25" customHeight="1" x14ac:dyDescent="0.3">
      <c r="A11" s="11">
        <v>7</v>
      </c>
      <c r="B11" s="52" t="s">
        <v>22</v>
      </c>
      <c r="C11" s="20" t="s">
        <v>310</v>
      </c>
    </row>
    <row r="12" spans="1:3" ht="43.5" customHeight="1" x14ac:dyDescent="0.3">
      <c r="A12" s="11">
        <v>8</v>
      </c>
      <c r="B12" s="52" t="s">
        <v>23</v>
      </c>
      <c r="C12" s="20" t="s">
        <v>256</v>
      </c>
    </row>
    <row r="13" spans="1:3" ht="43.5" customHeight="1" x14ac:dyDescent="0.3">
      <c r="A13" s="11">
        <v>9</v>
      </c>
      <c r="B13" s="52" t="s">
        <v>24</v>
      </c>
      <c r="C13" s="20" t="s">
        <v>257</v>
      </c>
    </row>
    <row r="14" spans="1:3" ht="38.25" customHeight="1" x14ac:dyDescent="0.3">
      <c r="A14" s="11">
        <v>10</v>
      </c>
      <c r="B14" s="52" t="s">
        <v>25</v>
      </c>
      <c r="C14" s="20" t="s">
        <v>258</v>
      </c>
    </row>
    <row r="15" spans="1:3" ht="25.5" customHeight="1" x14ac:dyDescent="0.3">
      <c r="A15" s="11">
        <v>11</v>
      </c>
      <c r="B15" s="52" t="s">
        <v>26</v>
      </c>
      <c r="C15" s="22" t="s">
        <v>259</v>
      </c>
    </row>
    <row r="16" spans="1:3" ht="37.5" customHeight="1" x14ac:dyDescent="0.3">
      <c r="A16" s="11">
        <v>12</v>
      </c>
      <c r="B16" s="52" t="s">
        <v>27</v>
      </c>
      <c r="C16" s="22" t="s">
        <v>260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309</v>
      </c>
    </row>
    <row r="19" spans="1:3" ht="30.75" customHeight="1" x14ac:dyDescent="0.3">
      <c r="A19" s="57"/>
      <c r="B19" s="58"/>
      <c r="C19" s="22" t="s">
        <v>261</v>
      </c>
    </row>
    <row r="20" spans="1:3" ht="30.75" customHeight="1" x14ac:dyDescent="0.3">
      <c r="A20" s="57"/>
      <c r="B20" s="58"/>
      <c r="C20" s="23" t="s">
        <v>262</v>
      </c>
    </row>
    <row r="21" spans="1:3" ht="36" customHeight="1" x14ac:dyDescent="0.3">
      <c r="A21" s="11">
        <v>15</v>
      </c>
      <c r="B21" s="52" t="s">
        <v>31</v>
      </c>
      <c r="C21" s="22" t="s">
        <v>263</v>
      </c>
    </row>
    <row r="22" spans="1:3" ht="54.75" customHeight="1" x14ac:dyDescent="0.3">
      <c r="A22" s="11">
        <v>16</v>
      </c>
      <c r="B22" s="52" t="s">
        <v>32</v>
      </c>
      <c r="C22" s="22" t="s">
        <v>311</v>
      </c>
    </row>
    <row r="23" spans="1:3" ht="15.6" x14ac:dyDescent="0.3">
      <c r="A23" s="11">
        <v>17</v>
      </c>
      <c r="B23" s="52" t="s">
        <v>221</v>
      </c>
      <c r="C23" s="22" t="s">
        <v>264</v>
      </c>
    </row>
    <row r="24" spans="1:3" ht="35.25" customHeight="1" x14ac:dyDescent="0.3">
      <c r="A24" s="11">
        <v>18</v>
      </c>
      <c r="B24" s="52" t="s">
        <v>33</v>
      </c>
      <c r="C24" s="22" t="s">
        <v>265</v>
      </c>
    </row>
    <row r="25" spans="1:3" ht="72.75" customHeight="1" x14ac:dyDescent="0.3">
      <c r="A25" s="11">
        <v>19</v>
      </c>
      <c r="B25" s="52" t="s">
        <v>34</v>
      </c>
      <c r="C25" s="22" t="s">
        <v>266</v>
      </c>
    </row>
    <row r="26" spans="1:3" ht="30" customHeight="1" x14ac:dyDescent="0.3">
      <c r="A26" s="11">
        <v>20</v>
      </c>
      <c r="B26" s="52" t="s">
        <v>35</v>
      </c>
      <c r="C26" s="23" t="s">
        <v>267</v>
      </c>
    </row>
    <row r="27" spans="1:3" ht="30" customHeight="1" x14ac:dyDescent="0.3">
      <c r="A27" s="11">
        <v>21</v>
      </c>
      <c r="B27" s="52" t="s">
        <v>36</v>
      </c>
      <c r="C27" s="22" t="s">
        <v>268</v>
      </c>
    </row>
    <row r="28" spans="1:3" ht="30" customHeight="1" x14ac:dyDescent="0.3">
      <c r="A28" s="11">
        <v>22</v>
      </c>
      <c r="B28" s="52" t="s">
        <v>37</v>
      </c>
      <c r="C28" s="22" t="s">
        <v>269</v>
      </c>
    </row>
    <row r="29" spans="1:3" ht="32.25" customHeight="1" x14ac:dyDescent="0.3">
      <c r="A29" s="11">
        <v>23</v>
      </c>
      <c r="B29" s="52" t="s">
        <v>38</v>
      </c>
      <c r="C29" s="22" t="s">
        <v>270</v>
      </c>
    </row>
    <row r="30" spans="1:3" ht="62.25" customHeight="1" x14ac:dyDescent="0.3">
      <c r="A30" s="11">
        <v>24</v>
      </c>
      <c r="B30" s="52" t="s">
        <v>39</v>
      </c>
      <c r="C30" s="22" t="s">
        <v>300</v>
      </c>
    </row>
    <row r="31" spans="1:3" ht="72.75" customHeight="1" x14ac:dyDescent="0.3">
      <c r="A31" s="11">
        <v>25</v>
      </c>
      <c r="B31" s="52" t="s">
        <v>40</v>
      </c>
      <c r="C31" s="22" t="s">
        <v>300</v>
      </c>
    </row>
    <row r="32" spans="1:3" ht="60" customHeight="1" x14ac:dyDescent="0.3">
      <c r="A32" s="11">
        <v>26</v>
      </c>
      <c r="B32" s="52" t="s">
        <v>41</v>
      </c>
      <c r="C32" s="22" t="s">
        <v>300</v>
      </c>
    </row>
    <row r="33" spans="1:3" ht="60" customHeight="1" x14ac:dyDescent="0.3">
      <c r="A33" s="11">
        <v>27</v>
      </c>
      <c r="B33" s="52" t="s">
        <v>42</v>
      </c>
      <c r="C33" s="20" t="s">
        <v>271</v>
      </c>
    </row>
    <row r="34" spans="1:3" ht="57.75" customHeight="1" x14ac:dyDescent="0.3">
      <c r="A34" s="11">
        <v>28</v>
      </c>
      <c r="B34" s="52" t="s">
        <v>43</v>
      </c>
      <c r="C34" s="22" t="s">
        <v>300</v>
      </c>
    </row>
    <row r="35" spans="1:3" ht="59.25" customHeight="1" x14ac:dyDescent="0.3">
      <c r="A35" s="11">
        <v>29</v>
      </c>
      <c r="B35" s="52" t="s">
        <v>44</v>
      </c>
      <c r="C35" s="22" t="s">
        <v>300</v>
      </c>
    </row>
    <row r="36" spans="1:3" ht="66" customHeight="1" x14ac:dyDescent="0.3">
      <c r="A36" s="11">
        <v>30</v>
      </c>
      <c r="B36" s="52" t="s">
        <v>225</v>
      </c>
      <c r="C36" s="22" t="s">
        <v>272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2"/>
  <sheetViews>
    <sheetView view="pageBreakPreview" topLeftCell="A4" zoomScale="60" zoomScaleNormal="70" workbookViewId="0">
      <selection activeCell="A33" sqref="A33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273</v>
      </c>
      <c r="C12" s="24"/>
      <c r="D12" s="24">
        <v>120</v>
      </c>
      <c r="E12" s="24"/>
      <c r="F12" s="24"/>
      <c r="G12" s="24"/>
      <c r="H12" s="24"/>
      <c r="I12" s="24">
        <v>5</v>
      </c>
      <c r="J12" s="24">
        <v>5.5</v>
      </c>
      <c r="K12" s="24">
        <f>L12+M12+R12</f>
        <v>6</v>
      </c>
      <c r="L12" s="24">
        <v>2.5</v>
      </c>
      <c r="M12" s="24">
        <v>1.5</v>
      </c>
      <c r="N12" s="24"/>
      <c r="O12" s="24"/>
      <c r="P12" s="24"/>
      <c r="Q12" s="24"/>
      <c r="R12" s="24">
        <v>2</v>
      </c>
      <c r="S12" s="24"/>
      <c r="T12" s="24"/>
    </row>
    <row r="13" spans="1:20" ht="40.5" customHeight="1" x14ac:dyDescent="0.3">
      <c r="A13" s="24">
        <v>2</v>
      </c>
      <c r="B13" s="24" t="s">
        <v>273</v>
      </c>
      <c r="C13" s="24"/>
      <c r="D13" s="24">
        <v>94</v>
      </c>
      <c r="E13" s="24"/>
      <c r="F13" s="24"/>
      <c r="G13" s="24"/>
      <c r="H13" s="24"/>
      <c r="I13" s="24">
        <v>4</v>
      </c>
      <c r="J13" s="24">
        <v>4.5</v>
      </c>
      <c r="K13" s="24">
        <f t="shared" ref="K13:K32" si="0">L13+M13+R13</f>
        <v>8</v>
      </c>
      <c r="L13" s="24">
        <v>2</v>
      </c>
      <c r="M13" s="24">
        <v>3</v>
      </c>
      <c r="N13" s="24"/>
      <c r="O13" s="24"/>
      <c r="P13" s="24"/>
      <c r="Q13" s="24"/>
      <c r="R13" s="24">
        <v>3</v>
      </c>
      <c r="S13" s="24"/>
      <c r="T13" s="24"/>
    </row>
    <row r="14" spans="1:20" ht="40.5" customHeight="1" x14ac:dyDescent="0.3">
      <c r="A14" s="24">
        <v>3</v>
      </c>
      <c r="B14" s="24" t="s">
        <v>274</v>
      </c>
      <c r="C14" s="24"/>
      <c r="D14" s="24">
        <v>115</v>
      </c>
      <c r="E14" s="24"/>
      <c r="F14" s="24"/>
      <c r="G14" s="24"/>
      <c r="H14" s="24"/>
      <c r="I14" s="24">
        <v>4</v>
      </c>
      <c r="J14" s="24">
        <v>4.5</v>
      </c>
      <c r="K14" s="24">
        <f t="shared" si="0"/>
        <v>10</v>
      </c>
      <c r="L14" s="24">
        <v>3</v>
      </c>
      <c r="M14" s="24">
        <v>3</v>
      </c>
      <c r="N14" s="24"/>
      <c r="O14" s="24"/>
      <c r="P14" s="24"/>
      <c r="Q14" s="24"/>
      <c r="R14" s="24">
        <v>4</v>
      </c>
      <c r="S14" s="24"/>
      <c r="T14" s="24"/>
    </row>
    <row r="15" spans="1:20" ht="40.5" customHeight="1" x14ac:dyDescent="0.3">
      <c r="A15" s="24">
        <v>4</v>
      </c>
      <c r="B15" s="24" t="s">
        <v>275</v>
      </c>
      <c r="C15" s="24"/>
      <c r="D15" s="24">
        <v>66</v>
      </c>
      <c r="E15" s="24"/>
      <c r="F15" s="24"/>
      <c r="G15" s="24"/>
      <c r="H15" s="24"/>
      <c r="I15" s="24">
        <v>5</v>
      </c>
      <c r="J15" s="24">
        <v>4.5</v>
      </c>
      <c r="K15" s="24">
        <f t="shared" si="0"/>
        <v>8</v>
      </c>
      <c r="L15" s="24">
        <v>2</v>
      </c>
      <c r="M15" s="24">
        <v>1</v>
      </c>
      <c r="N15" s="24"/>
      <c r="O15" s="24"/>
      <c r="P15" s="24"/>
      <c r="Q15" s="24"/>
      <c r="R15" s="24">
        <v>5</v>
      </c>
      <c r="S15" s="24"/>
      <c r="T15" s="24"/>
    </row>
    <row r="16" spans="1:20" ht="40.5" customHeight="1" x14ac:dyDescent="0.3">
      <c r="A16" s="24">
        <v>5</v>
      </c>
      <c r="B16" s="24" t="s">
        <v>276</v>
      </c>
      <c r="C16" s="24"/>
      <c r="D16" s="24">
        <v>57</v>
      </c>
      <c r="E16" s="24"/>
      <c r="F16" s="24"/>
      <c r="G16" s="24"/>
      <c r="H16" s="24"/>
      <c r="I16" s="24">
        <v>3</v>
      </c>
      <c r="J16" s="24">
        <v>2.5</v>
      </c>
      <c r="K16" s="24">
        <f t="shared" si="0"/>
        <v>6</v>
      </c>
      <c r="L16" s="24">
        <v>3</v>
      </c>
      <c r="M16" s="24">
        <v>1</v>
      </c>
      <c r="N16" s="24"/>
      <c r="O16" s="24"/>
      <c r="P16" s="24"/>
      <c r="Q16" s="24"/>
      <c r="R16" s="24">
        <v>2</v>
      </c>
      <c r="S16" s="24"/>
      <c r="T16" s="24"/>
    </row>
    <row r="17" spans="1:20" ht="40.5" customHeight="1" x14ac:dyDescent="0.3">
      <c r="A17" s="24">
        <v>6</v>
      </c>
      <c r="B17" s="24" t="s">
        <v>277</v>
      </c>
      <c r="C17" s="24"/>
      <c r="D17" s="24">
        <v>36</v>
      </c>
      <c r="E17" s="24"/>
      <c r="F17" s="24"/>
      <c r="G17" s="24"/>
      <c r="H17" s="24"/>
      <c r="I17" s="24">
        <v>3</v>
      </c>
      <c r="J17" s="24">
        <v>3.2</v>
      </c>
      <c r="K17" s="24">
        <f t="shared" si="0"/>
        <v>6</v>
      </c>
      <c r="L17" s="24">
        <v>2</v>
      </c>
      <c r="M17" s="24">
        <v>1</v>
      </c>
      <c r="N17" s="24"/>
      <c r="O17" s="24"/>
      <c r="P17" s="24"/>
      <c r="Q17" s="24"/>
      <c r="R17" s="24">
        <v>3</v>
      </c>
      <c r="S17" s="24"/>
      <c r="T17" s="24"/>
    </row>
    <row r="18" spans="1:20" ht="40.5" customHeight="1" x14ac:dyDescent="0.3">
      <c r="A18" s="24">
        <v>7</v>
      </c>
      <c r="B18" s="24" t="s">
        <v>278</v>
      </c>
      <c r="C18" s="24"/>
      <c r="D18" s="24">
        <v>136</v>
      </c>
      <c r="E18" s="24"/>
      <c r="F18" s="24"/>
      <c r="G18" s="24"/>
      <c r="H18" s="24"/>
      <c r="I18" s="24">
        <v>5</v>
      </c>
      <c r="J18" s="24">
        <v>3.5</v>
      </c>
      <c r="K18" s="24">
        <f t="shared" si="0"/>
        <v>8</v>
      </c>
      <c r="L18" s="24">
        <v>2</v>
      </c>
      <c r="M18" s="24">
        <v>2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v>8</v>
      </c>
      <c r="B19" s="24" t="s">
        <v>278</v>
      </c>
      <c r="C19" s="24"/>
      <c r="D19" s="24">
        <v>231</v>
      </c>
      <c r="E19" s="24"/>
      <c r="F19" s="24"/>
      <c r="G19" s="24"/>
      <c r="H19" s="24"/>
      <c r="I19" s="24">
        <v>5</v>
      </c>
      <c r="J19" s="24">
        <v>6.5</v>
      </c>
      <c r="K19" s="24">
        <f t="shared" si="0"/>
        <v>11</v>
      </c>
      <c r="L19" s="24">
        <v>4</v>
      </c>
      <c r="M19" s="24">
        <v>4</v>
      </c>
      <c r="N19" s="24"/>
      <c r="O19" s="24"/>
      <c r="P19" s="24"/>
      <c r="Q19" s="24"/>
      <c r="R19" s="24">
        <v>3</v>
      </c>
      <c r="S19" s="24"/>
      <c r="T19" s="24"/>
    </row>
    <row r="20" spans="1:20" ht="40.5" customHeight="1" x14ac:dyDescent="0.3">
      <c r="A20" s="24">
        <v>9</v>
      </c>
      <c r="B20" s="24" t="s">
        <v>279</v>
      </c>
      <c r="C20" s="24"/>
      <c r="D20" s="24">
        <v>1.8</v>
      </c>
      <c r="E20" s="24"/>
      <c r="F20" s="24"/>
      <c r="G20" s="24"/>
      <c r="H20" s="24"/>
      <c r="I20" s="24">
        <v>4</v>
      </c>
      <c r="J20" s="24">
        <v>6.5</v>
      </c>
      <c r="K20" s="24">
        <f t="shared" si="0"/>
        <v>9</v>
      </c>
      <c r="L20" s="24">
        <v>2</v>
      </c>
      <c r="M20" s="24">
        <v>1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3">
      <c r="A21" s="24">
        <v>10</v>
      </c>
      <c r="B21" s="24" t="s">
        <v>280</v>
      </c>
      <c r="C21" s="24"/>
      <c r="D21" s="24">
        <v>115</v>
      </c>
      <c r="E21" s="24"/>
      <c r="F21" s="24"/>
      <c r="G21" s="24"/>
      <c r="H21" s="24"/>
      <c r="I21" s="24">
        <v>4</v>
      </c>
      <c r="J21" s="24">
        <v>5.5</v>
      </c>
      <c r="K21" s="24">
        <f t="shared" si="0"/>
        <v>6</v>
      </c>
      <c r="L21" s="24">
        <v>0</v>
      </c>
      <c r="M21" s="24">
        <v>1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3">
      <c r="A22" s="24">
        <v>11</v>
      </c>
      <c r="B22" s="24" t="s">
        <v>273</v>
      </c>
      <c r="C22" s="24"/>
      <c r="D22" s="24">
        <v>66</v>
      </c>
      <c r="E22" s="24"/>
      <c r="F22" s="24"/>
      <c r="G22" s="24"/>
      <c r="H22" s="24"/>
      <c r="I22" s="24">
        <v>3</v>
      </c>
      <c r="J22" s="24">
        <v>3</v>
      </c>
      <c r="K22" s="24">
        <f t="shared" si="0"/>
        <v>7</v>
      </c>
      <c r="L22" s="24">
        <v>2</v>
      </c>
      <c r="M22" s="24">
        <v>1</v>
      </c>
      <c r="N22" s="24"/>
      <c r="O22" s="24"/>
      <c r="P22" s="24"/>
      <c r="Q22" s="24"/>
      <c r="R22" s="24">
        <v>4</v>
      </c>
      <c r="S22" s="24"/>
      <c r="T22" s="24"/>
    </row>
    <row r="23" spans="1:20" ht="40.5" customHeight="1" x14ac:dyDescent="0.3">
      <c r="A23" s="24">
        <v>12</v>
      </c>
      <c r="B23" s="24" t="s">
        <v>277</v>
      </c>
      <c r="C23" s="24"/>
      <c r="D23" s="24">
        <v>38</v>
      </c>
      <c r="E23" s="24"/>
      <c r="F23" s="24"/>
      <c r="G23" s="24"/>
      <c r="H23" s="24"/>
      <c r="I23" s="24">
        <v>2</v>
      </c>
      <c r="J23" s="24">
        <v>2.5</v>
      </c>
      <c r="K23" s="24">
        <f t="shared" si="0"/>
        <v>5.5</v>
      </c>
      <c r="L23" s="24">
        <v>0</v>
      </c>
      <c r="M23" s="24">
        <v>1.5</v>
      </c>
      <c r="N23" s="24"/>
      <c r="O23" s="24"/>
      <c r="P23" s="24"/>
      <c r="Q23" s="24"/>
      <c r="R23" s="24">
        <v>4</v>
      </c>
      <c r="S23" s="24"/>
      <c r="T23" s="24"/>
    </row>
    <row r="24" spans="1:20" ht="40.5" customHeight="1" x14ac:dyDescent="0.3">
      <c r="A24" s="24">
        <v>13</v>
      </c>
      <c r="B24" s="24" t="s">
        <v>277</v>
      </c>
      <c r="C24" s="24"/>
      <c r="D24" s="24">
        <v>56</v>
      </c>
      <c r="E24" s="24"/>
      <c r="F24" s="24"/>
      <c r="G24" s="24"/>
      <c r="H24" s="24"/>
      <c r="I24" s="24">
        <v>4</v>
      </c>
      <c r="J24" s="24">
        <v>5.5</v>
      </c>
      <c r="K24" s="24">
        <f t="shared" si="0"/>
        <v>6.5</v>
      </c>
      <c r="L24" s="24">
        <v>1</v>
      </c>
      <c r="M24" s="24">
        <v>1.5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3">
      <c r="A25" s="24">
        <v>14</v>
      </c>
      <c r="B25" s="24" t="s">
        <v>281</v>
      </c>
      <c r="C25" s="24"/>
      <c r="D25" s="24">
        <v>83</v>
      </c>
      <c r="E25" s="24"/>
      <c r="F25" s="24"/>
      <c r="G25" s="24"/>
      <c r="H25" s="24"/>
      <c r="I25" s="24">
        <v>3</v>
      </c>
      <c r="J25" s="24">
        <v>3.5</v>
      </c>
      <c r="K25" s="24">
        <f t="shared" si="0"/>
        <v>7.5</v>
      </c>
      <c r="L25" s="24">
        <v>0</v>
      </c>
      <c r="M25" s="24">
        <v>2.5</v>
      </c>
      <c r="N25" s="24"/>
      <c r="O25" s="24"/>
      <c r="P25" s="24"/>
      <c r="Q25" s="24"/>
      <c r="R25" s="24">
        <v>5</v>
      </c>
      <c r="S25" s="24"/>
      <c r="T25" s="24"/>
    </row>
    <row r="26" spans="1:20" ht="40.5" customHeight="1" x14ac:dyDescent="0.3">
      <c r="A26" s="24">
        <v>15</v>
      </c>
      <c r="B26" s="24" t="s">
        <v>282</v>
      </c>
      <c r="C26" s="24"/>
      <c r="D26" s="24">
        <v>48</v>
      </c>
      <c r="E26" s="24"/>
      <c r="F26" s="24"/>
      <c r="G26" s="24"/>
      <c r="H26" s="24"/>
      <c r="I26" s="24">
        <v>2</v>
      </c>
      <c r="J26" s="24">
        <v>1.5</v>
      </c>
      <c r="K26" s="24">
        <f t="shared" si="0"/>
        <v>4.4000000000000004</v>
      </c>
      <c r="L26" s="24">
        <v>2</v>
      </c>
      <c r="M26" s="24">
        <v>0.4</v>
      </c>
      <c r="N26" s="24"/>
      <c r="O26" s="24"/>
      <c r="P26" s="24"/>
      <c r="Q26" s="24"/>
      <c r="R26" s="24">
        <v>2</v>
      </c>
      <c r="S26" s="24"/>
      <c r="T26" s="24"/>
    </row>
    <row r="27" spans="1:20" ht="40.5" customHeight="1" x14ac:dyDescent="0.3">
      <c r="A27" s="24">
        <v>16</v>
      </c>
      <c r="B27" s="24" t="s">
        <v>277</v>
      </c>
      <c r="C27" s="24"/>
      <c r="D27" s="24">
        <v>43</v>
      </c>
      <c r="E27" s="24"/>
      <c r="F27" s="24"/>
      <c r="G27" s="24"/>
      <c r="H27" s="24"/>
      <c r="I27" s="24">
        <v>4</v>
      </c>
      <c r="J27" s="24">
        <v>4.5</v>
      </c>
      <c r="K27" s="24">
        <f t="shared" si="0"/>
        <v>8</v>
      </c>
      <c r="L27" s="24">
        <v>2</v>
      </c>
      <c r="M27" s="24">
        <v>2</v>
      </c>
      <c r="N27" s="24"/>
      <c r="O27" s="24"/>
      <c r="P27" s="24"/>
      <c r="Q27" s="24"/>
      <c r="R27" s="24">
        <v>4</v>
      </c>
      <c r="S27" s="24"/>
      <c r="T27" s="24"/>
    </row>
    <row r="28" spans="1:20" ht="40.5" customHeight="1" x14ac:dyDescent="0.3">
      <c r="A28" s="24">
        <v>17</v>
      </c>
      <c r="B28" s="24" t="s">
        <v>283</v>
      </c>
      <c r="C28" s="24"/>
      <c r="D28" s="24">
        <v>132</v>
      </c>
      <c r="E28" s="24"/>
      <c r="F28" s="24"/>
      <c r="G28" s="24"/>
      <c r="H28" s="24"/>
      <c r="I28" s="24">
        <v>5</v>
      </c>
      <c r="J28" s="24">
        <v>5.5</v>
      </c>
      <c r="K28" s="24">
        <f t="shared" si="0"/>
        <v>10.5</v>
      </c>
      <c r="L28" s="24">
        <v>6</v>
      </c>
      <c r="M28" s="24">
        <v>2</v>
      </c>
      <c r="N28" s="24"/>
      <c r="O28" s="24"/>
      <c r="P28" s="24"/>
      <c r="Q28" s="24"/>
      <c r="R28" s="24">
        <v>2.5</v>
      </c>
      <c r="S28" s="24"/>
      <c r="T28" s="24"/>
    </row>
    <row r="29" spans="1:20" ht="40.5" customHeight="1" x14ac:dyDescent="0.3">
      <c r="A29" s="24">
        <v>18</v>
      </c>
      <c r="B29" s="24" t="s">
        <v>284</v>
      </c>
      <c r="C29" s="24"/>
      <c r="D29" s="24">
        <v>38</v>
      </c>
      <c r="E29" s="24"/>
      <c r="F29" s="24"/>
      <c r="G29" s="24"/>
      <c r="H29" s="24"/>
      <c r="I29" s="24">
        <v>0</v>
      </c>
      <c r="J29" s="24">
        <v>0</v>
      </c>
      <c r="K29" s="24">
        <f t="shared" si="0"/>
        <v>3</v>
      </c>
      <c r="L29" s="24">
        <v>0</v>
      </c>
      <c r="M29" s="24">
        <v>0</v>
      </c>
      <c r="N29" s="24"/>
      <c r="O29" s="24"/>
      <c r="P29" s="24"/>
      <c r="Q29" s="24"/>
      <c r="R29" s="24">
        <v>3</v>
      </c>
      <c r="S29" s="24"/>
      <c r="T29" s="24"/>
    </row>
    <row r="30" spans="1:20" ht="40.5" customHeight="1" x14ac:dyDescent="0.3">
      <c r="A30" s="24">
        <v>19</v>
      </c>
      <c r="B30" s="24" t="s">
        <v>285</v>
      </c>
      <c r="C30" s="24"/>
      <c r="D30" s="24">
        <v>43</v>
      </c>
      <c r="E30" s="24"/>
      <c r="F30" s="24"/>
      <c r="G30" s="24"/>
      <c r="H30" s="24"/>
      <c r="I30" s="24">
        <v>2</v>
      </c>
      <c r="J30" s="24">
        <v>2.5</v>
      </c>
      <c r="K30" s="24">
        <f t="shared" si="0"/>
        <v>4</v>
      </c>
      <c r="L30" s="24">
        <v>1</v>
      </c>
      <c r="M30" s="24">
        <v>1</v>
      </c>
      <c r="N30" s="24"/>
      <c r="O30" s="24"/>
      <c r="P30" s="24"/>
      <c r="Q30" s="24"/>
      <c r="R30" s="24">
        <v>2</v>
      </c>
      <c r="S30" s="24"/>
      <c r="T30" s="24"/>
    </row>
    <row r="31" spans="1:20" ht="40.5" customHeight="1" x14ac:dyDescent="0.3">
      <c r="A31" s="24">
        <v>20</v>
      </c>
      <c r="B31" s="24" t="s">
        <v>286</v>
      </c>
      <c r="C31" s="24"/>
      <c r="D31" s="24">
        <v>211</v>
      </c>
      <c r="E31" s="24"/>
      <c r="F31" s="24"/>
      <c r="G31" s="24"/>
      <c r="H31" s="24"/>
      <c r="I31" s="24">
        <v>7</v>
      </c>
      <c r="J31" s="24">
        <v>7.5</v>
      </c>
      <c r="K31" s="24">
        <f t="shared" si="0"/>
        <v>13</v>
      </c>
      <c r="L31" s="24">
        <v>5</v>
      </c>
      <c r="M31" s="24">
        <v>2</v>
      </c>
      <c r="N31" s="24"/>
      <c r="O31" s="24"/>
      <c r="P31" s="24"/>
      <c r="Q31" s="24"/>
      <c r="R31" s="24">
        <v>6</v>
      </c>
      <c r="S31" s="24"/>
      <c r="T31" s="24"/>
    </row>
    <row r="32" spans="1:20" ht="40.5" customHeight="1" x14ac:dyDescent="0.3">
      <c r="A32" s="24">
        <v>21</v>
      </c>
      <c r="B32" s="24" t="s">
        <v>286</v>
      </c>
      <c r="C32" s="24"/>
      <c r="D32" s="24">
        <v>46</v>
      </c>
      <c r="E32" s="24"/>
      <c r="F32" s="24"/>
      <c r="G32" s="24"/>
      <c r="H32" s="24"/>
      <c r="I32" s="24">
        <v>4</v>
      </c>
      <c r="J32" s="24">
        <v>4.5</v>
      </c>
      <c r="K32" s="24">
        <f t="shared" si="0"/>
        <v>8</v>
      </c>
      <c r="L32" s="24">
        <v>2</v>
      </c>
      <c r="M32" s="24">
        <v>3.5</v>
      </c>
      <c r="N32" s="24"/>
      <c r="O32" s="24"/>
      <c r="P32" s="24"/>
      <c r="Q32" s="24"/>
      <c r="R32" s="24">
        <v>2.5</v>
      </c>
      <c r="S32" s="24"/>
      <c r="T32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38" sqref="F38:F3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294</v>
      </c>
      <c r="C5" s="12"/>
      <c r="D5" s="12"/>
      <c r="E5" s="12"/>
      <c r="F5" s="12"/>
      <c r="G5" s="12"/>
      <c r="H5" s="12"/>
    </row>
    <row r="6" spans="1:8" ht="29.25" customHeight="1" x14ac:dyDescent="0.3">
      <c r="A6" s="11">
        <v>2</v>
      </c>
      <c r="B6" s="12"/>
      <c r="C6" s="12"/>
      <c r="D6" s="12"/>
      <c r="E6" s="12"/>
      <c r="F6" s="12"/>
      <c r="G6" s="12"/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295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>
        <v>0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296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>
        <v>0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286</v>
      </c>
      <c r="C38" s="18" t="s">
        <v>313</v>
      </c>
      <c r="D38" s="18">
        <v>4</v>
      </c>
      <c r="E38" s="18">
        <v>3</v>
      </c>
      <c r="F38" s="18" t="s">
        <v>321</v>
      </c>
      <c r="G38" s="18">
        <v>12</v>
      </c>
      <c r="H38" s="18"/>
    </row>
    <row r="39" spans="1:8" ht="36" customHeight="1" x14ac:dyDescent="0.3">
      <c r="A39" s="11">
        <v>2</v>
      </c>
      <c r="B39" s="18" t="s">
        <v>286</v>
      </c>
      <c r="C39" s="18" t="s">
        <v>313</v>
      </c>
      <c r="D39" s="18">
        <v>4.5</v>
      </c>
      <c r="E39" s="18">
        <v>8</v>
      </c>
      <c r="F39" s="18" t="s">
        <v>321</v>
      </c>
      <c r="G39" s="18">
        <v>30</v>
      </c>
      <c r="H39" s="18"/>
    </row>
    <row r="40" spans="1:8" ht="36" customHeight="1" x14ac:dyDescent="0.3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297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298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296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299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300</v>
      </c>
      <c r="C69" s="11"/>
      <c r="D69" s="11"/>
      <c r="E69" s="11"/>
      <c r="F69" s="11"/>
      <c r="G69" s="11"/>
      <c r="H69" s="11"/>
    </row>
    <row r="70" spans="1:8" s="28" customFormat="1" ht="41.25" customHeight="1" x14ac:dyDescent="0.3">
      <c r="A70" s="11">
        <v>2</v>
      </c>
      <c r="B70" s="40"/>
      <c r="C70" s="11"/>
      <c r="D70" s="11"/>
      <c r="E70" s="11"/>
      <c r="F70" s="11"/>
      <c r="G70" s="11"/>
      <c r="H70" s="11"/>
    </row>
    <row r="71" spans="1:8" s="28" customFormat="1" ht="41.25" customHeight="1" x14ac:dyDescent="0.3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3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300</v>
      </c>
      <c r="C96" s="11"/>
      <c r="D96" s="41"/>
      <c r="E96" s="42"/>
      <c r="F96" s="23"/>
      <c r="G96" s="23"/>
      <c r="H96" s="23"/>
    </row>
    <row r="97" spans="1:8" s="28" customFormat="1" ht="39" customHeight="1" x14ac:dyDescent="0.3">
      <c r="A97" s="41">
        <v>2</v>
      </c>
      <c r="B97" s="40"/>
      <c r="C97" s="11"/>
      <c r="D97" s="41"/>
      <c r="E97" s="42"/>
      <c r="F97" s="23"/>
      <c r="G97" s="23"/>
      <c r="H97" s="23"/>
    </row>
    <row r="98" spans="1:8" s="28" customFormat="1" ht="39" customHeight="1" x14ac:dyDescent="0.3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topLeftCell="A58" zoomScale="92" zoomScaleNormal="85" workbookViewId="0">
      <selection activeCell="E10" sqref="E10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287</v>
      </c>
      <c r="C6" s="45" t="s">
        <v>314</v>
      </c>
      <c r="D6" s="18">
        <v>42</v>
      </c>
      <c r="E6" s="18" t="s">
        <v>321</v>
      </c>
      <c r="F6" s="18">
        <v>190</v>
      </c>
      <c r="G6" s="18"/>
    </row>
    <row r="7" spans="1:7" ht="45.6" customHeight="1" x14ac:dyDescent="0.3">
      <c r="A7" s="11">
        <v>2</v>
      </c>
      <c r="B7" s="18" t="s">
        <v>288</v>
      </c>
      <c r="C7" s="45" t="s">
        <v>315</v>
      </c>
      <c r="D7" s="18">
        <v>51</v>
      </c>
      <c r="E7" s="18" t="s">
        <v>322</v>
      </c>
      <c r="F7" s="18">
        <v>210</v>
      </c>
      <c r="G7" s="18"/>
    </row>
    <row r="8" spans="1:7" ht="45.6" customHeight="1" x14ac:dyDescent="0.3">
      <c r="A8" s="11">
        <v>3</v>
      </c>
      <c r="B8" s="18" t="s">
        <v>286</v>
      </c>
      <c r="C8" s="45" t="s">
        <v>313</v>
      </c>
      <c r="D8" s="18">
        <v>33</v>
      </c>
      <c r="E8" s="18" t="s">
        <v>321</v>
      </c>
      <c r="F8" s="18">
        <v>170</v>
      </c>
      <c r="G8" s="18"/>
    </row>
    <row r="9" spans="1:7" ht="45.6" customHeight="1" x14ac:dyDescent="0.3">
      <c r="A9" s="11">
        <v>4</v>
      </c>
      <c r="B9" s="18"/>
      <c r="C9" s="45" t="s">
        <v>289</v>
      </c>
      <c r="D9" s="18">
        <v>52</v>
      </c>
      <c r="E9" s="18" t="s">
        <v>327</v>
      </c>
      <c r="F9" s="18">
        <v>210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278</v>
      </c>
      <c r="C39" s="48" t="s">
        <v>316</v>
      </c>
      <c r="D39" s="41">
        <v>37</v>
      </c>
      <c r="E39" s="23" t="s">
        <v>324</v>
      </c>
      <c r="F39" s="23">
        <v>190</v>
      </c>
      <c r="G39" s="23"/>
    </row>
    <row r="40" spans="1:7" s="28" customFormat="1" ht="45.6" customHeight="1" x14ac:dyDescent="0.3">
      <c r="A40" s="41">
        <v>2</v>
      </c>
      <c r="B40" s="23" t="s">
        <v>288</v>
      </c>
      <c r="C40" s="48" t="s">
        <v>315</v>
      </c>
      <c r="D40" s="41">
        <v>32</v>
      </c>
      <c r="E40" s="23" t="s">
        <v>326</v>
      </c>
      <c r="F40" s="23">
        <v>170</v>
      </c>
      <c r="G40" s="23"/>
    </row>
    <row r="41" spans="1:7" s="28" customFormat="1" ht="45.6" customHeight="1" x14ac:dyDescent="0.3">
      <c r="A41" s="41">
        <v>3</v>
      </c>
      <c r="B41" s="23" t="s">
        <v>286</v>
      </c>
      <c r="C41" s="48" t="s">
        <v>313</v>
      </c>
      <c r="D41" s="41">
        <v>23</v>
      </c>
      <c r="E41" s="23" t="s">
        <v>321</v>
      </c>
      <c r="F41" s="23">
        <v>110</v>
      </c>
      <c r="G41" s="23"/>
    </row>
    <row r="42" spans="1:7" s="28" customFormat="1" ht="45.6" customHeight="1" x14ac:dyDescent="0.3">
      <c r="A42" s="41">
        <v>4</v>
      </c>
      <c r="B42" s="23" t="s">
        <v>290</v>
      </c>
      <c r="C42" s="48" t="s">
        <v>317</v>
      </c>
      <c r="D42" s="41">
        <v>12</v>
      </c>
      <c r="E42" s="23" t="s">
        <v>325</v>
      </c>
      <c r="F42" s="23">
        <v>30</v>
      </c>
      <c r="G42" s="23"/>
    </row>
    <row r="43" spans="1:7" s="28" customFormat="1" ht="45.6" customHeight="1" x14ac:dyDescent="0.3">
      <c r="A43" s="41">
        <v>5</v>
      </c>
      <c r="B43" s="23" t="s">
        <v>291</v>
      </c>
      <c r="C43" s="48" t="s">
        <v>318</v>
      </c>
      <c r="D43" s="41">
        <v>42</v>
      </c>
      <c r="E43" s="23" t="s">
        <v>324</v>
      </c>
      <c r="F43" s="23">
        <v>190</v>
      </c>
      <c r="G43" s="23"/>
    </row>
    <row r="44" spans="1:7" s="28" customFormat="1" ht="45.6" customHeight="1" x14ac:dyDescent="0.3">
      <c r="A44" s="41">
        <v>6</v>
      </c>
      <c r="B44" s="23" t="s">
        <v>292</v>
      </c>
      <c r="C44" s="48" t="s">
        <v>319</v>
      </c>
      <c r="D44" s="41">
        <v>52</v>
      </c>
      <c r="E44" s="23" t="s">
        <v>321</v>
      </c>
      <c r="F44" s="23">
        <v>211</v>
      </c>
      <c r="G44" s="23"/>
    </row>
    <row r="45" spans="1:7" s="28" customFormat="1" ht="45.6" customHeight="1" x14ac:dyDescent="0.3">
      <c r="A45" s="41">
        <v>7</v>
      </c>
      <c r="B45" s="23" t="s">
        <v>293</v>
      </c>
      <c r="C45" s="48" t="s">
        <v>320</v>
      </c>
      <c r="D45" s="41">
        <v>22</v>
      </c>
      <c r="E45" s="23" t="s">
        <v>323</v>
      </c>
      <c r="F45" s="23">
        <v>130</v>
      </c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2" zoomScaleSheetLayoutView="100" workbookViewId="0">
      <selection activeCell="D14" sqref="D14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2024-07-04T12:33:20Z</dcterms:modified>
</cp:coreProperties>
</file>