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BB3F8DE4-2B03-4E92-82BB-B58C20C10535}" xr6:coauthVersionLast="47" xr6:coauthVersionMax="47" xr10:uidLastSave="{00000000-0000-0000-0000-000000000000}"/>
  <bookViews>
    <workbookView xWindow="1905" yWindow="190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1" i="8"/>
  <c r="G70" i="8"/>
  <c r="G69" i="8"/>
  <c r="G40" i="8"/>
  <c r="G39" i="8"/>
  <c r="G38" i="8"/>
  <c r="G8" i="8"/>
  <c r="G7" i="8"/>
  <c r="G6" i="8"/>
  <c r="G5" i="8"/>
  <c r="F43" i="9"/>
  <c r="F42" i="9"/>
  <c r="F41" i="9"/>
  <c r="F40" i="9"/>
  <c r="F39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<sst xmlns="http://schemas.openxmlformats.org/spreadsheetml/2006/main" count="471" uniqueCount="339">
  <si>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</si>
  <si>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</si>
  <si>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</si>
  <si>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</si>
  <si>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</si>
  <si>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</si>
  <si>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</si>
  <si>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</si>
  <si>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</si>
  <si>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</si>
  <si>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</si>
  <si>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</si>
  <si>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</si>
  <si>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</si>
  <si>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</si>
  <si>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</si>
  <si>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</si>
  <si>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</si>
  <si>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</si>
  <si>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</si>
  <si>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</si>
  <si>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</si>
  <si>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</si>
  <si>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</si>
  <si>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</si>
  <si>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</si>
  <si>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</si>
  <si>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</si>
  <si>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</si>
  <si>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</si>
  <si>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</si>
  <si>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</si>
  <si>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</si>
  <si>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</si>
  <si>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</si>
  <si>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</si>
  <si>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</si>
  <si>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</si>
  <si>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</si>
  <si>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</si>
  <si>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</si>
  <si>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</si>
  <si>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</si>
  <si>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</si>
  <si>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</si>
  <si>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</si>
  <si>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</si>
  <si>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</si>
  <si>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</si>
  <si>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</si>
  <si>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</si>
  <si>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</si>
  <si>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</si>
  <si>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</si>
  <si>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</si>
  <si>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</si>
  <si>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</si>
  <si>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</si>
  <si>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</si>
  <si>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</si>
  <si>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</si>
  <si>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</si>
  <si>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</si>
  <si>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</si>
  <si>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</si>
  <si>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</si>
  <si>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</si>
  <si>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</si>
  <si>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</si>
  <si>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</si>
  <si>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</si>
  <si>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</si>
  <si>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</si>
  <si>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</si>
  <si>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</si>
  <si>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</si>
  <si>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</si>
  <si>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</si>
  <si>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</si>
  <si>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</si>
  <si>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</si>
  <si>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</si>
  <si>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</si>
  <si>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</si>
  <si>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</si>
  <si>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</si>
  <si>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</si>
  <si>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</si>
  <si>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</si>
  <si>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</si>
  <si>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</si>
  <si>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</si>
  <si>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</si>
  <si>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</si>
  <si>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</si>
  <si>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</si>
  <si>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</si>
  <si>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</si>
  <si>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</si>
  <si>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</si>
  <si>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</si>
  <si>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</si>
  <si>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</si>
  <si>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</si>
  <si>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</si>
  <si>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</si>
  <si>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</si>
  <si>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</si>
  <si>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</si>
  <si>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</si>
  <si>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</si>
  <si>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</si>
  <si>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</si>
  <si>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</si>
  <si>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</si>
  <si>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</si>
  <si>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</si>
  <si>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</si>
  <si>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</si>
  <si>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</si>
  <si>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</si>
  <si>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</si>
  <si>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</si>
  <si>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</si>
  <si>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</si>
  <si>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</si>
  <si>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</si>
  <si>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</si>
  <si>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</si>
  <si>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</si>
  <si>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</si>
  <si>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</si>
  <si>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</si>
  <si>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</si>
  <si>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</si>
  <si>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</si>
  <si>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</si>
  <si>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</si>
  <si>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</si>
  <si>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</si>
  <si>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</si>
  <si>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</si>
  <si>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</si>
  <si>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</si>
  <si>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</si>
  <si>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</si>
  <si>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</si>
  <si>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</si>
  <si>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</si>
  <si>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</si>
  <si>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</si>
  <si>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</si>
  <si>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</si>
  <si>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</si>
  <si>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</si>
  <si>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</si>
  <si>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</si>
  <si>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</si>
  <si>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</si>
  <si>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</si>
  <si>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</si>
  <si>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</si>
  <si>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</si>
  <si>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</si>
  <si>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</si>
  <si>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</si>
  <si>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</si>
  <si>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</si>
  <si>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</si>
  <si>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</si>
  <si>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</si>
  <si>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</si>
  <si>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</si>
  <si>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</si>
  <si>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</si>
  <si>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</si>
  <si>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</si>
  <si>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</si>
  <si>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</si>
  <si>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</si>
  <si>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</si>
  <si>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</si>
  <si>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</si>
  <si>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</si>
  <si>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SOUTH EAST CORNER </t>
  </si>
  <si>
    <t>NORTH WEST CORNER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</si>
  <si>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</si>
  <si>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</si>
  <si>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</si>
  <si>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</si>
  <si>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</si>
  <si>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</si>
  <si>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</si>
  <si>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</si>
  <si>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</si>
  <si>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</si>
  <si>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</si>
  <si>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</si>
  <si>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</si>
  <si>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</si>
  <si>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</si>
  <si>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</si>
  <si>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</si>
  <si>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</si>
  <si>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</si>
  <si>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</si>
  <si>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</si>
  <si>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</si>
  <si>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</si>
  <si>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</si>
  <si>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</si>
  <si>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</si>
  <si>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</si>
  <si>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</si>
  <si>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</si>
  <si>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</si>
  <si>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</si>
  <si>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</si>
  <si>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</si>
  <si>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</si>
  <si>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</si>
  <si>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</si>
  <si>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</si>
  <si>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</si>
  <si>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</si>
  <si>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</si>
  <si>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</si>
  <si>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</si>
  <si>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</si>
  <si>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</si>
  <si>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</si>
  <si>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</si>
  <si>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</si>
  <si>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</si>
  <si>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</si>
  <si>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</si>
  <si>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</si>
  <si>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</si>
  <si>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</si>
  <si>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</si>
  <si>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</si>
  <si>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</si>
  <si>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</si>
  <si>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>Travel from Dharmasthala to posalike upt N  12.967033 E  75.392844, then travel in the bearing of   121 degree and walk about 408m to reach the grid.</t>
  </si>
  <si>
    <t xml:space="preserve">Carallia brachiata , Acacia auriculiformis </t>
  </si>
  <si>
    <t>Canopy Dencity - 0.68</t>
  </si>
  <si>
    <t>Soil - Humas rich (red)</t>
  </si>
  <si>
    <t xml:space="preserve">Weeds -Hyptis suaveolens Chromolaena odorata , Spegniticola trilobata </t>
  </si>
  <si>
    <t xml:space="preserve">Bamboos - Bambusa vulagaris, Bambusa bambos </t>
  </si>
  <si>
    <t>Herbs - Agaritum conozoides, Iruna lobata</t>
  </si>
  <si>
    <t xml:space="preserve">Shrubs - Mussaenda frondosa , Macaranga peltata </t>
  </si>
  <si>
    <t xml:space="preserve">Underwood species – Olea dioca , Ixora brachiata </t>
  </si>
  <si>
    <t xml:space="preserve">Climbers - Ipomoea campanulata , Dioscoria alata </t>
  </si>
  <si>
    <t xml:space="preserve">Rattans – Calamus thwiitesii </t>
  </si>
  <si>
    <t xml:space="preserve">NTFP yieding sps – Garcinia gummi-gutta ,  Garcinia indica </t>
  </si>
  <si>
    <t>Human settlement Rubber plantation</t>
  </si>
  <si>
    <t xml:space="preserve">7m 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</si>
  <si>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</si>
  <si>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</si>
  <si>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</si>
  <si>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</si>
  <si>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</si>
  <si>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 Gravel rich humas soil</t>
  </si>
  <si>
    <t>Depth- Shallow</t>
  </si>
  <si>
    <t xml:space="preserve">Permiability- Moderate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</si>
  <si>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</si>
  <si>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</si>
  <si>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</si>
  <si>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Fungi , insect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</si>
  <si>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</si>
  <si>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</si>
  <si>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</si>
  <si>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</si>
  <si>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wildboar</t>
  </si>
  <si>
    <t>0.5-0.75</t>
  </si>
  <si>
    <t xml:space="preserve">Aporosa lindleyana </t>
  </si>
  <si>
    <t xml:space="preserve">Terminalia bellarica </t>
  </si>
  <si>
    <t xml:space="preserve">Terminalia paniculata </t>
  </si>
  <si>
    <t xml:space="preserve">Olea dioca </t>
  </si>
  <si>
    <t xml:space="preserve">Ixora brachiata </t>
  </si>
  <si>
    <t xml:space="preserve">Alangium salviifolium </t>
  </si>
  <si>
    <t>6kg</t>
  </si>
  <si>
    <t>4.5kg</t>
  </si>
  <si>
    <t xml:space="preserve">Leea indica </t>
  </si>
  <si>
    <t xml:space="preserve">Psychotria dalzelli </t>
  </si>
  <si>
    <t>3kg</t>
  </si>
  <si>
    <t>7kg</t>
  </si>
  <si>
    <t xml:space="preserve">Flacourtia montana </t>
  </si>
  <si>
    <t>Psychotria flavida</t>
  </si>
  <si>
    <t xml:space="preserve">Tabernamontana heyneana </t>
  </si>
  <si>
    <t>P Kuntanerale</t>
  </si>
  <si>
    <t>Xylia xylocarpa</t>
  </si>
  <si>
    <t>Terminalia paniculata</t>
  </si>
  <si>
    <t>Ziziphus oenoplia</t>
  </si>
  <si>
    <t>Wavy marginied plant</t>
  </si>
  <si>
    <t xml:space="preserve">Getonia floribunda </t>
  </si>
  <si>
    <t>Piper nigrum</t>
  </si>
  <si>
    <t>Belthangady</t>
  </si>
  <si>
    <t>Dharmastala mundaje RF</t>
  </si>
  <si>
    <t>II-12</t>
  </si>
  <si>
    <t>Tract - Undulating</t>
  </si>
  <si>
    <t>Aspect -NO fix</t>
  </si>
  <si>
    <t>Grasses -NIL</t>
  </si>
  <si>
    <t>NIL</t>
  </si>
  <si>
    <t>470 ft</t>
  </si>
  <si>
    <t xml:space="preserve">Terminalia bellarica , Terminalia paniculata ,Aporosa lindleyana </t>
  </si>
  <si>
    <t>50g</t>
  </si>
  <si>
    <t>680g</t>
  </si>
  <si>
    <t>130g</t>
  </si>
  <si>
    <t>90g</t>
  </si>
  <si>
    <t>960g</t>
  </si>
  <si>
    <t>180g</t>
  </si>
  <si>
    <t>Mangalore</t>
  </si>
  <si>
    <t>Matti</t>
  </si>
  <si>
    <t>Akkerakalu</t>
  </si>
  <si>
    <t>Gorbale</t>
  </si>
  <si>
    <t>Ankole</t>
  </si>
  <si>
    <t>Salle</t>
  </si>
  <si>
    <t>Nertige</t>
  </si>
  <si>
    <t>Konana kivi</t>
  </si>
  <si>
    <t>Kaadu coffee</t>
  </si>
  <si>
    <t>Maddarasa</t>
  </si>
  <si>
    <t>Mullu Sampige</t>
  </si>
  <si>
    <t xml:space="preserve">Ankole </t>
  </si>
  <si>
    <t xml:space="preserve">Kumsa </t>
  </si>
  <si>
    <t>Kalu Menasu</t>
  </si>
  <si>
    <t>Kaadu Mallige</t>
  </si>
  <si>
    <t xml:space="preserve">Jasminum malabaricum </t>
  </si>
  <si>
    <t>Jambe</t>
  </si>
  <si>
    <t>Paragi</t>
  </si>
  <si>
    <t>fruits</t>
  </si>
  <si>
    <t>leaves</t>
  </si>
  <si>
    <t>flowers</t>
  </si>
  <si>
    <t>Flowers and leaves</t>
  </si>
  <si>
    <t>seeds</t>
  </si>
  <si>
    <t xml:space="preserve">fruit pulp, seed </t>
  </si>
  <si>
    <t>tubers</t>
  </si>
  <si>
    <t xml:space="preserve">Bark , seeds </t>
  </si>
  <si>
    <t>fruits,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</si>
</sst>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="85" zoomScaleSheetLayoutView="85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297</v>
      </c>
    </row>
    <row r="6" spans="1:3" ht="39" customHeight="1" x14ac:dyDescent="0.25">
      <c r="A6" s="4">
        <v>2</v>
      </c>
      <c r="B6" s="51" t="s">
        <v>7</v>
      </c>
      <c r="C6" s="8" t="s">
        <v>298</v>
      </c>
    </row>
    <row r="7" spans="1:3" ht="39" customHeight="1" x14ac:dyDescent="0.25">
      <c r="A7" s="4">
        <v>3</v>
      </c>
      <c r="B7" s="51" t="s">
        <v>8</v>
      </c>
      <c r="C7" s="8" t="s">
        <v>299</v>
      </c>
    </row>
    <row r="8" spans="1:3" ht="39" customHeight="1" x14ac:dyDescent="0.25">
      <c r="A8" s="4">
        <v>4</v>
      </c>
      <c r="B8" s="51" t="s">
        <v>9</v>
      </c>
      <c r="C8" s="8">
        <v>6190</v>
      </c>
    </row>
    <row r="9" spans="1:3" ht="39" customHeight="1" x14ac:dyDescent="0.25">
      <c r="A9" s="4">
        <v>5</v>
      </c>
      <c r="B9" s="51" t="s">
        <v>10</v>
      </c>
      <c r="C9" s="9">
        <v>12.965296</v>
      </c>
    </row>
    <row r="10" spans="1:3" ht="39" customHeight="1" x14ac:dyDescent="0.25">
      <c r="A10" s="4">
        <v>6</v>
      </c>
      <c r="B10" s="51" t="s">
        <v>11</v>
      </c>
      <c r="C10" s="9">
        <v>75.395960000000002</v>
      </c>
    </row>
    <row r="11" spans="1:3" ht="141.75" customHeight="1" x14ac:dyDescent="0.25">
      <c r="A11" s="4">
        <v>7</v>
      </c>
      <c r="B11" s="51" t="s">
        <v>12</v>
      </c>
      <c r="C11" s="8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5">
        <v>9</v>
      </c>
      <c r="B13" s="56" t="s">
        <v>14</v>
      </c>
      <c r="C13" s="6" t="s">
        <v>300</v>
      </c>
    </row>
    <row r="14" spans="1:3" ht="32.25" customHeight="1" x14ac:dyDescent="0.25">
      <c r="A14" s="55"/>
      <c r="B14" s="56"/>
      <c r="C14" s="6" t="s">
        <v>301</v>
      </c>
    </row>
    <row r="15" spans="1:3" ht="32.25" customHeight="1" x14ac:dyDescent="0.25">
      <c r="A15" s="55"/>
      <c r="B15" s="56"/>
      <c r="C15" s="6" t="s">
        <v>245</v>
      </c>
    </row>
    <row r="16" spans="1:3" ht="32.25" customHeight="1" x14ac:dyDescent="0.25">
      <c r="A16" s="55"/>
      <c r="B16" s="56"/>
      <c r="C16" s="6" t="s">
        <v>246</v>
      </c>
    </row>
    <row r="17" spans="1:3" ht="32.25" customHeight="1" x14ac:dyDescent="0.25">
      <c r="A17" s="55"/>
      <c r="B17" s="56"/>
      <c r="C17" s="6" t="s">
        <v>302</v>
      </c>
    </row>
    <row r="18" spans="1:3" ht="32.25" customHeight="1" x14ac:dyDescent="0.25">
      <c r="A18" s="55"/>
      <c r="B18" s="56"/>
      <c r="C18" s="6" t="s">
        <v>247</v>
      </c>
    </row>
    <row r="19" spans="1:3" ht="32.25" customHeight="1" x14ac:dyDescent="0.25">
      <c r="A19" s="55"/>
      <c r="B19" s="56"/>
      <c r="C19" s="6" t="s">
        <v>248</v>
      </c>
    </row>
    <row r="20" spans="1:3" ht="57.75" customHeight="1" x14ac:dyDescent="0.25">
      <c r="A20" s="55"/>
      <c r="B20" s="56"/>
      <c r="C20" s="6" t="s">
        <v>249</v>
      </c>
    </row>
    <row r="21" spans="1:3" ht="63" customHeight="1" x14ac:dyDescent="0.25">
      <c r="A21" s="55"/>
      <c r="B21" s="56"/>
      <c r="C21" s="6" t="s">
        <v>250</v>
      </c>
    </row>
    <row r="22" spans="1:3" ht="63" customHeight="1" x14ac:dyDescent="0.25">
      <c r="A22" s="55"/>
      <c r="B22" s="56"/>
      <c r="C22" s="6" t="s">
        <v>251</v>
      </c>
    </row>
    <row r="23" spans="1:3" ht="63" customHeight="1" x14ac:dyDescent="0.25">
      <c r="A23" s="55"/>
      <c r="B23" s="56"/>
      <c r="C23" s="6" t="s">
        <v>252</v>
      </c>
    </row>
    <row r="24" spans="1:3" ht="63" customHeight="1" x14ac:dyDescent="0.25">
      <c r="A24" s="55"/>
      <c r="B24" s="56"/>
      <c r="C24" s="6" t="s">
        <v>253</v>
      </c>
    </row>
    <row r="25" spans="1:3" ht="63" customHeight="1" x14ac:dyDescent="0.25">
      <c r="A25" s="55"/>
      <c r="B25" s="56"/>
      <c r="C25" s="6" t="s">
        <v>254</v>
      </c>
    </row>
    <row r="26" spans="1:3" ht="49.5" customHeight="1" x14ac:dyDescent="0.25">
      <c r="A26" s="4">
        <v>10</v>
      </c>
      <c r="B26" s="51" t="s">
        <v>15</v>
      </c>
      <c r="C26" s="6" t="s">
        <v>255</v>
      </c>
    </row>
    <row r="27" spans="1:3" ht="53.25" customHeight="1" x14ac:dyDescent="0.25">
      <c r="A27" s="4">
        <v>11</v>
      </c>
      <c r="B27" s="51" t="s">
        <v>16</v>
      </c>
      <c r="C27" s="53" t="s">
        <v>303</v>
      </c>
    </row>
    <row r="28" spans="1:3" s="13" customFormat="1" ht="51" customHeight="1" x14ac:dyDescent="0.25">
      <c r="A28" s="18">
        <v>12</v>
      </c>
      <c r="B28" s="52" t="s">
        <v>220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221</v>
      </c>
      <c r="C29" s="12" t="s">
        <v>256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">
        <v>312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226</v>
      </c>
      <c r="C6" s="20"/>
    </row>
    <row r="7" spans="1:3" ht="32.25" customHeight="1" x14ac:dyDescent="0.25">
      <c r="A7" s="11">
        <v>3</v>
      </c>
      <c r="B7" s="52" t="s">
        <v>222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6190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12.965296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75.395960000000002</v>
      </c>
    </row>
    <row r="11" spans="1:3" ht="32.25" customHeight="1" x14ac:dyDescent="0.25">
      <c r="A11" s="11">
        <v>7</v>
      </c>
      <c r="B11" s="52" t="s">
        <v>22</v>
      </c>
      <c r="C11" s="20" t="s">
        <v>304</v>
      </c>
    </row>
    <row r="12" spans="1:3" ht="43.5" customHeight="1" x14ac:dyDescent="0.25">
      <c r="A12" s="11">
        <v>8</v>
      </c>
      <c r="B12" s="52" t="s">
        <v>23</v>
      </c>
      <c r="C12" s="20" t="s">
        <v>257</v>
      </c>
    </row>
    <row r="13" spans="1:3" ht="43.5" customHeight="1" x14ac:dyDescent="0.25">
      <c r="A13" s="11">
        <v>9</v>
      </c>
      <c r="B13" s="52" t="s">
        <v>24</v>
      </c>
      <c r="C13" s="20" t="s">
        <v>258</v>
      </c>
    </row>
    <row r="14" spans="1:3" ht="38.25" customHeight="1" x14ac:dyDescent="0.25">
      <c r="A14" s="11">
        <v>10</v>
      </c>
      <c r="B14" s="52" t="s">
        <v>25</v>
      </c>
      <c r="C14" s="20" t="s">
        <v>259</v>
      </c>
    </row>
    <row r="15" spans="1:3" ht="25.5" customHeight="1" x14ac:dyDescent="0.25">
      <c r="A15" s="11">
        <v>11</v>
      </c>
      <c r="B15" s="52" t="s">
        <v>26</v>
      </c>
      <c r="C15" s="22" t="s">
        <v>260</v>
      </c>
    </row>
    <row r="16" spans="1:3" ht="37.5" customHeight="1" x14ac:dyDescent="0.25">
      <c r="A16" s="11">
        <v>12</v>
      </c>
      <c r="B16" s="52" t="s">
        <v>27</v>
      </c>
      <c r="C16" s="22" t="s">
        <v>261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262</v>
      </c>
    </row>
    <row r="19" spans="1:3" ht="30.75" customHeight="1" x14ac:dyDescent="0.25">
      <c r="A19" s="58"/>
      <c r="B19" s="59"/>
      <c r="C19" s="22" t="s">
        <v>263</v>
      </c>
    </row>
    <row r="20" spans="1:3" ht="30.75" customHeight="1" x14ac:dyDescent="0.25">
      <c r="A20" s="58"/>
      <c r="B20" s="59"/>
      <c r="C20" s="23" t="s">
        <v>264</v>
      </c>
    </row>
    <row r="21" spans="1:3" ht="36" customHeight="1" x14ac:dyDescent="0.25">
      <c r="A21" s="11">
        <v>15</v>
      </c>
      <c r="B21" s="52" t="s">
        <v>31</v>
      </c>
      <c r="C21" s="22" t="s">
        <v>265</v>
      </c>
    </row>
    <row r="22" spans="1:3" ht="54.75" customHeight="1" x14ac:dyDescent="0.25">
      <c r="A22" s="11">
        <v>16</v>
      </c>
      <c r="B22" s="52" t="s">
        <v>32</v>
      </c>
      <c r="C22" s="22" t="s">
        <v>305</v>
      </c>
    </row>
    <row r="23" spans="1:3" ht="15.75" x14ac:dyDescent="0.25">
      <c r="A23" s="11">
        <v>17</v>
      </c>
      <c r="B23" s="52" t="s">
        <v>223</v>
      </c>
      <c r="C23" s="22" t="s">
        <v>266</v>
      </c>
    </row>
    <row r="24" spans="1:3" ht="35.25" customHeight="1" x14ac:dyDescent="0.25">
      <c r="A24" s="11">
        <v>18</v>
      </c>
      <c r="B24" s="52" t="s">
        <v>33</v>
      </c>
      <c r="C24" s="22" t="s">
        <v>267</v>
      </c>
    </row>
    <row r="25" spans="1:3" ht="72.75" customHeight="1" x14ac:dyDescent="0.25">
      <c r="A25" s="11">
        <v>19</v>
      </c>
      <c r="B25" s="52" t="s">
        <v>34</v>
      </c>
      <c r="C25" s="22" t="s">
        <v>268</v>
      </c>
    </row>
    <row r="26" spans="1:3" ht="30" customHeight="1" x14ac:dyDescent="0.25">
      <c r="A26" s="11">
        <v>20</v>
      </c>
      <c r="B26" s="52" t="s">
        <v>35</v>
      </c>
      <c r="C26" s="23" t="s">
        <v>269</v>
      </c>
    </row>
    <row r="27" spans="1:3" ht="30" customHeight="1" x14ac:dyDescent="0.25">
      <c r="A27" s="11">
        <v>21</v>
      </c>
      <c r="B27" s="52" t="s">
        <v>36</v>
      </c>
      <c r="C27" s="22" t="s">
        <v>270</v>
      </c>
    </row>
    <row r="28" spans="1:3" ht="30" customHeight="1" x14ac:dyDescent="0.25">
      <c r="A28" s="11">
        <v>22</v>
      </c>
      <c r="B28" s="52" t="s">
        <v>37</v>
      </c>
      <c r="C28" s="22" t="s">
        <v>271</v>
      </c>
    </row>
    <row r="29" spans="1:3" ht="32.25" customHeight="1" x14ac:dyDescent="0.25">
      <c r="A29" s="11">
        <v>23</v>
      </c>
      <c r="B29" s="52" t="s">
        <v>38</v>
      </c>
      <c r="C29" s="22" t="s">
        <v>271</v>
      </c>
    </row>
    <row r="30" spans="1:3" ht="62.25" customHeight="1" x14ac:dyDescent="0.25">
      <c r="A30" s="11">
        <v>24</v>
      </c>
      <c r="B30" s="52" t="s">
        <v>39</v>
      </c>
      <c r="C30" s="22" t="s">
        <v>303</v>
      </c>
    </row>
    <row r="31" spans="1:3" ht="72.75" customHeight="1" x14ac:dyDescent="0.25">
      <c r="A31" s="11">
        <v>25</v>
      </c>
      <c r="B31" s="52" t="s">
        <v>40</v>
      </c>
      <c r="C31" s="22" t="s">
        <v>303</v>
      </c>
    </row>
    <row r="32" spans="1:3" ht="60" customHeight="1" x14ac:dyDescent="0.25">
      <c r="A32" s="11">
        <v>26</v>
      </c>
      <c r="B32" s="52" t="s">
        <v>41</v>
      </c>
      <c r="C32" s="22" t="s">
        <v>303</v>
      </c>
    </row>
    <row r="33" spans="1:3" ht="60" customHeight="1" x14ac:dyDescent="0.25">
      <c r="A33" s="11">
        <v>27</v>
      </c>
      <c r="B33" s="52" t="s">
        <v>42</v>
      </c>
      <c r="C33" s="20" t="s">
        <v>272</v>
      </c>
    </row>
    <row r="34" spans="1:3" ht="57.75" customHeight="1" x14ac:dyDescent="0.25">
      <c r="A34" s="11">
        <v>28</v>
      </c>
      <c r="B34" s="52" t="s">
        <v>43</v>
      </c>
      <c r="C34" s="22" t="s">
        <v>303</v>
      </c>
    </row>
    <row r="35" spans="1:3" ht="59.25" customHeight="1" x14ac:dyDescent="0.25">
      <c r="A35" s="11">
        <v>29</v>
      </c>
      <c r="B35" s="52" t="s">
        <v>44</v>
      </c>
      <c r="C35" s="22" t="s">
        <v>273</v>
      </c>
    </row>
    <row r="36" spans="1:3" ht="66" customHeight="1" x14ac:dyDescent="0.25">
      <c r="A36" s="11">
        <v>30</v>
      </c>
      <c r="B36" s="52" t="s">
        <v>227</v>
      </c>
      <c r="C36" s="22" t="s">
        <v>274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zoomScale="60" zoomScaleNormal="70" workbookViewId="0">
      <selection activeCell="P16" sqref="P16"/>
    </sheetView>
  </sheetViews>
  <sheetFormatPr defaultRowHeight="15.75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24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24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78.75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24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24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27" customHeight="1" x14ac:dyDescent="0.25">
      <c r="A8" s="65" t="s">
        <v>242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228</v>
      </c>
    </row>
    <row r="9" spans="1:20" s="25" customFormat="1" ht="75" customHeight="1" x14ac:dyDescent="0.25">
      <c r="A9" s="65"/>
      <c r="B9" s="55" t="s">
        <v>71</v>
      </c>
      <c r="C9" s="55" t="s">
        <v>72</v>
      </c>
      <c r="D9" s="55" t="s">
        <v>233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63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31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275</v>
      </c>
      <c r="C12" s="24"/>
      <c r="D12" s="24">
        <v>72</v>
      </c>
      <c r="E12" s="24"/>
      <c r="F12" s="24"/>
      <c r="G12" s="24"/>
      <c r="H12" s="24"/>
      <c r="I12" s="24">
        <v>5</v>
      </c>
      <c r="J12" s="24">
        <v>5.5</v>
      </c>
      <c r="K12" s="24">
        <f>L12+M12+R12</f>
        <v>14.5</v>
      </c>
      <c r="L12" s="24">
        <v>5</v>
      </c>
      <c r="M12" s="24">
        <v>3.5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v>2</v>
      </c>
      <c r="B13" s="24" t="s">
        <v>275</v>
      </c>
      <c r="C13" s="24"/>
      <c r="D13" s="24">
        <v>98</v>
      </c>
      <c r="E13" s="24"/>
      <c r="F13" s="24"/>
      <c r="G13" s="24"/>
      <c r="H13" s="24"/>
      <c r="I13" s="24">
        <v>10</v>
      </c>
      <c r="J13" s="24">
        <v>9</v>
      </c>
      <c r="K13" s="24">
        <f t="shared" ref="K13:K17" si="0">L13+M13+R13</f>
        <v>15.5</v>
      </c>
      <c r="L13" s="24">
        <v>4</v>
      </c>
      <c r="M13" s="24">
        <v>3.5</v>
      </c>
      <c r="N13" s="24"/>
      <c r="O13" s="24"/>
      <c r="P13" s="24"/>
      <c r="Q13" s="24"/>
      <c r="R13" s="24">
        <v>8</v>
      </c>
      <c r="S13" s="24"/>
      <c r="T13" s="24"/>
    </row>
    <row r="14" spans="1:20" ht="40.5" customHeight="1" x14ac:dyDescent="0.25">
      <c r="A14" s="24">
        <v>3</v>
      </c>
      <c r="B14" s="24" t="s">
        <v>276</v>
      </c>
      <c r="C14" s="24"/>
      <c r="D14" s="24">
        <v>210</v>
      </c>
      <c r="E14" s="24"/>
      <c r="F14" s="24"/>
      <c r="G14" s="24"/>
      <c r="H14" s="24"/>
      <c r="I14" s="24">
        <v>7</v>
      </c>
      <c r="J14" s="24">
        <v>6</v>
      </c>
      <c r="K14" s="24">
        <f t="shared" si="0"/>
        <v>17.5</v>
      </c>
      <c r="L14" s="24">
        <v>9</v>
      </c>
      <c r="M14" s="24">
        <v>5</v>
      </c>
      <c r="N14" s="24"/>
      <c r="O14" s="24"/>
      <c r="P14" s="24"/>
      <c r="Q14" s="24"/>
      <c r="R14" s="24">
        <v>3.5</v>
      </c>
      <c r="S14" s="24"/>
      <c r="T14" s="24"/>
    </row>
    <row r="15" spans="1:20" ht="40.5" customHeight="1" x14ac:dyDescent="0.25">
      <c r="A15" s="24">
        <v>4</v>
      </c>
      <c r="B15" s="24" t="s">
        <v>277</v>
      </c>
      <c r="C15" s="24"/>
      <c r="D15" s="24">
        <v>145</v>
      </c>
      <c r="E15" s="24"/>
      <c r="F15" s="24"/>
      <c r="G15" s="24"/>
      <c r="H15" s="24"/>
      <c r="I15" s="24">
        <v>7</v>
      </c>
      <c r="J15" s="24">
        <v>6</v>
      </c>
      <c r="K15" s="24">
        <f t="shared" si="0"/>
        <v>18</v>
      </c>
      <c r="L15" s="24">
        <v>5</v>
      </c>
      <c r="M15" s="24">
        <v>4</v>
      </c>
      <c r="N15" s="24"/>
      <c r="O15" s="24"/>
      <c r="P15" s="24"/>
      <c r="Q15" s="24"/>
      <c r="R15" s="24">
        <v>9</v>
      </c>
      <c r="S15" s="24"/>
      <c r="T15" s="24"/>
    </row>
    <row r="16" spans="1:20" ht="40.5" customHeight="1" x14ac:dyDescent="0.25">
      <c r="A16" s="24">
        <v>5</v>
      </c>
      <c r="B16" s="24" t="s">
        <v>275</v>
      </c>
      <c r="C16" s="24"/>
      <c r="D16" s="24">
        <v>73</v>
      </c>
      <c r="E16" s="24"/>
      <c r="F16" s="24"/>
      <c r="G16" s="24"/>
      <c r="H16" s="24"/>
      <c r="I16" s="24">
        <v>6</v>
      </c>
      <c r="J16" s="24">
        <v>7</v>
      </c>
      <c r="K16" s="24">
        <f t="shared" si="0"/>
        <v>13.5</v>
      </c>
      <c r="L16" s="24">
        <v>4</v>
      </c>
      <c r="M16" s="24">
        <v>2.5</v>
      </c>
      <c r="N16" s="24"/>
      <c r="O16" s="24"/>
      <c r="P16" s="24"/>
      <c r="Q16" s="24"/>
      <c r="R16" s="24">
        <v>7</v>
      </c>
      <c r="S16" s="24"/>
      <c r="T16" s="24"/>
    </row>
    <row r="17" spans="1:20" ht="40.5" customHeight="1" x14ac:dyDescent="0.25">
      <c r="A17" s="24">
        <v>6</v>
      </c>
      <c r="B17" s="24" t="s">
        <v>275</v>
      </c>
      <c r="C17" s="24"/>
      <c r="D17" s="24">
        <v>110</v>
      </c>
      <c r="E17" s="24"/>
      <c r="F17" s="24"/>
      <c r="G17" s="24"/>
      <c r="H17" s="24"/>
      <c r="I17" s="24">
        <v>5</v>
      </c>
      <c r="J17" s="24">
        <v>4</v>
      </c>
      <c r="K17" s="24">
        <f t="shared" si="0"/>
        <v>14</v>
      </c>
      <c r="L17" s="24">
        <v>6</v>
      </c>
      <c r="M17" s="24">
        <v>3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0" ht="40.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 ht="40.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1:20" ht="40.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ht="40.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40.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40.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40.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40.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234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06" zoomScale="60" workbookViewId="0">
      <selection activeCell="I122" sqref="I122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5" t="s">
        <v>163</v>
      </c>
      <c r="B1" s="75"/>
      <c r="C1" s="75"/>
      <c r="D1" s="75"/>
      <c r="E1" s="75"/>
      <c r="F1" s="75"/>
      <c r="G1" s="75"/>
      <c r="H1" s="75"/>
    </row>
    <row r="2" spans="1:8" s="28" customFormat="1" ht="24.75" customHeight="1" x14ac:dyDescent="0.25">
      <c r="B2" s="29" t="s">
        <v>164</v>
      </c>
      <c r="F2" s="76" t="s">
        <v>165</v>
      </c>
      <c r="G2" s="76"/>
      <c r="H2" s="76"/>
    </row>
    <row r="3" spans="1:8" ht="24" customHeight="1" x14ac:dyDescent="0.25">
      <c r="A3" s="77" t="s">
        <v>166</v>
      </c>
      <c r="B3" s="77" t="s">
        <v>167</v>
      </c>
      <c r="C3" s="77" t="s">
        <v>168</v>
      </c>
      <c r="D3" s="77" t="s">
        <v>169</v>
      </c>
      <c r="E3" s="77" t="s">
        <v>170</v>
      </c>
      <c r="F3" s="79" t="s">
        <v>171</v>
      </c>
      <c r="G3" s="79"/>
      <c r="H3" s="77" t="s">
        <v>172</v>
      </c>
    </row>
    <row r="4" spans="1:8" ht="64.5" customHeight="1" x14ac:dyDescent="0.25">
      <c r="A4" s="78"/>
      <c r="B4" s="78"/>
      <c r="C4" s="78"/>
      <c r="D4" s="78"/>
      <c r="E4" s="78"/>
      <c r="F4" s="18" t="s">
        <v>173</v>
      </c>
      <c r="G4" s="18" t="s">
        <v>174</v>
      </c>
      <c r="H4" s="78"/>
    </row>
    <row r="5" spans="1:8" ht="29.25" customHeight="1" x14ac:dyDescent="0.25">
      <c r="A5" s="11">
        <v>1</v>
      </c>
      <c r="B5" s="12" t="s">
        <v>277</v>
      </c>
      <c r="C5" s="12" t="s">
        <v>313</v>
      </c>
      <c r="D5" s="12">
        <v>3</v>
      </c>
      <c r="E5" s="12">
        <v>1.8</v>
      </c>
      <c r="F5" s="89" t="s">
        <v>335</v>
      </c>
      <c r="G5" s="12">
        <f>D5*E5</f>
        <v>5.4</v>
      </c>
      <c r="H5" s="12"/>
    </row>
    <row r="6" spans="1:8" ht="29.25" customHeight="1" x14ac:dyDescent="0.25">
      <c r="A6" s="11">
        <v>2</v>
      </c>
      <c r="B6" s="12" t="s">
        <v>278</v>
      </c>
      <c r="C6" s="12" t="s">
        <v>314</v>
      </c>
      <c r="D6" s="12">
        <v>3.5</v>
      </c>
      <c r="E6" s="12">
        <v>2.6</v>
      </c>
      <c r="F6" s="12" t="s">
        <v>330</v>
      </c>
      <c r="G6" s="12">
        <f t="shared" ref="G6:G8" si="0">D6*E6</f>
        <v>9.1</v>
      </c>
      <c r="H6" s="12"/>
    </row>
    <row r="7" spans="1:8" ht="29.25" customHeight="1" x14ac:dyDescent="0.25">
      <c r="A7" s="11">
        <v>3</v>
      </c>
      <c r="B7" s="12" t="s">
        <v>279</v>
      </c>
      <c r="C7" s="12" t="s">
        <v>315</v>
      </c>
      <c r="D7" s="12">
        <v>4</v>
      </c>
      <c r="E7" s="12">
        <v>2</v>
      </c>
      <c r="F7" s="12" t="s">
        <v>332</v>
      </c>
      <c r="G7" s="12">
        <f t="shared" si="0"/>
        <v>8</v>
      </c>
      <c r="H7" s="12"/>
    </row>
    <row r="8" spans="1:8" ht="29.25" customHeight="1" x14ac:dyDescent="0.25">
      <c r="A8" s="11">
        <v>4</v>
      </c>
      <c r="B8" s="12" t="s">
        <v>280</v>
      </c>
      <c r="C8" s="12" t="s">
        <v>316</v>
      </c>
      <c r="D8" s="12">
        <v>2.2000000000000002</v>
      </c>
      <c r="E8" s="12">
        <v>1.8</v>
      </c>
      <c r="F8" s="12"/>
      <c r="G8" s="12">
        <f t="shared" si="0"/>
        <v>3.9600000000000004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9" t="s">
        <v>175</v>
      </c>
      <c r="B28" s="79"/>
      <c r="C28" s="79"/>
      <c r="D28" s="79"/>
      <c r="E28" s="79"/>
      <c r="F28" s="79"/>
      <c r="G28" s="79"/>
      <c r="H28" s="79"/>
    </row>
    <row r="29" spans="1:8" ht="36" customHeight="1" x14ac:dyDescent="0.25">
      <c r="A29" s="11">
        <v>1</v>
      </c>
      <c r="B29" s="80" t="s">
        <v>176</v>
      </c>
      <c r="C29" s="80"/>
      <c r="D29" s="80"/>
      <c r="E29" s="80"/>
      <c r="F29" s="80"/>
      <c r="G29" s="80"/>
      <c r="H29" s="35" t="s">
        <v>309</v>
      </c>
    </row>
    <row r="30" spans="1:8" ht="31.5" customHeight="1" x14ac:dyDescent="0.25">
      <c r="A30" s="11">
        <v>2</v>
      </c>
      <c r="B30" s="80" t="s">
        <v>177</v>
      </c>
      <c r="C30" s="80"/>
      <c r="D30" s="80"/>
      <c r="E30" s="80"/>
      <c r="F30" s="80"/>
      <c r="G30" s="80"/>
      <c r="H30" s="35" t="s">
        <v>310</v>
      </c>
    </row>
    <row r="31" spans="1:8" ht="24.75" customHeight="1" x14ac:dyDescent="0.25">
      <c r="A31" s="11">
        <v>3</v>
      </c>
      <c r="B31" s="80" t="s">
        <v>178</v>
      </c>
      <c r="C31" s="80"/>
      <c r="D31" s="80"/>
      <c r="E31" s="80"/>
      <c r="F31" s="80"/>
      <c r="G31" s="80"/>
      <c r="H31" s="35" t="s">
        <v>281</v>
      </c>
    </row>
    <row r="32" spans="1:8" ht="24.75" customHeight="1" x14ac:dyDescent="0.25">
      <c r="A32" s="11">
        <v>4</v>
      </c>
      <c r="B32" s="72" t="s">
        <v>179</v>
      </c>
      <c r="C32" s="73"/>
      <c r="D32" s="73"/>
      <c r="E32" s="73"/>
      <c r="F32" s="73"/>
      <c r="G32" s="74"/>
      <c r="H32" s="35" t="s">
        <v>311</v>
      </c>
    </row>
    <row r="33" spans="1:8" ht="24.75" customHeight="1" x14ac:dyDescent="0.25">
      <c r="A33" s="11">
        <v>5</v>
      </c>
      <c r="B33" s="72" t="s">
        <v>180</v>
      </c>
      <c r="C33" s="73"/>
      <c r="D33" s="73"/>
      <c r="E33" s="73"/>
      <c r="F33" s="73"/>
      <c r="G33" s="74"/>
      <c r="H33" s="35" t="s">
        <v>282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9" t="s">
        <v>166</v>
      </c>
      <c r="B36" s="79" t="s">
        <v>167</v>
      </c>
      <c r="C36" s="79" t="s">
        <v>168</v>
      </c>
      <c r="D36" s="77" t="s">
        <v>169</v>
      </c>
      <c r="E36" s="79" t="s">
        <v>170</v>
      </c>
      <c r="F36" s="79" t="s">
        <v>171</v>
      </c>
      <c r="G36" s="79"/>
      <c r="H36" s="79" t="s">
        <v>172</v>
      </c>
    </row>
    <row r="37" spans="1:8" ht="67.150000000000006" customHeight="1" x14ac:dyDescent="0.25">
      <c r="A37" s="79"/>
      <c r="B37" s="79"/>
      <c r="C37" s="79"/>
      <c r="D37" s="78"/>
      <c r="E37" s="79"/>
      <c r="F37" s="18" t="s">
        <v>173</v>
      </c>
      <c r="G37" s="18" t="s">
        <v>174</v>
      </c>
      <c r="H37" s="79"/>
    </row>
    <row r="38" spans="1:8" ht="36" customHeight="1" x14ac:dyDescent="0.25">
      <c r="A38" s="11">
        <v>1</v>
      </c>
      <c r="B38" s="18" t="s">
        <v>275</v>
      </c>
      <c r="C38" s="18" t="s">
        <v>317</v>
      </c>
      <c r="D38" s="18">
        <v>4</v>
      </c>
      <c r="E38" s="18">
        <v>3.5</v>
      </c>
      <c r="F38" s="18" t="s">
        <v>334</v>
      </c>
      <c r="G38" s="12">
        <f t="shared" ref="G38:G40" si="1">D38*E38</f>
        <v>14</v>
      </c>
      <c r="H38" s="18"/>
    </row>
    <row r="39" spans="1:8" ht="36" customHeight="1" x14ac:dyDescent="0.25">
      <c r="A39" s="11">
        <v>2</v>
      </c>
      <c r="B39" s="18" t="s">
        <v>283</v>
      </c>
      <c r="C39" s="18" t="s">
        <v>318</v>
      </c>
      <c r="D39" s="18">
        <v>3</v>
      </c>
      <c r="E39" s="18">
        <v>3</v>
      </c>
      <c r="F39" s="18" t="s">
        <v>336</v>
      </c>
      <c r="G39" s="12">
        <f t="shared" si="1"/>
        <v>9</v>
      </c>
      <c r="H39" s="18"/>
    </row>
    <row r="40" spans="1:8" ht="36" customHeight="1" x14ac:dyDescent="0.25">
      <c r="A40" s="11">
        <v>3</v>
      </c>
      <c r="B40" s="18" t="s">
        <v>284</v>
      </c>
      <c r="C40" s="18" t="s">
        <v>319</v>
      </c>
      <c r="D40" s="18">
        <v>4</v>
      </c>
      <c r="E40" s="18">
        <v>3</v>
      </c>
      <c r="F40" s="18" t="s">
        <v>331</v>
      </c>
      <c r="G40" s="12">
        <f t="shared" si="1"/>
        <v>12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9" t="s">
        <v>175</v>
      </c>
      <c r="B59" s="79"/>
      <c r="C59" s="79"/>
      <c r="D59" s="79"/>
      <c r="E59" s="79"/>
      <c r="F59" s="79"/>
      <c r="G59" s="79"/>
      <c r="H59" s="79"/>
    </row>
    <row r="60" spans="1:8" ht="38.25" customHeight="1" x14ac:dyDescent="0.25">
      <c r="A60" s="11">
        <v>1</v>
      </c>
      <c r="B60" s="80" t="s">
        <v>176</v>
      </c>
      <c r="C60" s="80"/>
      <c r="D60" s="80"/>
      <c r="E60" s="80"/>
      <c r="F60" s="80"/>
      <c r="G60" s="80"/>
      <c r="H60" s="11" t="s">
        <v>306</v>
      </c>
    </row>
    <row r="61" spans="1:8" ht="38.25" customHeight="1" x14ac:dyDescent="0.25">
      <c r="A61" s="11">
        <v>2</v>
      </c>
      <c r="B61" s="80" t="s">
        <v>177</v>
      </c>
      <c r="C61" s="80"/>
      <c r="D61" s="80"/>
      <c r="E61" s="80"/>
      <c r="F61" s="80"/>
      <c r="G61" s="80"/>
      <c r="H61" s="11" t="s">
        <v>307</v>
      </c>
    </row>
    <row r="62" spans="1:8" ht="25.5" customHeight="1" x14ac:dyDescent="0.25">
      <c r="A62" s="11">
        <v>3</v>
      </c>
      <c r="B62" s="80" t="s">
        <v>178</v>
      </c>
      <c r="C62" s="80"/>
      <c r="D62" s="80"/>
      <c r="E62" s="80"/>
      <c r="F62" s="80"/>
      <c r="G62" s="80"/>
      <c r="H62" s="11" t="s">
        <v>285</v>
      </c>
    </row>
    <row r="63" spans="1:8" ht="25.5" customHeight="1" x14ac:dyDescent="0.25">
      <c r="A63" s="11">
        <v>4</v>
      </c>
      <c r="B63" s="72" t="s">
        <v>182</v>
      </c>
      <c r="C63" s="73"/>
      <c r="D63" s="73"/>
      <c r="E63" s="73"/>
      <c r="F63" s="73"/>
      <c r="G63" s="74"/>
      <c r="H63" s="11" t="s">
        <v>308</v>
      </c>
    </row>
    <row r="64" spans="1:8" ht="24.75" customHeight="1" x14ac:dyDescent="0.25">
      <c r="A64" s="11">
        <v>5</v>
      </c>
      <c r="B64" s="80" t="s">
        <v>183</v>
      </c>
      <c r="C64" s="80"/>
      <c r="D64" s="80"/>
      <c r="E64" s="80"/>
      <c r="F64" s="80"/>
      <c r="G64" s="80"/>
      <c r="H64" s="11" t="s">
        <v>286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184</v>
      </c>
      <c r="G66" s="29"/>
    </row>
    <row r="67" spans="1:8" ht="29.45" customHeight="1" x14ac:dyDescent="0.25">
      <c r="A67" s="79" t="s">
        <v>166</v>
      </c>
      <c r="B67" s="79" t="s">
        <v>167</v>
      </c>
      <c r="C67" s="79" t="s">
        <v>168</v>
      </c>
      <c r="D67" s="77" t="s">
        <v>169</v>
      </c>
      <c r="E67" s="79" t="s">
        <v>170</v>
      </c>
      <c r="F67" s="79" t="s">
        <v>171</v>
      </c>
      <c r="G67" s="79"/>
      <c r="H67" s="79" t="s">
        <v>172</v>
      </c>
    </row>
    <row r="68" spans="1:8" ht="63" x14ac:dyDescent="0.25">
      <c r="A68" s="79"/>
      <c r="B68" s="79"/>
      <c r="C68" s="79"/>
      <c r="D68" s="78"/>
      <c r="E68" s="79"/>
      <c r="F68" s="18" t="s">
        <v>173</v>
      </c>
      <c r="G68" s="18" t="s">
        <v>174</v>
      </c>
      <c r="H68" s="79"/>
    </row>
    <row r="69" spans="1:8" s="28" customFormat="1" ht="41.25" customHeight="1" x14ac:dyDescent="0.25">
      <c r="A69" s="11">
        <v>1</v>
      </c>
      <c r="B69" s="40" t="s">
        <v>288</v>
      </c>
      <c r="C69" s="11" t="s">
        <v>320</v>
      </c>
      <c r="D69" s="11">
        <v>5</v>
      </c>
      <c r="E69" s="11">
        <v>3</v>
      </c>
      <c r="F69" s="11"/>
      <c r="G69" s="12">
        <f t="shared" ref="G69:G71" si="2">D69*E69</f>
        <v>15</v>
      </c>
      <c r="H69" s="11"/>
    </row>
    <row r="70" spans="1:8" s="28" customFormat="1" ht="41.25" customHeight="1" x14ac:dyDescent="0.25">
      <c r="A70" s="11">
        <v>2</v>
      </c>
      <c r="B70" s="40" t="s">
        <v>289</v>
      </c>
      <c r="C70" s="11" t="s">
        <v>321</v>
      </c>
      <c r="D70" s="11">
        <v>7</v>
      </c>
      <c r="E70" s="11">
        <v>3</v>
      </c>
      <c r="F70" s="89" t="s">
        <v>337</v>
      </c>
      <c r="G70" s="12">
        <f t="shared" si="2"/>
        <v>21</v>
      </c>
      <c r="H70" s="11"/>
    </row>
    <row r="71" spans="1:8" s="28" customFormat="1" ht="41.25" customHeight="1" x14ac:dyDescent="0.25">
      <c r="A71" s="11">
        <v>3</v>
      </c>
      <c r="B71" s="40" t="s">
        <v>290</v>
      </c>
      <c r="C71" s="11"/>
      <c r="D71" s="11">
        <v>5</v>
      </c>
      <c r="E71" s="11">
        <v>3</v>
      </c>
      <c r="F71" s="11" t="s">
        <v>330</v>
      </c>
      <c r="G71" s="12">
        <f t="shared" si="2"/>
        <v>15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1" t="s">
        <v>185</v>
      </c>
      <c r="G93" s="81"/>
      <c r="H93" s="81"/>
    </row>
    <row r="94" spans="1:8" ht="24" customHeight="1" x14ac:dyDescent="0.25">
      <c r="A94" s="77" t="s">
        <v>166</v>
      </c>
      <c r="B94" s="77" t="s">
        <v>167</v>
      </c>
      <c r="C94" s="77" t="s">
        <v>168</v>
      </c>
      <c r="D94" s="77" t="s">
        <v>169</v>
      </c>
      <c r="E94" s="77" t="s">
        <v>170</v>
      </c>
      <c r="F94" s="82" t="s">
        <v>171</v>
      </c>
      <c r="G94" s="83"/>
      <c r="H94" s="77" t="s">
        <v>172</v>
      </c>
    </row>
    <row r="95" spans="1:8" ht="69.599999999999994" customHeight="1" x14ac:dyDescent="0.25">
      <c r="A95" s="78"/>
      <c r="B95" s="78"/>
      <c r="C95" s="78"/>
      <c r="D95" s="78"/>
      <c r="E95" s="78"/>
      <c r="F95" s="18" t="s">
        <v>173</v>
      </c>
      <c r="G95" s="18" t="s">
        <v>174</v>
      </c>
      <c r="H95" s="78"/>
    </row>
    <row r="96" spans="1:8" s="28" customFormat="1" ht="39" customHeight="1" x14ac:dyDescent="0.25">
      <c r="A96" s="41">
        <v>1</v>
      </c>
      <c r="B96" s="40" t="s">
        <v>287</v>
      </c>
      <c r="C96" s="11" t="s">
        <v>322</v>
      </c>
      <c r="D96" s="41">
        <v>9</v>
      </c>
      <c r="E96" s="42">
        <v>6</v>
      </c>
      <c r="F96" s="23" t="s">
        <v>338</v>
      </c>
      <c r="G96" s="12">
        <f t="shared" ref="G96:G97" si="3">D96*E96</f>
        <v>54</v>
      </c>
      <c r="H96" s="23"/>
    </row>
    <row r="97" spans="1:8" s="28" customFormat="1" ht="39" customHeight="1" x14ac:dyDescent="0.25">
      <c r="A97" s="41">
        <v>2</v>
      </c>
      <c r="B97" s="40" t="s">
        <v>280</v>
      </c>
      <c r="C97" s="11" t="s">
        <v>323</v>
      </c>
      <c r="D97" s="41">
        <v>5</v>
      </c>
      <c r="E97" s="42">
        <v>4</v>
      </c>
      <c r="F97" s="23"/>
      <c r="G97" s="12">
        <f t="shared" si="3"/>
        <v>20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1" zoomScale="85" zoomScaleNormal="85" zoomScaleSheetLayoutView="85" workbookViewId="0">
      <selection activeCell="E14" sqref="E14"/>
    </sheetView>
  </sheetViews>
  <sheetFormatPr defaultRowHeight="15.75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24" customHeight="1" x14ac:dyDescent="0.25">
      <c r="A1" s="75" t="s">
        <v>186</v>
      </c>
      <c r="B1" s="75"/>
      <c r="C1" s="75"/>
      <c r="D1" s="75"/>
      <c r="E1" s="75"/>
      <c r="F1" s="75"/>
      <c r="G1" s="75"/>
    </row>
    <row r="2" spans="1:7" ht="24" customHeight="1" x14ac:dyDescent="0.25">
      <c r="E2" s="76" t="s">
        <v>165</v>
      </c>
      <c r="F2" s="76"/>
      <c r="G2" s="76"/>
    </row>
    <row r="3" spans="1:7" ht="29.45" customHeight="1" x14ac:dyDescent="0.25">
      <c r="A3" s="79" t="s">
        <v>166</v>
      </c>
      <c r="B3" s="79" t="s">
        <v>167</v>
      </c>
      <c r="C3" s="59" t="s">
        <v>168</v>
      </c>
      <c r="D3" s="79" t="s">
        <v>187</v>
      </c>
      <c r="E3" s="79" t="s">
        <v>171</v>
      </c>
      <c r="F3" s="79"/>
      <c r="G3" s="79" t="s">
        <v>188</v>
      </c>
    </row>
    <row r="4" spans="1:7" ht="38.450000000000003" customHeight="1" x14ac:dyDescent="0.25">
      <c r="A4" s="79"/>
      <c r="B4" s="79"/>
      <c r="C4" s="59"/>
      <c r="D4" s="79"/>
      <c r="E4" s="18" t="s">
        <v>189</v>
      </c>
      <c r="F4" s="18" t="s">
        <v>190</v>
      </c>
      <c r="G4" s="79"/>
    </row>
    <row r="5" spans="1:7" ht="28.15" customHeight="1" x14ac:dyDescent="0.25">
      <c r="A5" s="79"/>
      <c r="B5" s="79"/>
      <c r="C5" s="59"/>
      <c r="D5" s="79"/>
      <c r="E5" s="18" t="s">
        <v>191</v>
      </c>
      <c r="F5" s="18" t="s">
        <v>224</v>
      </c>
      <c r="G5" s="79"/>
    </row>
    <row r="6" spans="1:7" ht="31.5" customHeight="1" x14ac:dyDescent="0.25">
      <c r="A6" s="11">
        <v>1</v>
      </c>
      <c r="B6" s="18" t="s">
        <v>288</v>
      </c>
      <c r="C6" s="45" t="s">
        <v>320</v>
      </c>
      <c r="D6" s="18">
        <v>25</v>
      </c>
      <c r="E6" s="18"/>
      <c r="F6" s="18">
        <f>0.05*(D6)*(D6)</f>
        <v>31.25</v>
      </c>
      <c r="G6" s="18"/>
    </row>
    <row r="7" spans="1:7" ht="31.5" customHeight="1" x14ac:dyDescent="0.25">
      <c r="A7" s="11">
        <v>2</v>
      </c>
      <c r="B7" s="18" t="s">
        <v>288</v>
      </c>
      <c r="C7" s="45" t="s">
        <v>320</v>
      </c>
      <c r="D7" s="18">
        <v>20</v>
      </c>
      <c r="E7" s="18" t="s">
        <v>331</v>
      </c>
      <c r="F7" s="18">
        <f t="shared" ref="F7:F13" si="0">0.05*(D7)*(D7)</f>
        <v>20</v>
      </c>
      <c r="G7" s="18"/>
    </row>
    <row r="8" spans="1:7" ht="31.5" customHeight="1" x14ac:dyDescent="0.25">
      <c r="A8" s="11">
        <v>3</v>
      </c>
      <c r="B8" s="18" t="s">
        <v>288</v>
      </c>
      <c r="C8" s="45" t="s">
        <v>320</v>
      </c>
      <c r="D8" s="18">
        <v>15</v>
      </c>
      <c r="E8" s="18"/>
      <c r="F8" s="18">
        <f t="shared" si="0"/>
        <v>11.25</v>
      </c>
      <c r="G8" s="18"/>
    </row>
    <row r="9" spans="1:7" ht="31.5" customHeight="1" x14ac:dyDescent="0.25">
      <c r="A9" s="11">
        <v>4</v>
      </c>
      <c r="B9" s="18" t="s">
        <v>288</v>
      </c>
      <c r="C9" s="45" t="s">
        <v>320</v>
      </c>
      <c r="D9" s="18">
        <v>25</v>
      </c>
      <c r="E9" s="18"/>
      <c r="F9" s="18">
        <f t="shared" si="0"/>
        <v>31.25</v>
      </c>
      <c r="G9" s="18"/>
    </row>
    <row r="10" spans="1:7" ht="31.5" customHeight="1" x14ac:dyDescent="0.25">
      <c r="A10" s="11">
        <v>5</v>
      </c>
      <c r="B10" s="18" t="s">
        <v>288</v>
      </c>
      <c r="C10" s="45" t="s">
        <v>320</v>
      </c>
      <c r="D10" s="18">
        <v>16</v>
      </c>
      <c r="E10" s="18"/>
      <c r="F10" s="18">
        <f t="shared" si="0"/>
        <v>12.8</v>
      </c>
      <c r="G10" s="18"/>
    </row>
    <row r="11" spans="1:7" ht="31.5" customHeight="1" x14ac:dyDescent="0.25">
      <c r="A11" s="11">
        <v>6</v>
      </c>
      <c r="B11" s="18" t="s">
        <v>291</v>
      </c>
      <c r="C11" s="45" t="s">
        <v>328</v>
      </c>
      <c r="D11" s="18">
        <v>22</v>
      </c>
      <c r="E11" s="18" t="s">
        <v>334</v>
      </c>
      <c r="F11" s="18">
        <f t="shared" si="0"/>
        <v>24.200000000000003</v>
      </c>
      <c r="G11" s="18"/>
    </row>
    <row r="12" spans="1:7" ht="31.5" customHeight="1" x14ac:dyDescent="0.25">
      <c r="A12" s="11">
        <v>7</v>
      </c>
      <c r="B12" s="18" t="s">
        <v>292</v>
      </c>
      <c r="C12" s="45" t="s">
        <v>313</v>
      </c>
      <c r="D12" s="18">
        <v>24</v>
      </c>
      <c r="E12" s="89" t="s">
        <v>335</v>
      </c>
      <c r="F12" s="18">
        <f t="shared" si="0"/>
        <v>28.800000000000004</v>
      </c>
      <c r="G12" s="18"/>
    </row>
    <row r="13" spans="1:7" ht="31.5" customHeight="1" x14ac:dyDescent="0.25">
      <c r="A13" s="11">
        <v>8</v>
      </c>
      <c r="B13" s="18" t="s">
        <v>293</v>
      </c>
      <c r="C13" s="45" t="s">
        <v>329</v>
      </c>
      <c r="D13" s="18">
        <v>12</v>
      </c>
      <c r="E13" s="18" t="s">
        <v>330</v>
      </c>
      <c r="F13" s="18">
        <f t="shared" si="0"/>
        <v>7.2000000000000011</v>
      </c>
      <c r="G13" s="18"/>
    </row>
    <row r="14" spans="1:7" ht="31.5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31.5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31.5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31.5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31.5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31.5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31.5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31.5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31.5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31.5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31.5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31.5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31.5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31.5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31.5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31.5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31.5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31.5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31.5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24.75" customHeight="1" x14ac:dyDescent="0.25">
      <c r="A33" s="79" t="s">
        <v>175</v>
      </c>
      <c r="B33" s="79"/>
      <c r="C33" s="79"/>
      <c r="D33" s="79"/>
      <c r="E33" s="79"/>
      <c r="F33" s="79"/>
      <c r="G33" s="79"/>
    </row>
    <row r="34" spans="1:7" ht="21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24" customHeight="1" x14ac:dyDescent="0.25">
      <c r="B35" s="46" t="s">
        <v>193</v>
      </c>
      <c r="C35" s="47"/>
      <c r="E35" s="75" t="s">
        <v>194</v>
      </c>
      <c r="F35" s="75"/>
      <c r="G35" s="75"/>
    </row>
    <row r="36" spans="1:7" ht="25.9" customHeight="1" x14ac:dyDescent="0.25">
      <c r="A36" s="79" t="s">
        <v>166</v>
      </c>
      <c r="B36" s="79" t="s">
        <v>167</v>
      </c>
      <c r="C36" s="84" t="s">
        <v>168</v>
      </c>
      <c r="D36" s="79" t="s">
        <v>187</v>
      </c>
      <c r="E36" s="79" t="s">
        <v>171</v>
      </c>
      <c r="F36" s="79"/>
      <c r="G36" s="79" t="s">
        <v>188</v>
      </c>
    </row>
    <row r="37" spans="1:7" ht="37.15" customHeight="1" x14ac:dyDescent="0.25">
      <c r="A37" s="79"/>
      <c r="B37" s="79"/>
      <c r="C37" s="85"/>
      <c r="D37" s="79"/>
      <c r="E37" s="18" t="s">
        <v>189</v>
      </c>
      <c r="F37" s="18" t="s">
        <v>190</v>
      </c>
      <c r="G37" s="79"/>
    </row>
    <row r="38" spans="1:7" ht="32.450000000000003" customHeight="1" x14ac:dyDescent="0.25">
      <c r="A38" s="79"/>
      <c r="B38" s="79"/>
      <c r="C38" s="86"/>
      <c r="D38" s="79"/>
      <c r="E38" s="18" t="s">
        <v>191</v>
      </c>
      <c r="F38" s="18" t="s">
        <v>192</v>
      </c>
      <c r="G38" s="79"/>
    </row>
    <row r="39" spans="1:7" s="28" customFormat="1" ht="42" customHeight="1" x14ac:dyDescent="0.25">
      <c r="A39" s="41">
        <v>1</v>
      </c>
      <c r="B39" s="23" t="s">
        <v>294</v>
      </c>
      <c r="C39" s="48"/>
      <c r="D39" s="41">
        <v>20</v>
      </c>
      <c r="E39" s="23"/>
      <c r="F39" s="18">
        <f t="shared" ref="F39:F43" si="1">0.05*(D39)*(D39)</f>
        <v>20</v>
      </c>
      <c r="G39" s="23"/>
    </row>
    <row r="40" spans="1:7" s="28" customFormat="1" ht="42" customHeight="1" x14ac:dyDescent="0.25">
      <c r="A40" s="41">
        <v>2</v>
      </c>
      <c r="B40" s="23" t="s">
        <v>295</v>
      </c>
      <c r="C40" s="48" t="s">
        <v>324</v>
      </c>
      <c r="D40" s="41">
        <v>40</v>
      </c>
      <c r="E40" s="89" t="s">
        <v>333</v>
      </c>
      <c r="F40" s="18">
        <f t="shared" si="1"/>
        <v>80</v>
      </c>
      <c r="G40" s="23"/>
    </row>
    <row r="41" spans="1:7" s="28" customFormat="1" ht="42" customHeight="1" x14ac:dyDescent="0.25">
      <c r="A41" s="41">
        <v>3</v>
      </c>
      <c r="B41" s="23" t="s">
        <v>296</v>
      </c>
      <c r="C41" s="48" t="s">
        <v>325</v>
      </c>
      <c r="D41" s="41">
        <v>40</v>
      </c>
      <c r="E41" s="23" t="s">
        <v>330</v>
      </c>
      <c r="F41" s="18">
        <f t="shared" si="1"/>
        <v>80</v>
      </c>
      <c r="G41" s="23"/>
    </row>
    <row r="42" spans="1:7" s="28" customFormat="1" ht="42" customHeight="1" x14ac:dyDescent="0.25">
      <c r="A42" s="41">
        <v>4</v>
      </c>
      <c r="B42" s="23" t="s">
        <v>296</v>
      </c>
      <c r="C42" s="48" t="s">
        <v>325</v>
      </c>
      <c r="D42" s="41">
        <v>35</v>
      </c>
      <c r="E42" s="23" t="s">
        <v>331</v>
      </c>
      <c r="F42" s="18">
        <f t="shared" si="1"/>
        <v>61.25</v>
      </c>
      <c r="G42" s="23"/>
    </row>
    <row r="43" spans="1:7" s="28" customFormat="1" ht="42" customHeight="1" x14ac:dyDescent="0.25">
      <c r="A43" s="41">
        <v>5</v>
      </c>
      <c r="B43" s="23" t="s">
        <v>327</v>
      </c>
      <c r="C43" s="48" t="s">
        <v>326</v>
      </c>
      <c r="D43" s="41">
        <v>40</v>
      </c>
      <c r="E43" s="23" t="s">
        <v>332</v>
      </c>
      <c r="F43" s="18">
        <f t="shared" si="1"/>
        <v>80</v>
      </c>
      <c r="G43" s="23"/>
    </row>
    <row r="44" spans="1:7" s="28" customFormat="1" ht="42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2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2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2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2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2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2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2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2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2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2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2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2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2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2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2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2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24.75" customHeight="1" x14ac:dyDescent="0.25">
      <c r="A62" s="79" t="s">
        <v>175</v>
      </c>
      <c r="B62" s="79"/>
      <c r="C62" s="79"/>
      <c r="D62" s="79"/>
      <c r="E62" s="79"/>
      <c r="F62" s="79"/>
      <c r="G62" s="79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5" zoomScaleSheetLayoutView="100" workbookViewId="0">
      <selection activeCell="I5" sqref="I5:K6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195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196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197</v>
      </c>
      <c r="C5" s="4" t="s">
        <v>198</v>
      </c>
      <c r="D5" s="4" t="s">
        <v>199</v>
      </c>
      <c r="E5" s="2" t="s">
        <v>200</v>
      </c>
      <c r="F5" s="2" t="s">
        <v>201</v>
      </c>
      <c r="G5" s="4" t="s">
        <v>202</v>
      </c>
      <c r="I5" s="88" t="s">
        <v>203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204</v>
      </c>
      <c r="F6" s="2" t="s">
        <v>205</v>
      </c>
      <c r="G6" s="2" t="s">
        <v>206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207</v>
      </c>
      <c r="J7" s="88"/>
      <c r="K7" s="88"/>
    </row>
    <row r="9" spans="1:11" ht="36.75" customHeight="1" x14ac:dyDescent="0.25">
      <c r="A9" s="55" t="s">
        <v>208</v>
      </c>
      <c r="B9" s="54" t="s">
        <v>209</v>
      </c>
      <c r="C9" s="54"/>
      <c r="D9" s="54"/>
      <c r="E9" s="54"/>
      <c r="F9" s="54" t="s">
        <v>210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212</v>
      </c>
      <c r="D10" s="4" t="s">
        <v>235</v>
      </c>
      <c r="E10" s="4" t="s">
        <v>213</v>
      </c>
      <c r="F10" s="4" t="s">
        <v>211</v>
      </c>
      <c r="G10" s="4" t="s">
        <v>214</v>
      </c>
      <c r="H10" s="4" t="s">
        <v>225</v>
      </c>
    </row>
    <row r="11" spans="1:11" ht="24.75" customHeight="1" x14ac:dyDescent="0.25">
      <c r="A11" s="24" t="s">
        <v>64</v>
      </c>
      <c r="B11" s="24" t="s">
        <v>215</v>
      </c>
      <c r="C11" s="24" t="s">
        <v>142</v>
      </c>
      <c r="D11" s="24" t="s">
        <v>91</v>
      </c>
      <c r="E11" s="24" t="s">
        <v>216</v>
      </c>
      <c r="F11" s="24" t="s">
        <v>217</v>
      </c>
      <c r="G11" s="24" t="s">
        <v>218</v>
      </c>
      <c r="H11" s="24" t="s">
        <v>219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229</v>
      </c>
      <c r="B1" s="54"/>
      <c r="C1" s="54"/>
      <c r="D1" s="54"/>
      <c r="E1" s="54"/>
    </row>
    <row r="2" spans="1:8" ht="25.5" customHeight="1" x14ac:dyDescent="0.25">
      <c r="A2" s="2" t="s">
        <v>230</v>
      </c>
      <c r="B2" s="2" t="s">
        <v>236</v>
      </c>
      <c r="C2" s="2" t="s">
        <v>237</v>
      </c>
      <c r="D2" s="2" t="s">
        <v>238</v>
      </c>
      <c r="E2" s="2" t="s">
        <v>231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232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239</v>
      </c>
      <c r="B19" s="54"/>
      <c r="C19" s="54"/>
      <c r="D19" s="54"/>
      <c r="E19" s="54"/>
    </row>
    <row r="20" spans="1:5" ht="36" customHeight="1" x14ac:dyDescent="0.25">
      <c r="A20" s="2" t="s">
        <v>230</v>
      </c>
      <c r="B20" s="2" t="s">
        <v>120</v>
      </c>
      <c r="C20" s="2" t="s">
        <v>240</v>
      </c>
      <c r="D20" s="4" t="s">
        <v>241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2024-06-16T13:33:56Z</dcterms:modified>
</cp:coreProperties>
</file>