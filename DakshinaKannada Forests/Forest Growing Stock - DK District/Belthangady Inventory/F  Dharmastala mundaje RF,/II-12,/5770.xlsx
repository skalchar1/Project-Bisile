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30610F18-9DB3-4922-893D-8BB8C8A95405}" xr6:coauthVersionLast="47" xr6:coauthVersionMax="47" xr10:uidLastSave="{00000000-0000-0000-0000-000000000000}"/>
  <bookViews>
    <workbookView xWindow="3075" yWindow="307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2" i="8"/>
  <c r="G71" i="8"/>
  <c r="G70" i="8"/>
  <c r="G69" i="8"/>
  <c r="G40" i="8"/>
  <c r="G39" i="8"/>
  <c r="G38" i="8"/>
  <c r="G12" i="8"/>
  <c r="G11" i="8"/>
  <c r="G10" i="8"/>
  <c r="G9" i="8"/>
  <c r="G8" i="8"/>
  <c r="G7" i="8"/>
  <c r="G6" i="8"/>
  <c r="G5" i="8"/>
  <c r="F45" i="9"/>
  <c r="F44" i="9"/>
  <c r="F43" i="9"/>
  <c r="F42" i="9"/>
  <c r="F41" i="9"/>
  <c r="F40" i="9"/>
  <c r="F3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<sst xmlns="http://schemas.openxmlformats.org/spreadsheetml/2006/main" count="520" uniqueCount="329">
  <si>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</si>
  <si>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</si>
  <si>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</si>
  <si>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</si>
  <si>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</si>
  <si>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</si>
  <si>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</si>
  <si>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</si>
  <si>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</si>
  <si>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</si>
  <si>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</si>
  <si>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</si>
  <si>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</si>
  <si>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</si>
  <si>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</si>
  <si>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</si>
  <si>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</si>
  <si>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</si>
  <si>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</si>
  <si>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</si>
  <si>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</si>
  <si>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</si>
  <si>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</si>
  <si>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</si>
  <si>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</si>
  <si>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</si>
  <si>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</si>
  <si>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</si>
  <si>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</si>
  <si>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</si>
  <si>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</si>
  <si>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</si>
  <si>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</si>
  <si>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</si>
  <si>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</si>
  <si>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</si>
  <si>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</si>
  <si>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</si>
  <si>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</si>
  <si>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</si>
  <si>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</si>
  <si>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</si>
  <si>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</si>
  <si>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</si>
  <si>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</si>
  <si>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</si>
  <si>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</si>
  <si>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</si>
  <si>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</si>
  <si>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</si>
  <si>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</si>
  <si>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</si>
  <si>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</si>
  <si>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</si>
  <si>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</si>
  <si>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</si>
  <si>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</si>
  <si>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</si>
  <si>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</si>
  <si>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</si>
  <si>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</si>
  <si>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</si>
  <si>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</si>
  <si>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</si>
  <si>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</si>
  <si>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</si>
  <si>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</si>
  <si>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</si>
  <si>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</si>
  <si>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</si>
  <si>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</si>
  <si>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</si>
  <si>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</si>
  <si>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</si>
  <si>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</si>
  <si>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</si>
  <si>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</si>
  <si>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</si>
  <si>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</si>
  <si>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</si>
  <si>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</si>
  <si>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</si>
  <si>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</si>
  <si>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</si>
  <si>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</si>
  <si>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</si>
  <si>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</si>
  <si>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</si>
  <si>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</si>
  <si>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</si>
  <si>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</si>
  <si>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</si>
  <si>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</si>
  <si>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</si>
  <si>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</si>
  <si>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</si>
  <si>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</si>
  <si>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</si>
  <si>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</si>
  <si>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</si>
  <si>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</si>
  <si>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</si>
  <si>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</si>
  <si>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</si>
  <si>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</si>
  <si>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</si>
  <si>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</si>
  <si>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</si>
  <si>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</si>
  <si>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</si>
  <si>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</si>
  <si>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</si>
  <si>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</si>
  <si>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</si>
  <si>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</si>
  <si>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</si>
  <si>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</si>
  <si>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</si>
  <si>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</si>
  <si>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</si>
  <si>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</si>
  <si>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</si>
  <si>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</si>
  <si>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</si>
  <si>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</si>
  <si>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</si>
  <si>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</si>
  <si>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</si>
  <si>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</si>
  <si>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</si>
  <si>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</si>
  <si>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</si>
  <si>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</si>
  <si>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</si>
  <si>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</si>
  <si>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</si>
  <si>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</si>
  <si>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</si>
  <si>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</si>
  <si>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</si>
  <si>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</si>
  <si>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</si>
  <si>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</si>
  <si>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</si>
  <si>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</si>
  <si>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</si>
  <si>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</si>
  <si>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</si>
  <si>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</si>
  <si>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</si>
  <si>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</si>
  <si>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</si>
  <si>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</si>
  <si>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</si>
  <si>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</si>
  <si>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</si>
  <si>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</si>
  <si>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</si>
  <si>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</si>
  <si>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</si>
  <si>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</si>
  <si>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</si>
  <si>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</si>
  <si>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</si>
  <si>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</si>
  <si>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</si>
  <si>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</si>
  <si>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</si>
  <si>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</si>
  <si>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</si>
  <si>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</si>
  <si>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</si>
  <si>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</si>
  <si>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</si>
  <si>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</si>
  <si>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</si>
  <si>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</si>
  <si>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</si>
  <si>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</si>
  <si>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</si>
  <si>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</si>
  <si>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</si>
  <si>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</si>
  <si>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</si>
  <si>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</si>
  <si>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</si>
  <si>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</si>
  <si>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</si>
  <si>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</si>
  <si>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</si>
  <si>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</si>
  <si>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</si>
  <si>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</si>
  <si>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</si>
  <si>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</si>
  <si>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</si>
  <si>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</si>
  <si>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</si>
  <si>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</si>
  <si>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</si>
  <si>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</si>
  <si>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</si>
  <si>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</si>
  <si>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</si>
  <si>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</si>
  <si>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</si>
  <si>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</si>
  <si>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</si>
  <si>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</si>
  <si>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</si>
  <si>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</si>
  <si>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</si>
  <si>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</si>
  <si>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</si>
  <si>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</si>
  <si>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</si>
  <si>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</si>
  <si>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</si>
  <si>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</si>
  <si>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</si>
  <si>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</si>
  <si>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</si>
  <si>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</si>
  <si>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</si>
  <si>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</si>
  <si>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</si>
  <si>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</si>
  <si>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</si>
  <si>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</si>
  <si>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</si>
  <si>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</si>
  <si>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</si>
  <si>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</si>
  <si>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</si>
  <si>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</si>
  <si>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</si>
  <si>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</si>
  <si>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</si>
  <si>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</si>
  <si>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</si>
  <si>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</si>
  <si>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</si>
  <si>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</si>
  <si>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8km from Dharmsthala to Nidle main road and take left diversion and walk for 300m</t>
  </si>
  <si>
    <t xml:space="preserve">Xylia xylocarpa Aporosa lindleyana Dillenia pentagyna </t>
  </si>
  <si>
    <t>Tract - Gentle slope</t>
  </si>
  <si>
    <t>Aspect - SW</t>
  </si>
  <si>
    <t xml:space="preserve">Herbs - Psychotria flavida Xylia xylocarpa </t>
  </si>
  <si>
    <t>Shrubs - Psychotria flavida Aporosa lindleyana Lopophotalum spp</t>
  </si>
  <si>
    <t xml:space="preserve">Underwood species – Aporosa lindleyana Xanthoxylum retusus Mallotus philippensis </t>
  </si>
  <si>
    <t xml:space="preserve">Climbers -  Enteda scandens Piper nigrum Pothos scandens </t>
  </si>
  <si>
    <t xml:space="preserve">Rattans – Calamus rotung </t>
  </si>
  <si>
    <t>347ft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</si>
  <si>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</si>
  <si>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</si>
  <si>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</t>
    </r>
    <r>
      <rPr>
        <b/>
        <sz val="12"/>
        <rFont val="Times New Roman"/>
        <family val="1"/>
      </rPr>
      <t>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</si>
  <si>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</si>
  <si>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</si>
  <si>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 Smooth fine</t>
  </si>
  <si>
    <t>Depth- Moderate</t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</si>
  <si>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</si>
  <si>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</si>
  <si>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</si>
  <si>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</si>
  <si>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</si>
  <si>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</si>
  <si>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</si>
  <si>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</si>
  <si>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</si>
  <si>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</si>
  <si>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Xylia xylocarpa </t>
  </si>
  <si>
    <t>Enteda scandens</t>
  </si>
  <si>
    <t xml:space="preserve">Aporosa lindleyana </t>
  </si>
  <si>
    <t>Unknown</t>
  </si>
  <si>
    <t xml:space="preserve">Pterocarpus marsupium </t>
  </si>
  <si>
    <t>unknown</t>
  </si>
  <si>
    <t xml:space="preserve">Syzygium cumini </t>
  </si>
  <si>
    <t xml:space="preserve">Tabernamontana heyneana </t>
  </si>
  <si>
    <t xml:space="preserve">Hopea ponga </t>
  </si>
  <si>
    <t xml:space="preserve">Macaranga peltata </t>
  </si>
  <si>
    <t xml:space="preserve">Terminalia tomentosa </t>
  </si>
  <si>
    <t xml:space="preserve">Lagestroemia lanceolata </t>
  </si>
  <si>
    <t>Calamus rotung</t>
  </si>
  <si>
    <t>Psychotria flavida</t>
  </si>
  <si>
    <t>2.5kg</t>
  </si>
  <si>
    <t>3kg</t>
  </si>
  <si>
    <t>Olea dioca</t>
  </si>
  <si>
    <t>1.2kg</t>
  </si>
  <si>
    <t>Xylia xylocarpa</t>
  </si>
  <si>
    <t>Tabernamontana heyneana</t>
  </si>
  <si>
    <t>Aporosa lindleyana</t>
  </si>
  <si>
    <t>Holigarna arnattiana</t>
  </si>
  <si>
    <t>Lopopetalum whitianum</t>
  </si>
  <si>
    <t>Belthangady</t>
  </si>
  <si>
    <t>Dharmastala mundaje RF</t>
  </si>
  <si>
    <t>II-12</t>
  </si>
  <si>
    <t>Grasses -NIL</t>
  </si>
  <si>
    <t>Weeds -NIL</t>
  </si>
  <si>
    <t>Bamboos -NIL</t>
  </si>
  <si>
    <t>Soil -Blck forest soil</t>
  </si>
  <si>
    <t>Canopy Dencity -0.53</t>
  </si>
  <si>
    <t>NTFP yieding sps –NIL</t>
  </si>
  <si>
    <t xml:space="preserve"> Highway nearby</t>
  </si>
  <si>
    <t>NIL</t>
  </si>
  <si>
    <t>3.5m</t>
  </si>
  <si>
    <t xml:space="preserve">Xylia xylocarpa ,Aporosa lindleyana , Terminalia tomentosa , Lagestroemia lanceolata </t>
  </si>
  <si>
    <t>230g</t>
  </si>
  <si>
    <t>600g</t>
  </si>
  <si>
    <t>320g</t>
  </si>
  <si>
    <t>400g</t>
  </si>
  <si>
    <t>500g</t>
  </si>
  <si>
    <t>800g</t>
  </si>
  <si>
    <t>Mangalore</t>
  </si>
  <si>
    <t>Onti Betta</t>
  </si>
  <si>
    <t>Kaadu coffee</t>
  </si>
  <si>
    <t>Akkerakalu</t>
  </si>
  <si>
    <t>Jambe</t>
  </si>
  <si>
    <t>Maddarasa</t>
  </si>
  <si>
    <t>Salle</t>
  </si>
  <si>
    <t xml:space="preserve">Holigere </t>
  </si>
  <si>
    <t>Arishina Gurige</t>
  </si>
  <si>
    <t>leaves, seeds</t>
  </si>
  <si>
    <t>fruits</t>
  </si>
  <si>
    <t>leaves</t>
  </si>
  <si>
    <t>plant stem</t>
  </si>
  <si>
    <t>leaevs</t>
  </si>
  <si>
    <t>seeds</t>
  </si>
  <si>
    <t xml:space="preserve">Bark , seeds </t>
  </si>
  <si>
    <t>Seeds and oil-rich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</si>
</sst>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293</v>
      </c>
    </row>
    <row r="6" spans="1:3" ht="39" customHeight="1" x14ac:dyDescent="0.25">
      <c r="A6" s="4">
        <v>2</v>
      </c>
      <c r="B6" s="51" t="s">
        <v>7</v>
      </c>
      <c r="C6" s="8" t="s">
        <v>294</v>
      </c>
    </row>
    <row r="7" spans="1:3" ht="39" customHeight="1" x14ac:dyDescent="0.25">
      <c r="A7" s="4">
        <v>3</v>
      </c>
      <c r="B7" s="51" t="s">
        <v>8</v>
      </c>
      <c r="C7" s="8" t="s">
        <v>295</v>
      </c>
    </row>
    <row r="8" spans="1:3" ht="39" customHeight="1" x14ac:dyDescent="0.25">
      <c r="A8" s="4">
        <v>4</v>
      </c>
      <c r="B8" s="51" t="s">
        <v>9</v>
      </c>
      <c r="C8" s="8">
        <v>5770</v>
      </c>
    </row>
    <row r="9" spans="1:3" ht="39" customHeight="1" x14ac:dyDescent="0.25">
      <c r="A9" s="4">
        <v>5</v>
      </c>
      <c r="B9" s="51" t="s">
        <v>10</v>
      </c>
      <c r="C9" s="9">
        <v>12.938158</v>
      </c>
    </row>
    <row r="10" spans="1:3" ht="39" customHeight="1" x14ac:dyDescent="0.25">
      <c r="A10" s="4">
        <v>6</v>
      </c>
      <c r="B10" s="51" t="s">
        <v>11</v>
      </c>
      <c r="C10" s="9">
        <v>75.402832000000004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300</v>
      </c>
    </row>
    <row r="16" spans="1:3" ht="32.25" customHeight="1" x14ac:dyDescent="0.25">
      <c r="A16" s="54"/>
      <c r="B16" s="55"/>
      <c r="C16" s="6" t="s">
        <v>299</v>
      </c>
    </row>
    <row r="17" spans="1:3" ht="32.25" customHeight="1" x14ac:dyDescent="0.25">
      <c r="A17" s="54"/>
      <c r="B17" s="55"/>
      <c r="C17" s="6" t="s">
        <v>296</v>
      </c>
    </row>
    <row r="18" spans="1:3" ht="32.25" customHeight="1" x14ac:dyDescent="0.25">
      <c r="A18" s="54"/>
      <c r="B18" s="55"/>
      <c r="C18" s="6" t="s">
        <v>297</v>
      </c>
    </row>
    <row r="19" spans="1:3" ht="32.25" customHeight="1" x14ac:dyDescent="0.25">
      <c r="A19" s="54"/>
      <c r="B19" s="55"/>
      <c r="C19" s="6" t="s">
        <v>298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251</v>
      </c>
    </row>
    <row r="25" spans="1:3" ht="63" customHeight="1" x14ac:dyDescent="0.25">
      <c r="A25" s="54"/>
      <c r="B25" s="55"/>
      <c r="C25" s="6" t="s">
        <v>301</v>
      </c>
    </row>
    <row r="26" spans="1:3" ht="49.5" customHeight="1" x14ac:dyDescent="0.25">
      <c r="A26" s="4">
        <v>10</v>
      </c>
      <c r="B26" s="51" t="s">
        <v>15</v>
      </c>
      <c r="C26" s="6" t="s">
        <v>302</v>
      </c>
    </row>
    <row r="27" spans="1:3" ht="53.25" customHeight="1" x14ac:dyDescent="0.25">
      <c r="A27" s="4">
        <v>11</v>
      </c>
      <c r="B27" s="51" t="s">
        <v>16</v>
      </c>
      <c r="C27" s="6" t="s">
        <v>303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304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5770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12.938158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75.402832000000004</v>
      </c>
    </row>
    <row r="11" spans="1:3" ht="32.25" customHeight="1" x14ac:dyDescent="0.25">
      <c r="A11" s="11">
        <v>7</v>
      </c>
      <c r="B11" s="52" t="s">
        <v>22</v>
      </c>
      <c r="C11" s="20" t="s">
        <v>252</v>
      </c>
    </row>
    <row r="12" spans="1:3" ht="43.5" customHeight="1" x14ac:dyDescent="0.25">
      <c r="A12" s="11">
        <v>8</v>
      </c>
      <c r="B12" s="52" t="s">
        <v>23</v>
      </c>
      <c r="C12" s="20" t="s">
        <v>253</v>
      </c>
    </row>
    <row r="13" spans="1:3" ht="43.5" customHeight="1" x14ac:dyDescent="0.25">
      <c r="A13" s="11">
        <v>9</v>
      </c>
      <c r="B13" s="52" t="s">
        <v>24</v>
      </c>
      <c r="C13" s="20" t="s">
        <v>254</v>
      </c>
    </row>
    <row r="14" spans="1:3" ht="38.25" customHeight="1" x14ac:dyDescent="0.25">
      <c r="A14" s="11">
        <v>10</v>
      </c>
      <c r="B14" s="52" t="s">
        <v>25</v>
      </c>
      <c r="C14" s="20" t="s">
        <v>255</v>
      </c>
    </row>
    <row r="15" spans="1:3" ht="25.5" customHeight="1" x14ac:dyDescent="0.25">
      <c r="A15" s="11">
        <v>11</v>
      </c>
      <c r="B15" s="52" t="s">
        <v>26</v>
      </c>
      <c r="C15" s="22" t="s">
        <v>256</v>
      </c>
    </row>
    <row r="16" spans="1:3" ht="37.5" customHeight="1" x14ac:dyDescent="0.25">
      <c r="A16" s="11">
        <v>12</v>
      </c>
      <c r="B16" s="52" t="s">
        <v>27</v>
      </c>
      <c r="C16" s="22" t="s">
        <v>257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258</v>
      </c>
    </row>
    <row r="19" spans="1:3" ht="30.75" customHeight="1" x14ac:dyDescent="0.25">
      <c r="A19" s="57"/>
      <c r="B19" s="58"/>
      <c r="C19" s="22" t="s">
        <v>259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305</v>
      </c>
    </row>
    <row r="23" spans="1:3" ht="15.75" x14ac:dyDescent="0.25">
      <c r="A23" s="11">
        <v>17</v>
      </c>
      <c r="B23" s="52" t="s">
        <v>221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264</v>
      </c>
    </row>
    <row r="26" spans="1:3" ht="30" customHeight="1" x14ac:dyDescent="0.25">
      <c r="A26" s="11">
        <v>20</v>
      </c>
      <c r="B26" s="52" t="s">
        <v>35</v>
      </c>
      <c r="C26" s="23" t="s">
        <v>265</v>
      </c>
    </row>
    <row r="27" spans="1:3" ht="30" customHeight="1" x14ac:dyDescent="0.25">
      <c r="A27" s="11">
        <v>21</v>
      </c>
      <c r="B27" s="52" t="s">
        <v>36</v>
      </c>
      <c r="C27" s="22" t="s">
        <v>266</v>
      </c>
    </row>
    <row r="28" spans="1:3" ht="30" customHeight="1" x14ac:dyDescent="0.25">
      <c r="A28" s="11">
        <v>22</v>
      </c>
      <c r="B28" s="52" t="s">
        <v>37</v>
      </c>
      <c r="C28" s="22" t="s">
        <v>267</v>
      </c>
    </row>
    <row r="29" spans="1:3" ht="32.25" customHeight="1" x14ac:dyDescent="0.25">
      <c r="A29" s="11">
        <v>23</v>
      </c>
      <c r="B29" s="52" t="s">
        <v>38</v>
      </c>
      <c r="C29" s="22" t="s">
        <v>267</v>
      </c>
    </row>
    <row r="30" spans="1:3" ht="62.25" customHeight="1" x14ac:dyDescent="0.25">
      <c r="A30" s="11">
        <v>24</v>
      </c>
      <c r="B30" s="52" t="s">
        <v>39</v>
      </c>
      <c r="C30" s="22" t="s">
        <v>303</v>
      </c>
    </row>
    <row r="31" spans="1:3" ht="72.75" customHeight="1" x14ac:dyDescent="0.25">
      <c r="A31" s="11">
        <v>25</v>
      </c>
      <c r="B31" s="52" t="s">
        <v>40</v>
      </c>
      <c r="C31" s="22" t="s">
        <v>303</v>
      </c>
    </row>
    <row r="32" spans="1:3" ht="60" customHeight="1" x14ac:dyDescent="0.25">
      <c r="A32" s="11">
        <v>26</v>
      </c>
      <c r="B32" s="52" t="s">
        <v>41</v>
      </c>
      <c r="C32" s="22" t="s">
        <v>303</v>
      </c>
    </row>
    <row r="33" spans="1:3" ht="60" customHeight="1" x14ac:dyDescent="0.25">
      <c r="A33" s="11">
        <v>27</v>
      </c>
      <c r="B33" s="52" t="s">
        <v>42</v>
      </c>
      <c r="C33" s="20" t="s">
        <v>268</v>
      </c>
    </row>
    <row r="34" spans="1:3" ht="57.75" customHeight="1" x14ac:dyDescent="0.25">
      <c r="A34" s="11">
        <v>28</v>
      </c>
      <c r="B34" s="52" t="s">
        <v>43</v>
      </c>
      <c r="C34" s="22" t="s">
        <v>303</v>
      </c>
    </row>
    <row r="35" spans="1:3" ht="59.25" customHeight="1" x14ac:dyDescent="0.25">
      <c r="A35" s="11">
        <v>29</v>
      </c>
      <c r="B35" s="52" t="s">
        <v>44</v>
      </c>
      <c r="C35" s="22" t="s">
        <v>303</v>
      </c>
    </row>
    <row r="36" spans="1:3" ht="66" customHeight="1" x14ac:dyDescent="0.25">
      <c r="A36" s="11">
        <v>30</v>
      </c>
      <c r="B36" s="52" t="s">
        <v>225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3"/>
  <sheetViews>
    <sheetView view="pageBreakPreview" topLeftCell="A41" zoomScale="60" zoomScaleNormal="70" workbookViewId="0">
      <selection activeCell="P32" sqref="P3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270</v>
      </c>
      <c r="C12" s="24"/>
      <c r="D12" s="24">
        <v>111</v>
      </c>
      <c r="E12" s="24"/>
      <c r="F12" s="24"/>
      <c r="G12" s="24"/>
      <c r="H12" s="24"/>
      <c r="I12" s="24">
        <v>8</v>
      </c>
      <c r="J12" s="24">
        <v>16</v>
      </c>
      <c r="K12" s="24">
        <f>L12+M12+R12</f>
        <v>16</v>
      </c>
      <c r="L12" s="24">
        <v>8</v>
      </c>
      <c r="M12" s="24">
        <v>5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25">
      <c r="A13" s="24">
        <v>2</v>
      </c>
      <c r="B13" s="24" t="s">
        <v>271</v>
      </c>
      <c r="C13" s="24"/>
      <c r="D13" s="24">
        <v>44</v>
      </c>
      <c r="E13" s="24"/>
      <c r="F13" s="24"/>
      <c r="G13" s="24"/>
      <c r="H13" s="24"/>
      <c r="I13" s="24">
        <v>0</v>
      </c>
      <c r="J13" s="24">
        <v>0</v>
      </c>
      <c r="K13" s="24">
        <f t="shared" ref="K13:K60" si="0">L13+M13+R13</f>
        <v>0</v>
      </c>
      <c r="L13" s="24">
        <v>0</v>
      </c>
      <c r="M13" s="19">
        <v>0</v>
      </c>
      <c r="N13" s="24"/>
      <c r="O13" s="24"/>
      <c r="P13" s="24"/>
      <c r="Q13" s="24"/>
      <c r="R13" s="24">
        <v>0</v>
      </c>
      <c r="S13" s="24"/>
      <c r="T13" s="24"/>
    </row>
    <row r="14" spans="1:20" ht="40.5" customHeight="1" x14ac:dyDescent="0.25">
      <c r="A14" s="24">
        <v>3</v>
      </c>
      <c r="B14" s="24" t="s">
        <v>272</v>
      </c>
      <c r="C14" s="24"/>
      <c r="D14" s="24">
        <v>66</v>
      </c>
      <c r="E14" s="24"/>
      <c r="F14" s="24"/>
      <c r="G14" s="24"/>
      <c r="H14" s="24"/>
      <c r="I14" s="24">
        <v>8</v>
      </c>
      <c r="J14" s="24">
        <v>5</v>
      </c>
      <c r="K14" s="24">
        <f t="shared" si="0"/>
        <v>12</v>
      </c>
      <c r="L14" s="24">
        <v>6</v>
      </c>
      <c r="M14" s="24">
        <v>4.5</v>
      </c>
      <c r="N14" s="24"/>
      <c r="O14" s="24"/>
      <c r="P14" s="24"/>
      <c r="Q14" s="24"/>
      <c r="R14" s="24">
        <v>1.5</v>
      </c>
      <c r="S14" s="24"/>
      <c r="T14" s="24"/>
    </row>
    <row r="15" spans="1:20" ht="40.5" customHeight="1" x14ac:dyDescent="0.25">
      <c r="A15" s="24">
        <v>4</v>
      </c>
      <c r="B15" s="24" t="s">
        <v>270</v>
      </c>
      <c r="C15" s="24"/>
      <c r="D15" s="24">
        <v>72</v>
      </c>
      <c r="E15" s="24"/>
      <c r="F15" s="24"/>
      <c r="G15" s="24"/>
      <c r="H15" s="24"/>
      <c r="I15" s="19">
        <v>8</v>
      </c>
      <c r="J15" s="24">
        <v>11</v>
      </c>
      <c r="K15" s="24">
        <f t="shared" si="0"/>
        <v>14.5</v>
      </c>
      <c r="L15" s="24">
        <v>6.5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v>5</v>
      </c>
      <c r="B16" s="19" t="s">
        <v>272</v>
      </c>
      <c r="C16" s="24"/>
      <c r="D16" s="24">
        <v>39</v>
      </c>
      <c r="E16" s="24"/>
      <c r="F16" s="24"/>
      <c r="G16" s="24"/>
      <c r="H16" s="24"/>
      <c r="I16" s="24">
        <v>16</v>
      </c>
      <c r="J16" s="24">
        <v>5</v>
      </c>
      <c r="K16" s="24">
        <f t="shared" si="0"/>
        <v>12</v>
      </c>
      <c r="L16" s="24">
        <v>4</v>
      </c>
      <c r="M16" s="24">
        <v>5</v>
      </c>
      <c r="N16" s="24"/>
      <c r="O16" s="24"/>
      <c r="P16" s="24"/>
      <c r="Q16" s="24"/>
      <c r="R16" s="24">
        <v>3</v>
      </c>
      <c r="S16" s="24"/>
      <c r="T16" s="24"/>
    </row>
    <row r="17" spans="1:20" ht="40.5" customHeight="1" x14ac:dyDescent="0.25">
      <c r="A17" s="24">
        <v>6</v>
      </c>
      <c r="B17" s="19" t="s">
        <v>270</v>
      </c>
      <c r="C17" s="24"/>
      <c r="D17" s="24">
        <v>94</v>
      </c>
      <c r="E17" s="24"/>
      <c r="F17" s="24"/>
      <c r="G17" s="24"/>
      <c r="H17" s="24"/>
      <c r="I17" s="24">
        <v>0</v>
      </c>
      <c r="J17" s="24">
        <v>10</v>
      </c>
      <c r="K17" s="24">
        <f t="shared" si="0"/>
        <v>13.5</v>
      </c>
      <c r="L17" s="24">
        <v>4.5</v>
      </c>
      <c r="M17" s="24">
        <v>5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v>7</v>
      </c>
      <c r="B18" s="24" t="s">
        <v>270</v>
      </c>
      <c r="C18" s="24"/>
      <c r="D18" s="24">
        <v>112</v>
      </c>
      <c r="E18" s="24"/>
      <c r="F18" s="24"/>
      <c r="G18" s="24"/>
      <c r="H18" s="24"/>
      <c r="I18" s="24">
        <v>5</v>
      </c>
      <c r="J18" s="24">
        <v>8</v>
      </c>
      <c r="K18" s="24">
        <f t="shared" si="0"/>
        <v>16</v>
      </c>
      <c r="L18" s="24">
        <v>5</v>
      </c>
      <c r="M18" s="24">
        <v>4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v>8</v>
      </c>
      <c r="B19" s="24" t="s">
        <v>270</v>
      </c>
      <c r="C19" s="24"/>
      <c r="D19" s="24">
        <v>90</v>
      </c>
      <c r="E19" s="24"/>
      <c r="F19" s="24"/>
      <c r="G19" s="24"/>
      <c r="H19" s="24"/>
      <c r="I19" s="24">
        <v>11</v>
      </c>
      <c r="J19" s="24">
        <v>10</v>
      </c>
      <c r="K19" s="24">
        <f t="shared" si="0"/>
        <v>17</v>
      </c>
      <c r="L19" s="24">
        <v>8</v>
      </c>
      <c r="M19" s="24">
        <v>6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25">
      <c r="A20" s="24">
        <v>9</v>
      </c>
      <c r="B20" s="24" t="s">
        <v>270</v>
      </c>
      <c r="C20" s="24"/>
      <c r="D20" s="24">
        <v>86</v>
      </c>
      <c r="E20" s="24"/>
      <c r="F20" s="24"/>
      <c r="G20" s="24"/>
      <c r="H20" s="24"/>
      <c r="I20" s="24">
        <v>5</v>
      </c>
      <c r="J20" s="24">
        <v>16</v>
      </c>
      <c r="K20" s="24">
        <f t="shared" si="0"/>
        <v>17.5</v>
      </c>
      <c r="L20" s="24">
        <v>5.5</v>
      </c>
      <c r="M20" s="24">
        <v>6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v>10</v>
      </c>
      <c r="B21" s="24" t="s">
        <v>270</v>
      </c>
      <c r="C21" s="24"/>
      <c r="D21" s="24">
        <v>53</v>
      </c>
      <c r="E21" s="24"/>
      <c r="F21" s="24"/>
      <c r="G21" s="24"/>
      <c r="H21" s="24"/>
      <c r="I21" s="24">
        <v>10</v>
      </c>
      <c r="J21" s="24">
        <v>5</v>
      </c>
      <c r="K21" s="24">
        <f t="shared" si="0"/>
        <v>9</v>
      </c>
      <c r="L21" s="24">
        <v>4</v>
      </c>
      <c r="M21" s="24">
        <v>3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25">
      <c r="A22" s="24">
        <v>11</v>
      </c>
      <c r="B22" s="24" t="s">
        <v>270</v>
      </c>
      <c r="C22" s="24"/>
      <c r="D22" s="24">
        <v>94</v>
      </c>
      <c r="E22" s="24"/>
      <c r="F22" s="24"/>
      <c r="G22" s="24"/>
      <c r="H22" s="24"/>
      <c r="I22" s="24">
        <v>8</v>
      </c>
      <c r="J22" s="24">
        <v>22</v>
      </c>
      <c r="K22" s="24">
        <f t="shared" si="0"/>
        <v>12.5</v>
      </c>
      <c r="L22" s="24">
        <v>7</v>
      </c>
      <c r="M22" s="24">
        <v>4</v>
      </c>
      <c r="N22" s="24"/>
      <c r="O22" s="24"/>
      <c r="P22" s="24"/>
      <c r="Q22" s="24"/>
      <c r="R22" s="24">
        <v>1.5</v>
      </c>
      <c r="S22" s="24"/>
      <c r="T22" s="24"/>
    </row>
    <row r="23" spans="1:20" ht="40.5" customHeight="1" x14ac:dyDescent="0.25">
      <c r="A23" s="24">
        <v>12</v>
      </c>
      <c r="B23" s="24" t="s">
        <v>273</v>
      </c>
      <c r="C23" s="24"/>
      <c r="D23" s="24">
        <v>53</v>
      </c>
      <c r="E23" s="24"/>
      <c r="F23" s="24"/>
      <c r="G23" s="24"/>
      <c r="H23" s="24"/>
      <c r="I23" s="24">
        <v>8</v>
      </c>
      <c r="J23" s="24">
        <v>6</v>
      </c>
      <c r="K23" s="24">
        <f t="shared" si="0"/>
        <v>11</v>
      </c>
      <c r="L23" s="24">
        <v>3</v>
      </c>
      <c r="M23" s="24">
        <v>4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v>13</v>
      </c>
      <c r="B24" s="24" t="s">
        <v>273</v>
      </c>
      <c r="C24" s="24"/>
      <c r="D24" s="24">
        <v>56</v>
      </c>
      <c r="E24" s="24"/>
      <c r="F24" s="24"/>
      <c r="G24" s="24"/>
      <c r="H24" s="24"/>
      <c r="I24" s="24">
        <v>15</v>
      </c>
      <c r="J24" s="24">
        <v>6</v>
      </c>
      <c r="K24" s="24">
        <f t="shared" si="0"/>
        <v>12</v>
      </c>
      <c r="L24" s="24">
        <v>5</v>
      </c>
      <c r="M24" s="24">
        <v>3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v>14</v>
      </c>
      <c r="B25" s="24" t="s">
        <v>272</v>
      </c>
      <c r="C25" s="24"/>
      <c r="D25" s="24">
        <v>45</v>
      </c>
      <c r="E25" s="24"/>
      <c r="F25" s="24"/>
      <c r="G25" s="24"/>
      <c r="H25" s="24"/>
      <c r="I25" s="24">
        <v>6</v>
      </c>
      <c r="J25" s="24">
        <v>7</v>
      </c>
      <c r="K25" s="24">
        <f t="shared" si="0"/>
        <v>12</v>
      </c>
      <c r="L25" s="24">
        <v>0</v>
      </c>
      <c r="M25" s="24">
        <v>5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>
        <v>15</v>
      </c>
      <c r="B26" s="24" t="s">
        <v>273</v>
      </c>
      <c r="C26" s="24"/>
      <c r="D26" s="24">
        <v>102</v>
      </c>
      <c r="E26" s="24"/>
      <c r="F26" s="24"/>
      <c r="G26" s="24"/>
      <c r="H26" s="24"/>
      <c r="I26" s="24">
        <v>22</v>
      </c>
      <c r="J26" s="24">
        <v>24</v>
      </c>
      <c r="K26" s="24">
        <f t="shared" si="0"/>
        <v>16</v>
      </c>
      <c r="L26" s="24">
        <v>6</v>
      </c>
      <c r="M26" s="24">
        <v>5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v>16</v>
      </c>
      <c r="B27" s="24" t="s">
        <v>273</v>
      </c>
      <c r="C27" s="24"/>
      <c r="D27" s="24">
        <v>45</v>
      </c>
      <c r="E27" s="24"/>
      <c r="F27" s="24"/>
      <c r="G27" s="24"/>
      <c r="H27" s="24"/>
      <c r="I27" s="24">
        <v>5</v>
      </c>
      <c r="J27" s="24">
        <v>4</v>
      </c>
      <c r="K27" s="24">
        <f t="shared" si="0"/>
        <v>12</v>
      </c>
      <c r="L27" s="24">
        <v>0</v>
      </c>
      <c r="M27" s="24">
        <v>5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v>17</v>
      </c>
      <c r="B28" s="24" t="s">
        <v>274</v>
      </c>
      <c r="C28" s="24"/>
      <c r="D28" s="24">
        <v>54</v>
      </c>
      <c r="E28" s="24"/>
      <c r="F28" s="24"/>
      <c r="G28" s="24"/>
      <c r="H28" s="24"/>
      <c r="I28" s="24">
        <v>7</v>
      </c>
      <c r="J28" s="24">
        <v>8</v>
      </c>
      <c r="K28" s="24">
        <f t="shared" si="0"/>
        <v>13</v>
      </c>
      <c r="L28" s="24">
        <v>3</v>
      </c>
      <c r="M28" s="24">
        <v>4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v>18</v>
      </c>
      <c r="B29" s="24" t="s">
        <v>275</v>
      </c>
      <c r="C29" s="24"/>
      <c r="D29" s="24">
        <v>39</v>
      </c>
      <c r="E29" s="24"/>
      <c r="F29" s="24"/>
      <c r="G29" s="24"/>
      <c r="H29" s="24"/>
      <c r="I29" s="24">
        <v>7</v>
      </c>
      <c r="J29" s="24">
        <v>8</v>
      </c>
      <c r="K29" s="24">
        <f t="shared" si="0"/>
        <v>15</v>
      </c>
      <c r="L29" s="24">
        <v>2</v>
      </c>
      <c r="M29" s="24">
        <v>5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25">
      <c r="A30" s="24">
        <v>19</v>
      </c>
      <c r="B30" s="24" t="s">
        <v>272</v>
      </c>
      <c r="C30" s="24"/>
      <c r="D30" s="24">
        <v>39</v>
      </c>
      <c r="E30" s="24"/>
      <c r="F30" s="24"/>
      <c r="G30" s="24"/>
      <c r="H30" s="24"/>
      <c r="I30" s="24">
        <v>9</v>
      </c>
      <c r="J30" s="24">
        <v>12</v>
      </c>
      <c r="K30" s="24">
        <f t="shared" si="0"/>
        <v>19</v>
      </c>
      <c r="L30" s="24">
        <v>6</v>
      </c>
      <c r="M30" s="24">
        <v>7</v>
      </c>
      <c r="N30" s="24"/>
      <c r="O30" s="24"/>
      <c r="P30" s="24"/>
      <c r="Q30" s="24"/>
      <c r="R30" s="24">
        <v>6</v>
      </c>
      <c r="S30" s="24"/>
      <c r="T30" s="24"/>
    </row>
    <row r="31" spans="1:20" ht="40.5" customHeight="1" x14ac:dyDescent="0.25">
      <c r="A31" s="24">
        <v>20</v>
      </c>
      <c r="B31" s="24" t="s">
        <v>272</v>
      </c>
      <c r="C31" s="24"/>
      <c r="D31" s="24">
        <v>34</v>
      </c>
      <c r="E31" s="24"/>
      <c r="F31" s="24"/>
      <c r="G31" s="24"/>
      <c r="H31" s="24"/>
      <c r="I31" s="24">
        <v>12</v>
      </c>
      <c r="J31" s="24">
        <v>16</v>
      </c>
      <c r="K31" s="24">
        <f t="shared" si="0"/>
        <v>14</v>
      </c>
      <c r="L31" s="24">
        <v>5</v>
      </c>
      <c r="M31" s="24">
        <v>4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v>21</v>
      </c>
      <c r="B32" s="24" t="s">
        <v>276</v>
      </c>
      <c r="C32" s="24"/>
      <c r="D32" s="24">
        <v>82</v>
      </c>
      <c r="E32" s="24"/>
      <c r="F32" s="24"/>
      <c r="G32" s="24"/>
      <c r="H32" s="24"/>
      <c r="I32" s="24">
        <v>3</v>
      </c>
      <c r="J32" s="24">
        <v>4</v>
      </c>
      <c r="K32" s="24">
        <f t="shared" si="0"/>
        <v>11</v>
      </c>
      <c r="L32" s="24">
        <v>2</v>
      </c>
      <c r="M32" s="24">
        <v>1</v>
      </c>
      <c r="N32" s="24"/>
      <c r="O32" s="24"/>
      <c r="P32" s="24"/>
      <c r="Q32" s="24"/>
      <c r="R32" s="24">
        <v>8</v>
      </c>
      <c r="S32" s="24"/>
      <c r="T32" s="24"/>
    </row>
    <row r="33" spans="1:20" ht="40.5" customHeight="1" x14ac:dyDescent="0.25">
      <c r="A33" s="24">
        <v>22</v>
      </c>
      <c r="B33" s="24" t="s">
        <v>272</v>
      </c>
      <c r="C33" s="24"/>
      <c r="D33" s="24">
        <v>56</v>
      </c>
      <c r="E33" s="24"/>
      <c r="F33" s="24"/>
      <c r="G33" s="24"/>
      <c r="H33" s="24"/>
      <c r="I33" s="24">
        <v>8</v>
      </c>
      <c r="J33" s="24">
        <v>10</v>
      </c>
      <c r="K33" s="24">
        <f t="shared" si="0"/>
        <v>14</v>
      </c>
      <c r="L33" s="24">
        <v>4</v>
      </c>
      <c r="M33" s="24">
        <v>3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25">
      <c r="A34" s="24">
        <v>23</v>
      </c>
      <c r="B34" s="24" t="s">
        <v>272</v>
      </c>
      <c r="C34" s="24"/>
      <c r="D34" s="24">
        <v>73</v>
      </c>
      <c r="E34" s="24"/>
      <c r="F34" s="24"/>
      <c r="G34" s="24"/>
      <c r="H34" s="24"/>
      <c r="I34" s="24">
        <v>11</v>
      </c>
      <c r="J34" s="24">
        <v>14</v>
      </c>
      <c r="K34" s="24">
        <f t="shared" si="0"/>
        <v>13.5</v>
      </c>
      <c r="L34" s="24">
        <v>7</v>
      </c>
      <c r="M34" s="24">
        <v>5</v>
      </c>
      <c r="N34" s="24"/>
      <c r="O34" s="24"/>
      <c r="P34" s="24"/>
      <c r="Q34" s="24"/>
      <c r="R34" s="24">
        <v>1.5</v>
      </c>
      <c r="S34" s="24"/>
      <c r="T34" s="24"/>
    </row>
    <row r="35" spans="1:20" ht="40.5" customHeight="1" x14ac:dyDescent="0.25">
      <c r="A35" s="24">
        <v>24</v>
      </c>
      <c r="B35" s="24" t="s">
        <v>270</v>
      </c>
      <c r="C35" s="24"/>
      <c r="D35" s="24">
        <v>108</v>
      </c>
      <c r="E35" s="24"/>
      <c r="F35" s="24"/>
      <c r="G35" s="24"/>
      <c r="H35" s="24"/>
      <c r="I35" s="24">
        <v>18</v>
      </c>
      <c r="J35" s="24">
        <v>21</v>
      </c>
      <c r="K35" s="24">
        <f t="shared" si="0"/>
        <v>15.5</v>
      </c>
      <c r="L35" s="24">
        <v>5</v>
      </c>
      <c r="M35" s="24">
        <v>6</v>
      </c>
      <c r="N35" s="24"/>
      <c r="O35" s="24"/>
      <c r="P35" s="24"/>
      <c r="Q35" s="24"/>
      <c r="R35" s="24">
        <v>4.5</v>
      </c>
      <c r="S35" s="24"/>
      <c r="T35" s="24"/>
    </row>
    <row r="36" spans="1:20" ht="40.5" customHeight="1" x14ac:dyDescent="0.25">
      <c r="A36" s="24">
        <v>25</v>
      </c>
      <c r="B36" s="24" t="s">
        <v>277</v>
      </c>
      <c r="C36" s="24"/>
      <c r="D36" s="24">
        <v>37</v>
      </c>
      <c r="E36" s="24"/>
      <c r="F36" s="24"/>
      <c r="G36" s="24"/>
      <c r="H36" s="24"/>
      <c r="I36" s="24">
        <v>2</v>
      </c>
      <c r="J36" s="24">
        <v>3</v>
      </c>
      <c r="K36" s="24">
        <f t="shared" si="0"/>
        <v>6.5</v>
      </c>
      <c r="L36" s="24">
        <v>3</v>
      </c>
      <c r="M36" s="24">
        <v>1.5</v>
      </c>
      <c r="N36" s="24"/>
      <c r="O36" s="24"/>
      <c r="P36" s="24"/>
      <c r="Q36" s="24"/>
      <c r="R36" s="24">
        <v>2</v>
      </c>
      <c r="S36" s="24"/>
      <c r="T36" s="24"/>
    </row>
    <row r="37" spans="1:20" ht="40.5" customHeight="1" x14ac:dyDescent="0.25">
      <c r="A37" s="24">
        <v>26</v>
      </c>
      <c r="B37" s="24" t="s">
        <v>278</v>
      </c>
      <c r="C37" s="24"/>
      <c r="D37" s="24">
        <v>47</v>
      </c>
      <c r="E37" s="24"/>
      <c r="F37" s="24"/>
      <c r="G37" s="24"/>
      <c r="H37" s="24"/>
      <c r="I37" s="24">
        <v>8</v>
      </c>
      <c r="J37" s="24">
        <v>5</v>
      </c>
      <c r="K37" s="24">
        <f t="shared" si="0"/>
        <v>17</v>
      </c>
      <c r="L37" s="24">
        <v>5</v>
      </c>
      <c r="M37" s="24">
        <v>5</v>
      </c>
      <c r="N37" s="24"/>
      <c r="O37" s="24"/>
      <c r="P37" s="24"/>
      <c r="Q37" s="24"/>
      <c r="R37" s="24">
        <v>7</v>
      </c>
      <c r="S37" s="24"/>
      <c r="T37" s="24"/>
    </row>
    <row r="38" spans="1:20" ht="40.5" customHeight="1" x14ac:dyDescent="0.25">
      <c r="A38" s="24">
        <v>27</v>
      </c>
      <c r="B38" s="24" t="s">
        <v>272</v>
      </c>
      <c r="C38" s="24"/>
      <c r="D38" s="24">
        <v>58</v>
      </c>
      <c r="E38" s="24"/>
      <c r="F38" s="24"/>
      <c r="G38" s="24"/>
      <c r="H38" s="24"/>
      <c r="I38" s="24">
        <v>7</v>
      </c>
      <c r="J38" s="24">
        <v>9</v>
      </c>
      <c r="K38" s="24">
        <f t="shared" si="0"/>
        <v>15.5</v>
      </c>
      <c r="L38" s="24">
        <v>4</v>
      </c>
      <c r="M38" s="24">
        <v>5.5</v>
      </c>
      <c r="N38" s="24"/>
      <c r="O38" s="24"/>
      <c r="P38" s="24"/>
      <c r="Q38" s="24"/>
      <c r="R38" s="24">
        <v>6</v>
      </c>
      <c r="S38" s="24"/>
      <c r="T38" s="24"/>
    </row>
    <row r="39" spans="1:20" ht="40.5" customHeight="1" x14ac:dyDescent="0.25">
      <c r="A39" s="24">
        <v>28</v>
      </c>
      <c r="B39" s="24" t="s">
        <v>272</v>
      </c>
      <c r="C39" s="24"/>
      <c r="D39" s="24">
        <v>47</v>
      </c>
      <c r="E39" s="24"/>
      <c r="F39" s="24"/>
      <c r="G39" s="24"/>
      <c r="H39" s="24"/>
      <c r="I39" s="24">
        <v>18</v>
      </c>
      <c r="J39" s="24">
        <v>15</v>
      </c>
      <c r="K39" s="24">
        <f t="shared" si="0"/>
        <v>16</v>
      </c>
      <c r="L39" s="24">
        <v>6</v>
      </c>
      <c r="M39" s="24">
        <v>4</v>
      </c>
      <c r="N39" s="24"/>
      <c r="O39" s="24"/>
      <c r="P39" s="24"/>
      <c r="Q39" s="24"/>
      <c r="R39" s="24">
        <v>6</v>
      </c>
      <c r="S39" s="24"/>
      <c r="T39" s="24"/>
    </row>
    <row r="40" spans="1:20" ht="40.5" customHeight="1" x14ac:dyDescent="0.25">
      <c r="A40" s="24">
        <v>29</v>
      </c>
      <c r="B40" s="24" t="s">
        <v>272</v>
      </c>
      <c r="C40" s="24"/>
      <c r="D40" s="24">
        <v>43</v>
      </c>
      <c r="E40" s="24"/>
      <c r="F40" s="24"/>
      <c r="G40" s="24"/>
      <c r="H40" s="24"/>
      <c r="I40" s="24">
        <v>12</v>
      </c>
      <c r="J40" s="24">
        <v>15</v>
      </c>
      <c r="K40" s="24">
        <f t="shared" si="0"/>
        <v>15</v>
      </c>
      <c r="L40" s="24">
        <v>7</v>
      </c>
      <c r="M40" s="24">
        <v>4.5</v>
      </c>
      <c r="N40" s="24"/>
      <c r="O40" s="24"/>
      <c r="P40" s="24"/>
      <c r="Q40" s="24"/>
      <c r="R40" s="24">
        <v>3.5</v>
      </c>
      <c r="S40" s="24"/>
      <c r="T40" s="24"/>
    </row>
    <row r="41" spans="1:20" ht="40.5" customHeight="1" x14ac:dyDescent="0.25">
      <c r="A41" s="24">
        <v>30</v>
      </c>
      <c r="B41" s="24" t="s">
        <v>272</v>
      </c>
      <c r="C41" s="24"/>
      <c r="D41" s="24">
        <v>47</v>
      </c>
      <c r="E41" s="24"/>
      <c r="F41" s="24"/>
      <c r="G41" s="24"/>
      <c r="H41" s="24"/>
      <c r="I41" s="24">
        <v>8</v>
      </c>
      <c r="J41" s="24">
        <v>6</v>
      </c>
      <c r="K41" s="24">
        <f t="shared" si="0"/>
        <v>13.5</v>
      </c>
      <c r="L41" s="24">
        <v>5</v>
      </c>
      <c r="M41" s="24">
        <v>4.5</v>
      </c>
      <c r="N41" s="24"/>
      <c r="O41" s="24"/>
      <c r="P41" s="24"/>
      <c r="Q41" s="24"/>
      <c r="R41" s="24">
        <v>4</v>
      </c>
      <c r="S41" s="24"/>
      <c r="T41" s="24"/>
    </row>
    <row r="42" spans="1:20" ht="40.5" customHeight="1" x14ac:dyDescent="0.25">
      <c r="A42" s="24">
        <v>31</v>
      </c>
      <c r="B42" s="24" t="s">
        <v>272</v>
      </c>
      <c r="C42" s="24"/>
      <c r="D42" s="24">
        <v>74</v>
      </c>
      <c r="E42" s="24"/>
      <c r="F42" s="24"/>
      <c r="G42" s="24"/>
      <c r="H42" s="24"/>
      <c r="I42" s="24">
        <v>8</v>
      </c>
      <c r="J42" s="24">
        <v>14</v>
      </c>
      <c r="K42" s="24">
        <f t="shared" si="0"/>
        <v>13.5</v>
      </c>
      <c r="L42" s="24">
        <v>8</v>
      </c>
      <c r="M42" s="24">
        <v>3.5</v>
      </c>
      <c r="N42" s="24"/>
      <c r="O42" s="24"/>
      <c r="P42" s="24"/>
      <c r="Q42" s="24"/>
      <c r="R42" s="24">
        <v>2</v>
      </c>
      <c r="S42" s="24"/>
      <c r="T42" s="24"/>
    </row>
    <row r="43" spans="1:20" ht="40.5" customHeight="1" x14ac:dyDescent="0.25">
      <c r="A43" s="24">
        <v>32</v>
      </c>
      <c r="B43" s="24" t="s">
        <v>272</v>
      </c>
      <c r="C43" s="24"/>
      <c r="D43" s="24">
        <v>44</v>
      </c>
      <c r="E43" s="24"/>
      <c r="F43" s="24"/>
      <c r="G43" s="24"/>
      <c r="H43" s="24"/>
      <c r="I43" s="24">
        <v>11</v>
      </c>
      <c r="J43" s="24">
        <v>13</v>
      </c>
      <c r="K43" s="24">
        <f t="shared" si="0"/>
        <v>11</v>
      </c>
      <c r="L43" s="24">
        <v>6</v>
      </c>
      <c r="M43" s="24">
        <v>2</v>
      </c>
      <c r="N43" s="24"/>
      <c r="O43" s="24"/>
      <c r="P43" s="24"/>
      <c r="Q43" s="24"/>
      <c r="R43" s="24">
        <v>3</v>
      </c>
      <c r="S43" s="24"/>
      <c r="T43" s="24"/>
    </row>
    <row r="44" spans="1:20" ht="40.5" customHeight="1" x14ac:dyDescent="0.25">
      <c r="A44" s="24">
        <v>33</v>
      </c>
      <c r="B44" s="24" t="s">
        <v>272</v>
      </c>
      <c r="C44" s="24"/>
      <c r="D44" s="24">
        <v>40</v>
      </c>
      <c r="E44" s="24"/>
      <c r="F44" s="24"/>
      <c r="G44" s="24"/>
      <c r="H44" s="24"/>
      <c r="I44" s="24">
        <v>0</v>
      </c>
      <c r="J44" s="24">
        <v>0</v>
      </c>
      <c r="K44" s="24">
        <f t="shared" si="0"/>
        <v>0</v>
      </c>
      <c r="L44" s="24">
        <v>0</v>
      </c>
      <c r="M44" s="24">
        <v>0</v>
      </c>
      <c r="N44" s="24"/>
      <c r="O44" s="24"/>
      <c r="P44" s="24"/>
      <c r="Q44" s="24"/>
      <c r="R44" s="24">
        <v>0</v>
      </c>
      <c r="S44" s="24"/>
      <c r="T44" s="24"/>
    </row>
    <row r="45" spans="1:20" ht="40.5" customHeight="1" x14ac:dyDescent="0.25">
      <c r="A45" s="24">
        <v>34</v>
      </c>
      <c r="B45" s="24" t="s">
        <v>272</v>
      </c>
      <c r="C45" s="24"/>
      <c r="D45" s="24">
        <v>46</v>
      </c>
      <c r="E45" s="24"/>
      <c r="F45" s="24"/>
      <c r="G45" s="24"/>
      <c r="H45" s="24"/>
      <c r="I45" s="24">
        <v>15</v>
      </c>
      <c r="J45" s="24">
        <v>13</v>
      </c>
      <c r="K45" s="24">
        <f t="shared" si="0"/>
        <v>11</v>
      </c>
      <c r="L45" s="24">
        <v>6</v>
      </c>
      <c r="M45" s="24">
        <v>3</v>
      </c>
      <c r="N45" s="24"/>
      <c r="O45" s="24"/>
      <c r="P45" s="24"/>
      <c r="Q45" s="24"/>
      <c r="R45" s="24">
        <v>2</v>
      </c>
      <c r="S45" s="24"/>
      <c r="T45" s="24"/>
    </row>
    <row r="46" spans="1:20" ht="40.5" customHeight="1" x14ac:dyDescent="0.25">
      <c r="A46" s="24">
        <v>35</v>
      </c>
      <c r="B46" s="24" t="s">
        <v>270</v>
      </c>
      <c r="C46" s="24"/>
      <c r="D46" s="24">
        <v>92</v>
      </c>
      <c r="E46" s="24"/>
      <c r="F46" s="24"/>
      <c r="G46" s="24"/>
      <c r="H46" s="24"/>
      <c r="I46" s="24">
        <v>6</v>
      </c>
      <c r="J46" s="24">
        <v>8</v>
      </c>
      <c r="K46" s="24">
        <f t="shared" si="0"/>
        <v>12.5</v>
      </c>
      <c r="L46" s="24">
        <v>4</v>
      </c>
      <c r="M46" s="24">
        <v>3</v>
      </c>
      <c r="N46" s="24"/>
      <c r="O46" s="24"/>
      <c r="P46" s="24"/>
      <c r="Q46" s="24"/>
      <c r="R46" s="24">
        <v>5.5</v>
      </c>
      <c r="S46" s="24"/>
      <c r="T46" s="24"/>
    </row>
    <row r="47" spans="1:20" ht="40.5" customHeight="1" x14ac:dyDescent="0.25">
      <c r="A47" s="24">
        <v>36</v>
      </c>
      <c r="B47" s="24" t="s">
        <v>270</v>
      </c>
      <c r="C47" s="24"/>
      <c r="D47" s="24">
        <v>69</v>
      </c>
      <c r="E47" s="24"/>
      <c r="F47" s="24"/>
      <c r="G47" s="24"/>
      <c r="H47" s="24"/>
      <c r="I47" s="24">
        <v>17</v>
      </c>
      <c r="J47" s="24">
        <v>16</v>
      </c>
      <c r="K47" s="24">
        <f t="shared" si="0"/>
        <v>12</v>
      </c>
      <c r="L47" s="24">
        <v>2</v>
      </c>
      <c r="M47" s="24">
        <v>3</v>
      </c>
      <c r="N47" s="24"/>
      <c r="O47" s="24"/>
      <c r="P47" s="24"/>
      <c r="Q47" s="24"/>
      <c r="R47" s="24">
        <v>7</v>
      </c>
      <c r="S47" s="24"/>
      <c r="T47" s="24"/>
    </row>
    <row r="48" spans="1:20" ht="40.5" customHeight="1" x14ac:dyDescent="0.25">
      <c r="A48" s="24">
        <v>37</v>
      </c>
      <c r="B48" s="24" t="s">
        <v>270</v>
      </c>
      <c r="C48" s="24"/>
      <c r="D48" s="24">
        <v>98</v>
      </c>
      <c r="E48" s="24"/>
      <c r="F48" s="24"/>
      <c r="G48" s="24"/>
      <c r="H48" s="24"/>
      <c r="I48" s="24">
        <v>8</v>
      </c>
      <c r="J48" s="24">
        <v>16</v>
      </c>
      <c r="K48" s="24">
        <f t="shared" si="0"/>
        <v>15</v>
      </c>
      <c r="L48" s="24">
        <v>5</v>
      </c>
      <c r="M48" s="24">
        <v>6</v>
      </c>
      <c r="N48" s="24"/>
      <c r="O48" s="24"/>
      <c r="P48" s="24"/>
      <c r="Q48" s="24"/>
      <c r="R48" s="24">
        <v>4</v>
      </c>
      <c r="S48" s="24"/>
      <c r="T48" s="24"/>
    </row>
    <row r="49" spans="1:20" ht="40.5" customHeight="1" x14ac:dyDescent="0.25">
      <c r="A49" s="24">
        <v>38</v>
      </c>
      <c r="B49" s="24" t="s">
        <v>270</v>
      </c>
      <c r="C49" s="24"/>
      <c r="D49" s="24">
        <v>72</v>
      </c>
      <c r="E49" s="24"/>
      <c r="F49" s="24"/>
      <c r="G49" s="24"/>
      <c r="H49" s="24"/>
      <c r="I49" s="24">
        <v>10</v>
      </c>
      <c r="J49" s="24">
        <v>13</v>
      </c>
      <c r="K49" s="24">
        <f t="shared" si="0"/>
        <v>18</v>
      </c>
      <c r="L49" s="24">
        <v>8</v>
      </c>
      <c r="M49" s="24">
        <v>6</v>
      </c>
      <c r="N49" s="24"/>
      <c r="O49" s="24"/>
      <c r="P49" s="24"/>
      <c r="Q49" s="24"/>
      <c r="R49" s="24">
        <v>4</v>
      </c>
      <c r="S49" s="24"/>
      <c r="T49" s="24"/>
    </row>
    <row r="50" spans="1:20" ht="40.5" customHeight="1" x14ac:dyDescent="0.25">
      <c r="A50" s="24">
        <v>39</v>
      </c>
      <c r="B50" s="24" t="s">
        <v>275</v>
      </c>
      <c r="C50" s="24"/>
      <c r="D50" s="24">
        <v>34</v>
      </c>
      <c r="E50" s="24"/>
      <c r="F50" s="24"/>
      <c r="G50" s="24"/>
      <c r="H50" s="24"/>
      <c r="I50" s="24">
        <v>18</v>
      </c>
      <c r="J50" s="24">
        <v>20</v>
      </c>
      <c r="K50" s="24">
        <f t="shared" si="0"/>
        <v>13</v>
      </c>
      <c r="L50" s="24">
        <v>7</v>
      </c>
      <c r="M50" s="24">
        <v>3</v>
      </c>
      <c r="N50" s="24"/>
      <c r="O50" s="24"/>
      <c r="P50" s="24"/>
      <c r="Q50" s="24"/>
      <c r="R50" s="24">
        <v>3</v>
      </c>
      <c r="S50" s="24"/>
      <c r="T50" s="24"/>
    </row>
    <row r="51" spans="1:20" ht="40.5" customHeight="1" x14ac:dyDescent="0.25">
      <c r="A51" s="24">
        <v>40</v>
      </c>
      <c r="B51" s="24" t="s">
        <v>272</v>
      </c>
      <c r="C51" s="24"/>
      <c r="D51" s="24">
        <v>37</v>
      </c>
      <c r="E51" s="24"/>
      <c r="F51" s="24"/>
      <c r="G51" s="24"/>
      <c r="H51" s="24"/>
      <c r="I51" s="24">
        <v>8</v>
      </c>
      <c r="J51" s="24">
        <v>6</v>
      </c>
      <c r="K51" s="24">
        <f t="shared" si="0"/>
        <v>12</v>
      </c>
      <c r="L51" s="24">
        <v>4</v>
      </c>
      <c r="M51" s="24">
        <v>2</v>
      </c>
      <c r="N51" s="24"/>
      <c r="O51" s="24"/>
      <c r="P51" s="24"/>
      <c r="Q51" s="24"/>
      <c r="R51" s="24">
        <v>6</v>
      </c>
      <c r="S51" s="24"/>
      <c r="T51" s="24"/>
    </row>
    <row r="52" spans="1:20" ht="40.5" customHeight="1" x14ac:dyDescent="0.25">
      <c r="A52" s="24">
        <v>41</v>
      </c>
      <c r="B52" s="24" t="s">
        <v>272</v>
      </c>
      <c r="C52" s="24"/>
      <c r="D52" s="24">
        <v>43</v>
      </c>
      <c r="E52" s="24"/>
      <c r="F52" s="24"/>
      <c r="G52" s="24"/>
      <c r="H52" s="24"/>
      <c r="I52" s="24">
        <v>5</v>
      </c>
      <c r="J52" s="24">
        <v>4</v>
      </c>
      <c r="K52" s="24">
        <f t="shared" si="0"/>
        <v>12</v>
      </c>
      <c r="L52" s="24">
        <v>5</v>
      </c>
      <c r="M52" s="24">
        <v>4</v>
      </c>
      <c r="N52" s="24"/>
      <c r="O52" s="24"/>
      <c r="P52" s="24"/>
      <c r="Q52" s="24"/>
      <c r="R52" s="24">
        <v>3</v>
      </c>
      <c r="S52" s="24"/>
      <c r="T52" s="24"/>
    </row>
    <row r="53" spans="1:20" ht="40.5" customHeight="1" x14ac:dyDescent="0.25">
      <c r="A53" s="24">
        <v>42</v>
      </c>
      <c r="B53" s="24" t="s">
        <v>279</v>
      </c>
      <c r="C53" s="24"/>
      <c r="D53" s="24">
        <v>46</v>
      </c>
      <c r="E53" s="24"/>
      <c r="F53" s="24"/>
      <c r="G53" s="24"/>
      <c r="H53" s="24"/>
      <c r="I53" s="24">
        <v>8</v>
      </c>
      <c r="J53" s="24">
        <v>9</v>
      </c>
      <c r="K53" s="24">
        <f t="shared" si="0"/>
        <v>12</v>
      </c>
      <c r="L53" s="24">
        <v>4</v>
      </c>
      <c r="M53" s="24">
        <v>3</v>
      </c>
      <c r="N53" s="24"/>
      <c r="O53" s="24"/>
      <c r="P53" s="24"/>
      <c r="Q53" s="24"/>
      <c r="R53" s="24">
        <v>5</v>
      </c>
      <c r="S53" s="24"/>
      <c r="T53" s="24"/>
    </row>
    <row r="54" spans="1:20" ht="40.5" customHeight="1" x14ac:dyDescent="0.25">
      <c r="A54" s="24">
        <v>43</v>
      </c>
      <c r="B54" s="24" t="s">
        <v>272</v>
      </c>
      <c r="C54" s="24"/>
      <c r="D54" s="24">
        <v>36</v>
      </c>
      <c r="E54" s="24"/>
      <c r="F54" s="24"/>
      <c r="G54" s="24"/>
      <c r="H54" s="24"/>
      <c r="I54" s="24">
        <v>5</v>
      </c>
      <c r="J54" s="24">
        <v>6</v>
      </c>
      <c r="K54" s="24">
        <f t="shared" si="0"/>
        <v>14</v>
      </c>
      <c r="L54" s="24">
        <v>4</v>
      </c>
      <c r="M54" s="24">
        <v>2</v>
      </c>
      <c r="N54" s="24"/>
      <c r="O54" s="24"/>
      <c r="P54" s="24"/>
      <c r="Q54" s="24"/>
      <c r="R54" s="24">
        <v>8</v>
      </c>
      <c r="S54" s="24"/>
      <c r="T54" s="24"/>
    </row>
    <row r="55" spans="1:20" ht="40.5" customHeight="1" x14ac:dyDescent="0.25">
      <c r="A55" s="24">
        <v>44</v>
      </c>
      <c r="B55" s="24" t="s">
        <v>272</v>
      </c>
      <c r="C55" s="24"/>
      <c r="D55" s="24">
        <v>38</v>
      </c>
      <c r="E55" s="24"/>
      <c r="F55" s="24"/>
      <c r="G55" s="24"/>
      <c r="H55" s="24"/>
      <c r="I55" s="24">
        <v>8</v>
      </c>
      <c r="J55" s="24">
        <v>11</v>
      </c>
      <c r="K55" s="24">
        <f t="shared" si="0"/>
        <v>13</v>
      </c>
      <c r="L55" s="24">
        <v>5</v>
      </c>
      <c r="M55" s="24">
        <v>4</v>
      </c>
      <c r="N55" s="24"/>
      <c r="O55" s="24"/>
      <c r="P55" s="24"/>
      <c r="Q55" s="24"/>
      <c r="R55" s="24">
        <v>4</v>
      </c>
      <c r="S55" s="24"/>
      <c r="T55" s="24"/>
    </row>
    <row r="56" spans="1:20" ht="40.5" customHeight="1" x14ac:dyDescent="0.25">
      <c r="A56" s="24">
        <v>45</v>
      </c>
      <c r="B56" s="24" t="s">
        <v>280</v>
      </c>
      <c r="C56" s="24"/>
      <c r="D56" s="24">
        <v>113</v>
      </c>
      <c r="E56" s="24"/>
      <c r="F56" s="24"/>
      <c r="G56" s="24"/>
      <c r="H56" s="24"/>
      <c r="I56" s="24">
        <v>3</v>
      </c>
      <c r="J56" s="24">
        <v>3</v>
      </c>
      <c r="K56" s="24">
        <f t="shared" si="0"/>
        <v>11.5</v>
      </c>
      <c r="L56" s="24">
        <v>3</v>
      </c>
      <c r="M56" s="24">
        <v>1</v>
      </c>
      <c r="N56" s="24"/>
      <c r="O56" s="24"/>
      <c r="P56" s="24"/>
      <c r="Q56" s="24"/>
      <c r="R56" s="24">
        <v>7.5</v>
      </c>
      <c r="S56" s="24"/>
      <c r="T56" s="24"/>
    </row>
    <row r="57" spans="1:20" ht="40.5" customHeight="1" x14ac:dyDescent="0.25">
      <c r="A57" s="24">
        <v>46</v>
      </c>
      <c r="B57" s="24" t="s">
        <v>272</v>
      </c>
      <c r="C57" s="24"/>
      <c r="D57" s="24">
        <v>48</v>
      </c>
      <c r="E57" s="24"/>
      <c r="F57" s="24"/>
      <c r="G57" s="24"/>
      <c r="H57" s="24"/>
      <c r="I57" s="24">
        <v>6</v>
      </c>
      <c r="J57" s="24">
        <v>8</v>
      </c>
      <c r="K57" s="24">
        <f t="shared" si="0"/>
        <v>14.5</v>
      </c>
      <c r="L57" s="24">
        <v>3</v>
      </c>
      <c r="M57" s="24">
        <v>2.5</v>
      </c>
      <c r="N57" s="24"/>
      <c r="O57" s="24"/>
      <c r="P57" s="24"/>
      <c r="Q57" s="24"/>
      <c r="R57" s="24">
        <v>9</v>
      </c>
      <c r="S57" s="24"/>
      <c r="T57" s="24"/>
    </row>
    <row r="58" spans="1:20" ht="40.5" customHeight="1" x14ac:dyDescent="0.25">
      <c r="A58" s="24">
        <v>47</v>
      </c>
      <c r="B58" s="24" t="s">
        <v>281</v>
      </c>
      <c r="C58" s="24"/>
      <c r="D58" s="24">
        <v>56</v>
      </c>
      <c r="E58" s="24"/>
      <c r="F58" s="24"/>
      <c r="G58" s="24"/>
      <c r="H58" s="24"/>
      <c r="I58" s="24">
        <v>4</v>
      </c>
      <c r="J58" s="24">
        <v>6</v>
      </c>
      <c r="K58" s="24">
        <f t="shared" si="0"/>
        <v>13</v>
      </c>
      <c r="L58" s="24">
        <v>5</v>
      </c>
      <c r="M58" s="24">
        <v>3</v>
      </c>
      <c r="N58" s="24"/>
      <c r="O58" s="24"/>
      <c r="P58" s="24"/>
      <c r="Q58" s="24"/>
      <c r="R58" s="24">
        <v>5</v>
      </c>
      <c r="S58" s="24"/>
      <c r="T58" s="24"/>
    </row>
    <row r="59" spans="1:20" ht="40.5" customHeight="1" x14ac:dyDescent="0.25">
      <c r="A59" s="24">
        <v>48</v>
      </c>
      <c r="B59" s="24" t="s">
        <v>272</v>
      </c>
      <c r="C59" s="24"/>
      <c r="D59" s="24">
        <v>95</v>
      </c>
      <c r="E59" s="24"/>
      <c r="F59" s="24"/>
      <c r="G59" s="24"/>
      <c r="H59" s="24"/>
      <c r="I59" s="24">
        <v>6</v>
      </c>
      <c r="J59" s="24">
        <v>9</v>
      </c>
      <c r="K59" s="24">
        <f t="shared" si="0"/>
        <v>15</v>
      </c>
      <c r="L59" s="24">
        <v>4</v>
      </c>
      <c r="M59" s="24">
        <v>3</v>
      </c>
      <c r="N59" s="24"/>
      <c r="O59" s="24"/>
      <c r="P59" s="24"/>
      <c r="Q59" s="24"/>
      <c r="R59" s="24">
        <v>8</v>
      </c>
      <c r="S59" s="24"/>
      <c r="T59" s="24"/>
    </row>
    <row r="60" spans="1:20" ht="40.5" customHeight="1" x14ac:dyDescent="0.25">
      <c r="A60" s="24">
        <v>49</v>
      </c>
      <c r="B60" s="24" t="s">
        <v>281</v>
      </c>
      <c r="C60" s="24"/>
      <c r="D60" s="24">
        <v>56</v>
      </c>
      <c r="E60" s="24"/>
      <c r="F60" s="24"/>
      <c r="G60" s="24"/>
      <c r="H60" s="24"/>
      <c r="I60" s="24">
        <v>13</v>
      </c>
      <c r="J60" s="24">
        <v>17</v>
      </c>
      <c r="K60" s="24">
        <f t="shared" si="0"/>
        <v>17</v>
      </c>
      <c r="L60" s="24">
        <v>6</v>
      </c>
      <c r="M60" s="24">
        <v>4</v>
      </c>
      <c r="N60" s="24"/>
      <c r="O60" s="24"/>
      <c r="P60" s="24"/>
      <c r="Q60" s="24"/>
      <c r="R60" s="24">
        <v>7</v>
      </c>
      <c r="S60" s="24"/>
      <c r="T60" s="24"/>
    </row>
    <row r="61" spans="1:20" ht="40.5" customHeight="1" x14ac:dyDescent="0.25">
      <c r="A61" s="24"/>
    </row>
    <row r="62" spans="1:20" ht="40.5" customHeight="1" x14ac:dyDescent="0.25">
      <c r="A62" s="24"/>
    </row>
    <row r="63" spans="1:20" ht="40.5" customHeight="1" x14ac:dyDescent="0.25">
      <c r="A63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3" zoomScale="85" zoomScaleSheetLayoutView="85" workbookViewId="0">
      <selection activeCell="F128" sqref="F12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282</v>
      </c>
      <c r="C5" s="12" t="s">
        <v>313</v>
      </c>
      <c r="D5" s="12">
        <v>4</v>
      </c>
      <c r="E5" s="12">
        <v>15</v>
      </c>
      <c r="F5" s="12"/>
      <c r="G5" s="12">
        <f>D5*E5</f>
        <v>60</v>
      </c>
      <c r="H5" s="12"/>
    </row>
    <row r="6" spans="1:8" ht="29.25" customHeight="1" x14ac:dyDescent="0.25">
      <c r="A6" s="11">
        <v>2</v>
      </c>
      <c r="B6" s="12" t="s">
        <v>282</v>
      </c>
      <c r="C6" s="12" t="s">
        <v>313</v>
      </c>
      <c r="D6" s="12">
        <v>4</v>
      </c>
      <c r="E6" s="12">
        <v>12</v>
      </c>
      <c r="F6" s="12" t="s">
        <v>324</v>
      </c>
      <c r="G6" s="12">
        <f t="shared" ref="G6:G12" si="0">D6*E6</f>
        <v>48</v>
      </c>
      <c r="H6" s="12"/>
    </row>
    <row r="7" spans="1:8" ht="29.25" customHeight="1" x14ac:dyDescent="0.25">
      <c r="A7" s="11">
        <v>3</v>
      </c>
      <c r="B7" s="12" t="s">
        <v>282</v>
      </c>
      <c r="C7" s="12" t="s">
        <v>313</v>
      </c>
      <c r="D7" s="12">
        <v>5</v>
      </c>
      <c r="E7" s="12">
        <v>18</v>
      </c>
      <c r="F7" s="12"/>
      <c r="G7" s="12">
        <f t="shared" si="0"/>
        <v>90</v>
      </c>
      <c r="H7" s="12"/>
    </row>
    <row r="8" spans="1:8" ht="29.25" customHeight="1" x14ac:dyDescent="0.25">
      <c r="A8" s="11">
        <v>4</v>
      </c>
      <c r="B8" s="12" t="s">
        <v>282</v>
      </c>
      <c r="C8" s="12" t="s">
        <v>313</v>
      </c>
      <c r="D8" s="12">
        <v>4</v>
      </c>
      <c r="E8" s="12">
        <v>18</v>
      </c>
      <c r="F8" s="12"/>
      <c r="G8" s="12">
        <f t="shared" si="0"/>
        <v>72</v>
      </c>
      <c r="H8" s="12"/>
    </row>
    <row r="9" spans="1:8" ht="29.25" customHeight="1" x14ac:dyDescent="0.25">
      <c r="A9" s="11">
        <v>5</v>
      </c>
      <c r="B9" s="12" t="s">
        <v>282</v>
      </c>
      <c r="C9" s="12" t="s">
        <v>313</v>
      </c>
      <c r="D9" s="12">
        <v>6</v>
      </c>
      <c r="E9" s="12">
        <v>18</v>
      </c>
      <c r="F9" s="12"/>
      <c r="G9" s="12">
        <f t="shared" si="0"/>
        <v>108</v>
      </c>
      <c r="H9" s="12"/>
    </row>
    <row r="10" spans="1:8" ht="29.25" customHeight="1" x14ac:dyDescent="0.25">
      <c r="A10" s="11">
        <v>6</v>
      </c>
      <c r="B10" s="12" t="s">
        <v>282</v>
      </c>
      <c r="C10" s="12" t="s">
        <v>313</v>
      </c>
      <c r="D10" s="12">
        <v>5</v>
      </c>
      <c r="E10" s="12">
        <v>15</v>
      </c>
      <c r="F10" s="12"/>
      <c r="G10" s="12">
        <f t="shared" si="0"/>
        <v>75</v>
      </c>
      <c r="H10" s="12"/>
    </row>
    <row r="11" spans="1:8" ht="29.25" customHeight="1" x14ac:dyDescent="0.25">
      <c r="A11" s="11">
        <v>7</v>
      </c>
      <c r="B11" s="12" t="s">
        <v>282</v>
      </c>
      <c r="C11" s="12" t="s">
        <v>313</v>
      </c>
      <c r="D11" s="12">
        <v>8</v>
      </c>
      <c r="E11" s="12">
        <v>15</v>
      </c>
      <c r="F11" s="12"/>
      <c r="G11" s="12">
        <f t="shared" si="0"/>
        <v>120</v>
      </c>
      <c r="H11" s="12"/>
    </row>
    <row r="12" spans="1:8" ht="29.25" customHeight="1" x14ac:dyDescent="0.25">
      <c r="A12" s="11">
        <v>8</v>
      </c>
      <c r="B12" s="12" t="s">
        <v>283</v>
      </c>
      <c r="C12" s="12" t="s">
        <v>314</v>
      </c>
      <c r="D12" s="12">
        <v>3</v>
      </c>
      <c r="E12" s="12">
        <v>3.5</v>
      </c>
      <c r="F12" s="12" t="s">
        <v>325</v>
      </c>
      <c r="G12" s="12">
        <f t="shared" si="0"/>
        <v>10.5</v>
      </c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309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310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284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311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286</v>
      </c>
      <c r="C38" s="18" t="s">
        <v>315</v>
      </c>
      <c r="D38" s="18">
        <v>3</v>
      </c>
      <c r="E38" s="18">
        <v>2</v>
      </c>
      <c r="F38" s="18" t="s">
        <v>322</v>
      </c>
      <c r="G38" s="12">
        <f t="shared" ref="G38:G40" si="1">D38*E38</f>
        <v>6</v>
      </c>
      <c r="H38" s="18"/>
    </row>
    <row r="39" spans="1:8" ht="36" customHeight="1" x14ac:dyDescent="0.25">
      <c r="A39" s="11">
        <v>2</v>
      </c>
      <c r="B39" s="18" t="s">
        <v>283</v>
      </c>
      <c r="C39" s="18" t="s">
        <v>314</v>
      </c>
      <c r="D39" s="18">
        <v>3</v>
      </c>
      <c r="E39" s="18">
        <v>1.8</v>
      </c>
      <c r="F39" s="18"/>
      <c r="G39" s="12">
        <f t="shared" si="1"/>
        <v>5.4</v>
      </c>
      <c r="H39" s="18"/>
    </row>
    <row r="40" spans="1:8" ht="36" customHeight="1" x14ac:dyDescent="0.25">
      <c r="A40" s="11">
        <v>3</v>
      </c>
      <c r="B40" s="18" t="s">
        <v>273</v>
      </c>
      <c r="C40" s="18"/>
      <c r="D40" s="18">
        <v>8</v>
      </c>
      <c r="E40" s="18">
        <v>5</v>
      </c>
      <c r="F40" s="18"/>
      <c r="G40" s="12">
        <f t="shared" si="1"/>
        <v>40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306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307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308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288</v>
      </c>
      <c r="C69" s="11" t="s">
        <v>316</v>
      </c>
      <c r="D69" s="11">
        <v>3</v>
      </c>
      <c r="E69" s="11">
        <v>1.5</v>
      </c>
      <c r="F69" s="11" t="s">
        <v>326</v>
      </c>
      <c r="G69" s="12">
        <f t="shared" ref="G69:G72" si="2">D69*E69</f>
        <v>4.5</v>
      </c>
      <c r="H69" s="11"/>
    </row>
    <row r="70" spans="1:8" s="28" customFormat="1" ht="41.25" customHeight="1" x14ac:dyDescent="0.25">
      <c r="A70" s="11">
        <v>2</v>
      </c>
      <c r="B70" s="40" t="s">
        <v>289</v>
      </c>
      <c r="C70" s="11" t="s">
        <v>317</v>
      </c>
      <c r="D70" s="11">
        <v>4</v>
      </c>
      <c r="E70" s="11">
        <v>2.5</v>
      </c>
      <c r="F70" s="88" t="s">
        <v>327</v>
      </c>
      <c r="G70" s="12">
        <f t="shared" si="2"/>
        <v>10</v>
      </c>
      <c r="H70" s="11"/>
    </row>
    <row r="71" spans="1:8" s="28" customFormat="1" ht="41.25" customHeight="1" x14ac:dyDescent="0.25">
      <c r="A71" s="11">
        <v>3</v>
      </c>
      <c r="B71" s="40" t="s">
        <v>290</v>
      </c>
      <c r="C71" s="11" t="s">
        <v>318</v>
      </c>
      <c r="D71" s="11">
        <v>5</v>
      </c>
      <c r="E71" s="11">
        <v>3</v>
      </c>
      <c r="F71" s="11" t="s">
        <v>326</v>
      </c>
      <c r="G71" s="12">
        <f t="shared" si="2"/>
        <v>15</v>
      </c>
      <c r="H71" s="11"/>
    </row>
    <row r="72" spans="1:8" s="28" customFormat="1" ht="41.25" customHeight="1" x14ac:dyDescent="0.25">
      <c r="A72" s="11">
        <v>4</v>
      </c>
      <c r="B72" s="40" t="s">
        <v>291</v>
      </c>
      <c r="C72" s="11" t="s">
        <v>319</v>
      </c>
      <c r="D72" s="11">
        <v>4</v>
      </c>
      <c r="E72" s="11">
        <v>3.5</v>
      </c>
      <c r="F72" s="88" t="s">
        <v>328</v>
      </c>
      <c r="G72" s="12">
        <f t="shared" si="2"/>
        <v>14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283</v>
      </c>
      <c r="C96" s="11" t="s">
        <v>314</v>
      </c>
      <c r="D96" s="41">
        <v>3</v>
      </c>
      <c r="E96" s="42">
        <v>2</v>
      </c>
      <c r="F96" s="23"/>
      <c r="G96" s="12">
        <f t="shared" ref="G96:G100" si="3">D96*E96</f>
        <v>6</v>
      </c>
      <c r="H96" s="23"/>
    </row>
    <row r="97" spans="1:8" s="28" customFormat="1" ht="39" customHeight="1" x14ac:dyDescent="0.25">
      <c r="A97" s="41">
        <v>2</v>
      </c>
      <c r="B97" s="40" t="s">
        <v>286</v>
      </c>
      <c r="C97" s="11" t="s">
        <v>315</v>
      </c>
      <c r="D97" s="41">
        <v>4</v>
      </c>
      <c r="E97" s="42">
        <v>1.8</v>
      </c>
      <c r="F97" s="23" t="s">
        <v>322</v>
      </c>
      <c r="G97" s="12">
        <f t="shared" si="3"/>
        <v>7.2</v>
      </c>
      <c r="H97" s="23"/>
    </row>
    <row r="98" spans="1:8" s="28" customFormat="1" ht="39" customHeight="1" x14ac:dyDescent="0.25">
      <c r="A98" s="41">
        <v>3</v>
      </c>
      <c r="B98" s="40" t="s">
        <v>290</v>
      </c>
      <c r="C98" s="11" t="s">
        <v>318</v>
      </c>
      <c r="D98" s="41">
        <v>3</v>
      </c>
      <c r="E98" s="42">
        <v>2.5</v>
      </c>
      <c r="F98" s="23" t="s">
        <v>326</v>
      </c>
      <c r="G98" s="12">
        <f t="shared" si="3"/>
        <v>7.5</v>
      </c>
      <c r="H98" s="23"/>
    </row>
    <row r="99" spans="1:8" s="28" customFormat="1" ht="39" customHeight="1" x14ac:dyDescent="0.25">
      <c r="A99" s="41">
        <v>4</v>
      </c>
      <c r="B99" s="40" t="s">
        <v>292</v>
      </c>
      <c r="C99" s="11" t="s">
        <v>320</v>
      </c>
      <c r="D99" s="41">
        <v>9</v>
      </c>
      <c r="E99" s="42">
        <v>8</v>
      </c>
      <c r="F99" s="23"/>
      <c r="G99" s="12">
        <f t="shared" si="3"/>
        <v>72</v>
      </c>
      <c r="H99" s="23"/>
    </row>
    <row r="100" spans="1:8" s="28" customFormat="1" ht="39" customHeight="1" x14ac:dyDescent="0.25">
      <c r="A100" s="41">
        <v>5</v>
      </c>
      <c r="B100" s="40" t="s">
        <v>286</v>
      </c>
      <c r="C100" s="11" t="s">
        <v>315</v>
      </c>
      <c r="D100" s="41">
        <v>4</v>
      </c>
      <c r="E100" s="42">
        <v>5</v>
      </c>
      <c r="F100" s="23" t="s">
        <v>322</v>
      </c>
      <c r="G100" s="12">
        <f t="shared" si="3"/>
        <v>20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B1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283</v>
      </c>
      <c r="C6" s="45" t="s">
        <v>314</v>
      </c>
      <c r="D6" s="18">
        <v>25</v>
      </c>
      <c r="E6" s="18"/>
      <c r="F6" s="18">
        <f>0.05*(D6)*(D6)</f>
        <v>31.25</v>
      </c>
      <c r="G6" s="18"/>
    </row>
    <row r="7" spans="1:7" ht="45.6" customHeight="1" x14ac:dyDescent="0.25">
      <c r="A7" s="11">
        <v>2</v>
      </c>
      <c r="B7" s="18" t="s">
        <v>283</v>
      </c>
      <c r="C7" s="45" t="s">
        <v>314</v>
      </c>
      <c r="D7" s="18">
        <v>33</v>
      </c>
      <c r="E7" s="18" t="s">
        <v>323</v>
      </c>
      <c r="F7" s="18">
        <f t="shared" ref="F7:F8" si="0">0.05*(D7)*(D7)</f>
        <v>54.45</v>
      </c>
      <c r="G7" s="18"/>
    </row>
    <row r="8" spans="1:7" ht="45.6" customHeight="1" x14ac:dyDescent="0.25">
      <c r="A8" s="11">
        <v>3</v>
      </c>
      <c r="B8" s="18" t="s">
        <v>283</v>
      </c>
      <c r="C8" s="45" t="s">
        <v>314</v>
      </c>
      <c r="D8" s="18">
        <v>45</v>
      </c>
      <c r="E8" s="18"/>
      <c r="F8" s="18">
        <f t="shared" si="0"/>
        <v>101.25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283</v>
      </c>
      <c r="C39" s="48" t="s">
        <v>314</v>
      </c>
      <c r="D39" s="41">
        <v>45</v>
      </c>
      <c r="E39" s="23"/>
      <c r="F39" s="18">
        <f t="shared" ref="F39:F45" si="1">0.05*(D39)*(D39)</f>
        <v>101.25</v>
      </c>
      <c r="G39" s="23"/>
    </row>
    <row r="40" spans="1:7" s="28" customFormat="1" ht="45.6" customHeight="1" x14ac:dyDescent="0.25">
      <c r="A40" s="41">
        <v>2</v>
      </c>
      <c r="B40" s="23" t="s">
        <v>283</v>
      </c>
      <c r="C40" s="48" t="s">
        <v>314</v>
      </c>
      <c r="D40" s="41">
        <v>25</v>
      </c>
      <c r="E40" s="23" t="s">
        <v>321</v>
      </c>
      <c r="F40" s="18">
        <f t="shared" si="1"/>
        <v>31.25</v>
      </c>
      <c r="G40" s="23"/>
    </row>
    <row r="41" spans="1:7" s="28" customFormat="1" ht="45.6" customHeight="1" x14ac:dyDescent="0.25">
      <c r="A41" s="41">
        <v>3</v>
      </c>
      <c r="B41" s="23" t="s">
        <v>283</v>
      </c>
      <c r="C41" s="48" t="s">
        <v>314</v>
      </c>
      <c r="D41" s="41">
        <v>20</v>
      </c>
      <c r="E41" s="23"/>
      <c r="F41" s="18">
        <f t="shared" si="1"/>
        <v>20</v>
      </c>
      <c r="G41" s="23"/>
    </row>
    <row r="42" spans="1:7" s="28" customFormat="1" ht="45.6" customHeight="1" x14ac:dyDescent="0.25">
      <c r="A42" s="41">
        <v>4</v>
      </c>
      <c r="B42" s="23" t="s">
        <v>283</v>
      </c>
      <c r="C42" s="48" t="s">
        <v>314</v>
      </c>
      <c r="D42" s="41">
        <v>38</v>
      </c>
      <c r="E42" s="23"/>
      <c r="F42" s="18">
        <f t="shared" si="1"/>
        <v>72.2</v>
      </c>
      <c r="G42" s="23"/>
    </row>
    <row r="43" spans="1:7" s="28" customFormat="1" ht="45.6" customHeight="1" x14ac:dyDescent="0.25">
      <c r="A43" s="41">
        <v>5</v>
      </c>
      <c r="B43" s="23" t="s">
        <v>283</v>
      </c>
      <c r="C43" s="48" t="s">
        <v>314</v>
      </c>
      <c r="D43" s="41">
        <v>46</v>
      </c>
      <c r="E43" s="23"/>
      <c r="F43" s="18">
        <f t="shared" si="1"/>
        <v>105.80000000000001</v>
      </c>
      <c r="G43" s="23"/>
    </row>
    <row r="44" spans="1:7" s="28" customFormat="1" ht="45.6" customHeight="1" x14ac:dyDescent="0.25">
      <c r="A44" s="41">
        <v>6</v>
      </c>
      <c r="B44" s="23" t="s">
        <v>283</v>
      </c>
      <c r="C44" s="48" t="s">
        <v>314</v>
      </c>
      <c r="D44" s="41">
        <v>39</v>
      </c>
      <c r="E44" s="23"/>
      <c r="F44" s="18">
        <f t="shared" si="1"/>
        <v>76.050000000000011</v>
      </c>
      <c r="G44" s="23"/>
    </row>
    <row r="45" spans="1:7" s="28" customFormat="1" ht="45.6" customHeight="1" x14ac:dyDescent="0.25">
      <c r="A45" s="41">
        <v>7</v>
      </c>
      <c r="B45" s="23" t="s">
        <v>286</v>
      </c>
      <c r="C45" s="48" t="s">
        <v>315</v>
      </c>
      <c r="D45" s="41">
        <v>53</v>
      </c>
      <c r="E45" s="23" t="s">
        <v>322</v>
      </c>
      <c r="F45" s="18">
        <f t="shared" si="1"/>
        <v>140.45000000000002</v>
      </c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2024-06-16T13:27:03Z</dcterms:modified>
</cp:coreProperties>
</file>