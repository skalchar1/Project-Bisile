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0D336031-53C7-414C-AFE8-8D6131A8CE73}" xr6:coauthVersionLast="47" xr6:coauthVersionMax="47" xr10:uidLastSave="{00000000-0000-0000-0000-000000000000}"/>
  <bookViews>
    <workbookView xWindow="1515" yWindow="151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1" i="8"/>
  <c r="G70" i="8"/>
  <c r="G69" i="8"/>
  <c r="G41" i="8"/>
  <c r="G40" i="8"/>
  <c r="G39" i="8"/>
  <c r="G38" i="8"/>
  <c r="G8" i="8"/>
  <c r="G7" i="8"/>
  <c r="G6" i="8"/>
  <c r="G5" i="8"/>
  <c r="F46" i="9"/>
  <c r="F45" i="9"/>
  <c r="F44" i="9"/>
  <c r="F43" i="9"/>
  <c r="F42" i="9"/>
  <c r="F41" i="9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<sst xmlns="http://schemas.openxmlformats.org/spreadsheetml/2006/main" count="505" uniqueCount="333">
  <si>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</si>
  <si>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</si>
  <si>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</si>
  <si>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</si>
  <si>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</si>
  <si>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</si>
  <si>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</si>
  <si>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</si>
  <si>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</si>
  <si>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</si>
  <si>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</si>
  <si>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</si>
  <si>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</si>
  <si>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</si>
  <si>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</si>
  <si>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</si>
  <si>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</si>
  <si>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</si>
  <si>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</si>
  <si>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</si>
  <si>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</si>
  <si>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</si>
  <si>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</si>
  <si>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</si>
  <si>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</si>
  <si>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</si>
  <si>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</si>
  <si>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</si>
  <si>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</si>
  <si>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</si>
  <si>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</si>
  <si>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</si>
  <si>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</si>
  <si>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</si>
  <si>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</si>
  <si>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</si>
  <si>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</si>
  <si>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</si>
  <si>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</si>
  <si>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</si>
  <si>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</si>
  <si>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</si>
  <si>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</si>
  <si>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</si>
  <si>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</si>
  <si>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</si>
  <si>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</si>
  <si>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</si>
  <si>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</si>
  <si>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</si>
  <si>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</si>
  <si>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</si>
  <si>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</si>
  <si>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</si>
  <si>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</si>
  <si>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</si>
  <si>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</si>
  <si>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</si>
  <si>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</si>
  <si>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</si>
  <si>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</si>
  <si>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</si>
  <si>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</si>
  <si>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</si>
  <si>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</si>
  <si>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</si>
  <si>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</si>
  <si>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</si>
  <si>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</si>
  <si>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</si>
  <si>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</si>
  <si>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</si>
  <si>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</si>
  <si>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</si>
  <si>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</si>
  <si>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</si>
  <si>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</si>
  <si>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</si>
  <si>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</si>
  <si>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</si>
  <si>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</si>
  <si>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</si>
  <si>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</si>
  <si>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</si>
  <si>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</si>
  <si>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</si>
  <si>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</si>
  <si>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</si>
  <si>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</si>
  <si>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</si>
  <si>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</si>
  <si>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</si>
  <si>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</si>
  <si>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</si>
  <si>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</si>
  <si>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</si>
  <si>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</si>
  <si>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</si>
  <si>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</si>
  <si>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</si>
  <si>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</si>
  <si>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</si>
  <si>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</si>
  <si>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</si>
  <si>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</si>
  <si>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</si>
  <si>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</si>
  <si>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</si>
  <si>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</si>
  <si>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</si>
  <si>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</si>
  <si>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</si>
  <si>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</si>
  <si>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</si>
  <si>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</si>
  <si>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</si>
  <si>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</si>
  <si>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</si>
  <si>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</si>
  <si>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</si>
  <si>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</si>
  <si>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</si>
  <si>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</si>
  <si>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</si>
  <si>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</si>
  <si>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</si>
  <si>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</si>
  <si>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</si>
  <si>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</si>
  <si>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</si>
  <si>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</si>
  <si>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</si>
  <si>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</si>
  <si>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</si>
  <si>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</si>
  <si>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</si>
  <si>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</si>
  <si>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</si>
  <si>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</si>
  <si>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</si>
  <si>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</si>
  <si>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</si>
  <si>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</si>
  <si>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</si>
  <si>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</si>
  <si>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</si>
  <si>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</si>
  <si>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</si>
  <si>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</si>
  <si>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</si>
  <si>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</si>
  <si>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</si>
  <si>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</si>
  <si>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</si>
  <si>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</si>
  <si>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</si>
  <si>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</si>
  <si>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</si>
  <si>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</si>
  <si>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</si>
  <si>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</si>
  <si>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</si>
  <si>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</si>
  <si>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</si>
  <si>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</si>
  <si>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</si>
  <si>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</si>
  <si>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</si>
  <si>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</si>
  <si>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</si>
  <si>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</si>
  <si>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</si>
  <si>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</si>
  <si>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</si>
  <si>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</si>
  <si>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</si>
  <si>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</si>
  <si>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</si>
  <si>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</si>
  <si>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</si>
  <si>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</si>
  <si>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</si>
  <si>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</si>
  <si>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</si>
  <si>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</si>
  <si>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</si>
  <si>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</si>
  <si>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</si>
  <si>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</si>
  <si>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</si>
  <si>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</si>
  <si>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</si>
  <si>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</si>
  <si>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</si>
  <si>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</si>
  <si>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</si>
  <si>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</si>
  <si>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</si>
  <si>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</si>
  <si>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</si>
  <si>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</si>
  <si>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</si>
  <si>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</si>
  <si>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</si>
  <si>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</si>
  <si>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</si>
  <si>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</si>
  <si>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</si>
  <si>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</si>
  <si>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</si>
  <si>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</si>
  <si>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</si>
  <si>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</si>
  <si>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</si>
  <si>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</si>
  <si>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</si>
  <si>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</si>
  <si>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</si>
  <si>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</si>
  <si>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</si>
  <si>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</si>
  <si>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</si>
  <si>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</si>
  <si>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</si>
  <si>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</si>
  <si>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</si>
  <si>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</si>
  <si>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</si>
  <si>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</si>
  <si>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</si>
  <si>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</si>
  <si>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</si>
  <si>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</si>
  <si>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</si>
  <si>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</si>
  <si>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</si>
  <si>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</si>
  <si>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</si>
  <si>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</si>
  <si>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</si>
  <si>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</si>
  <si>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</si>
  <si>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</si>
  <si>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3km from Dharmasthala to Nidle road and take right diversion to Melinadka and Padava road and walk to the grid</t>
  </si>
  <si>
    <t xml:space="preserve">Xylia xylocarpa Holigarna arnattiana Terminalia paniculata </t>
  </si>
  <si>
    <t xml:space="preserve">Tract - Undulating </t>
  </si>
  <si>
    <t>Canopy Dencity -0.7</t>
  </si>
  <si>
    <t>Soil -Black forest</t>
  </si>
  <si>
    <t xml:space="preserve">Shrubs -Psychotria flavida , Hemidesmus indicus </t>
  </si>
  <si>
    <t xml:space="preserve">Underwood species –Aporosa lindleyana </t>
  </si>
  <si>
    <t xml:space="preserve">Climbers -Pothos scandens Piper nigrum </t>
  </si>
  <si>
    <t xml:space="preserve">NTFP yieding sps –Garcinia gummi-gutta </t>
  </si>
  <si>
    <t xml:space="preserve">RF stone on the way </t>
  </si>
  <si>
    <t>Mild</t>
  </si>
  <si>
    <t>1.5m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</si>
  <si>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</si>
  <si>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</si>
  <si>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</si>
  <si>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</si>
  <si>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</si>
  <si>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Fine</t>
  </si>
  <si>
    <t>Depth- Moderate</t>
  </si>
  <si>
    <r>
      <t>Permiability-</t>
    </r>
    <r>
      <rPr>
        <b/>
        <sz val="12"/>
        <rFont val="Times New Roman"/>
        <family val="1"/>
      </rPr>
      <t xml:space="preserve"> Moderate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</si>
  <si>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</si>
  <si>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Terminalia paniculata ,Aporosa lindleyana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</si>
  <si>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</si>
  <si>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</si>
  <si>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Fungi, pathogen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</si>
  <si>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</si>
  <si>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</si>
  <si>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</si>
  <si>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</si>
  <si>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</si>
  <si>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Xylia xylocarpa </t>
  </si>
  <si>
    <t xml:space="preserve">Aporosa lindleyana </t>
  </si>
  <si>
    <t>Andale</t>
  </si>
  <si>
    <t xml:space="preserve">Holigarna arnattiana </t>
  </si>
  <si>
    <t xml:space="preserve">Terminalia paniculata </t>
  </si>
  <si>
    <t xml:space="preserve">Ixora brachiata </t>
  </si>
  <si>
    <t xml:space="preserve">Terminalia tomentosa </t>
  </si>
  <si>
    <t xml:space="preserve">Callicarpa spp </t>
  </si>
  <si>
    <t>Unknown</t>
  </si>
  <si>
    <t>3..5</t>
  </si>
  <si>
    <t xml:space="preserve">Psychotria flavida </t>
  </si>
  <si>
    <t xml:space="preserve">Olea dioca </t>
  </si>
  <si>
    <t>250g</t>
  </si>
  <si>
    <t>900g</t>
  </si>
  <si>
    <t>3kg</t>
  </si>
  <si>
    <t>1.1kg</t>
  </si>
  <si>
    <t>7kg</t>
  </si>
  <si>
    <t xml:space="preserve">Garcinia gummi-gutta </t>
  </si>
  <si>
    <t>Ankole</t>
  </si>
  <si>
    <t>700g</t>
  </si>
  <si>
    <t>3.5kg</t>
  </si>
  <si>
    <t>650g</t>
  </si>
  <si>
    <t>1.2kg</t>
  </si>
  <si>
    <t>Trychona spp</t>
  </si>
  <si>
    <t>Musunda spp</t>
  </si>
  <si>
    <t xml:space="preserve">unknown </t>
  </si>
  <si>
    <t xml:space="preserve">Leea indica </t>
  </si>
  <si>
    <t xml:space="preserve">Strobilanthus sp </t>
  </si>
  <si>
    <t>Trychonus spp</t>
  </si>
  <si>
    <t>Belthangady</t>
  </si>
  <si>
    <t>Dharmastala mundaje RF</t>
  </si>
  <si>
    <t>II-12</t>
  </si>
  <si>
    <t>Grasses -NIL</t>
  </si>
  <si>
    <t>Weeds -NIL</t>
  </si>
  <si>
    <t>Bamboos -NIL</t>
  </si>
  <si>
    <t>Herbs -NIL</t>
  </si>
  <si>
    <t>Rattans –NIL</t>
  </si>
  <si>
    <t>Aspect - No fix</t>
  </si>
  <si>
    <t>NIL</t>
  </si>
  <si>
    <t>565 ft</t>
  </si>
  <si>
    <t>Helu kodsa</t>
  </si>
  <si>
    <t>370g</t>
  </si>
  <si>
    <t>Mangalore</t>
  </si>
  <si>
    <t>Kaadu coffee</t>
  </si>
  <si>
    <t>Gorbale</t>
  </si>
  <si>
    <t>Akkerakalu</t>
  </si>
  <si>
    <t>Holegere</t>
  </si>
  <si>
    <t>Uppage</t>
  </si>
  <si>
    <t xml:space="preserve">Alangium salviifolium </t>
  </si>
  <si>
    <t>Nertige</t>
  </si>
  <si>
    <t>Holigere</t>
  </si>
  <si>
    <t>Seeds and oil-rich fruits</t>
  </si>
  <si>
    <t>laeaves</t>
  </si>
  <si>
    <t>seeds, leavs</t>
  </si>
  <si>
    <t>leaves</t>
  </si>
  <si>
    <t>Flowers and leaves</t>
  </si>
  <si>
    <t xml:space="preserve">Fruits, Leaves  </t>
  </si>
  <si>
    <t>fruits, seeds</t>
  </si>
  <si>
    <t>Edible fruits, Fiber</t>
  </si>
  <si>
    <t xml:space="preserve">Fruits, Fiber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</si>
</sst>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302</v>
      </c>
    </row>
    <row r="6" spans="1:3" ht="39" customHeight="1" x14ac:dyDescent="0.25">
      <c r="A6" s="4">
        <v>2</v>
      </c>
      <c r="B6" s="51" t="s">
        <v>7</v>
      </c>
      <c r="C6" s="8" t="s">
        <v>303</v>
      </c>
    </row>
    <row r="7" spans="1:3" ht="39" customHeight="1" x14ac:dyDescent="0.25">
      <c r="A7" s="4">
        <v>3</v>
      </c>
      <c r="B7" s="51" t="s">
        <v>8</v>
      </c>
      <c r="C7" s="8" t="s">
        <v>304</v>
      </c>
    </row>
    <row r="8" spans="1:3" ht="39" customHeight="1" x14ac:dyDescent="0.25">
      <c r="A8" s="4">
        <v>4</v>
      </c>
      <c r="B8" s="51" t="s">
        <v>9</v>
      </c>
      <c r="C8" s="8">
        <v>6192</v>
      </c>
    </row>
    <row r="9" spans="1:3" ht="39" customHeight="1" x14ac:dyDescent="0.25">
      <c r="A9" s="4">
        <v>5</v>
      </c>
      <c r="B9" s="51" t="s">
        <v>10</v>
      </c>
      <c r="C9" s="9">
        <v>12.965275</v>
      </c>
    </row>
    <row r="10" spans="1:3" ht="39" customHeight="1" x14ac:dyDescent="0.25">
      <c r="A10" s="4">
        <v>6</v>
      </c>
      <c r="B10" s="51" t="s">
        <v>11</v>
      </c>
      <c r="C10" s="9">
        <v>75.409790000000001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310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305</v>
      </c>
    </row>
    <row r="18" spans="1:3" ht="32.25" customHeight="1" x14ac:dyDescent="0.25">
      <c r="A18" s="54"/>
      <c r="B18" s="55"/>
      <c r="C18" s="6" t="s">
        <v>306</v>
      </c>
    </row>
    <row r="19" spans="1:3" ht="32.25" customHeight="1" x14ac:dyDescent="0.25">
      <c r="A19" s="54"/>
      <c r="B19" s="55"/>
      <c r="C19" s="6" t="s">
        <v>307</v>
      </c>
    </row>
    <row r="20" spans="1:3" ht="57.75" customHeight="1" x14ac:dyDescent="0.25">
      <c r="A20" s="54"/>
      <c r="B20" s="55"/>
      <c r="C20" s="6" t="s">
        <v>308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309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252</v>
      </c>
    </row>
    <row r="27" spans="1:3" ht="53.25" customHeight="1" x14ac:dyDescent="0.25">
      <c r="A27" s="4">
        <v>11</v>
      </c>
      <c r="B27" s="51" t="s">
        <v>16</v>
      </c>
      <c r="C27" s="6" t="s">
        <v>253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315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6192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12.965275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75.409790000000001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260</v>
      </c>
    </row>
    <row r="19" spans="1:3" ht="30.75" customHeight="1" x14ac:dyDescent="0.25">
      <c r="A19" s="57"/>
      <c r="B19" s="58"/>
      <c r="C19" s="22" t="s">
        <v>261</v>
      </c>
    </row>
    <row r="20" spans="1:3" ht="30.75" customHeight="1" x14ac:dyDescent="0.25">
      <c r="A20" s="57"/>
      <c r="B20" s="58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264</v>
      </c>
    </row>
    <row r="23" spans="1:3" ht="15.75" x14ac:dyDescent="0.25">
      <c r="A23" s="11">
        <v>17</v>
      </c>
      <c r="B23" s="52" t="s">
        <v>221</v>
      </c>
      <c r="C23" s="22" t="s">
        <v>265</v>
      </c>
    </row>
    <row r="24" spans="1:3" ht="35.25" customHeight="1" x14ac:dyDescent="0.25">
      <c r="A24" s="11">
        <v>18</v>
      </c>
      <c r="B24" s="52" t="s">
        <v>33</v>
      </c>
      <c r="C24" s="22" t="s">
        <v>266</v>
      </c>
    </row>
    <row r="25" spans="1:3" ht="72.75" customHeight="1" x14ac:dyDescent="0.25">
      <c r="A25" s="11">
        <v>19</v>
      </c>
      <c r="B25" s="52" t="s">
        <v>34</v>
      </c>
      <c r="C25" s="22" t="s">
        <v>267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270</v>
      </c>
    </row>
    <row r="30" spans="1:3" ht="62.25" customHeight="1" x14ac:dyDescent="0.25">
      <c r="A30" s="11">
        <v>24</v>
      </c>
      <c r="B30" s="52" t="s">
        <v>39</v>
      </c>
      <c r="C30" s="22" t="s">
        <v>311</v>
      </c>
    </row>
    <row r="31" spans="1:3" ht="72.75" customHeight="1" x14ac:dyDescent="0.25">
      <c r="A31" s="11">
        <v>25</v>
      </c>
      <c r="B31" s="52" t="s">
        <v>40</v>
      </c>
      <c r="C31" s="22" t="s">
        <v>311</v>
      </c>
    </row>
    <row r="32" spans="1:3" ht="60" customHeight="1" x14ac:dyDescent="0.25">
      <c r="A32" s="11">
        <v>26</v>
      </c>
      <c r="B32" s="52" t="s">
        <v>41</v>
      </c>
      <c r="C32" s="22" t="s">
        <v>311</v>
      </c>
    </row>
    <row r="33" spans="1:3" ht="60" customHeight="1" x14ac:dyDescent="0.25">
      <c r="A33" s="11">
        <v>27</v>
      </c>
      <c r="B33" s="52" t="s">
        <v>42</v>
      </c>
      <c r="C33" s="20" t="s">
        <v>271</v>
      </c>
    </row>
    <row r="34" spans="1:3" ht="57.75" customHeight="1" x14ac:dyDescent="0.25">
      <c r="A34" s="11">
        <v>28</v>
      </c>
      <c r="B34" s="52" t="s">
        <v>43</v>
      </c>
      <c r="C34" s="22" t="s">
        <v>311</v>
      </c>
    </row>
    <row r="35" spans="1:3" ht="59.25" customHeight="1" x14ac:dyDescent="0.25">
      <c r="A35" s="11">
        <v>29</v>
      </c>
      <c r="B35" s="52" t="s">
        <v>44</v>
      </c>
      <c r="C35" s="22" t="s">
        <v>311</v>
      </c>
    </row>
    <row r="36" spans="1:3" ht="66" customHeight="1" x14ac:dyDescent="0.25">
      <c r="A36" s="11">
        <v>30</v>
      </c>
      <c r="B36" s="52" t="s">
        <v>225</v>
      </c>
      <c r="C36" s="22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9"/>
  <sheetViews>
    <sheetView view="pageBreakPreview" zoomScale="60" zoomScaleNormal="70" workbookViewId="0">
      <selection activeCell="Q26" sqref="Q2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0" width="9.140625" style="19"/>
    <col min="11" max="11" width="11.5703125" style="19" bestFit="1" customWidth="1"/>
    <col min="12" max="17" width="9.140625" style="19"/>
    <col min="18" max="18" width="9.140625" style="19" customWidth="1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273</v>
      </c>
      <c r="C12" s="24"/>
      <c r="D12" s="24">
        <v>92</v>
      </c>
      <c r="E12" s="24"/>
      <c r="F12" s="24"/>
      <c r="G12" s="24"/>
      <c r="H12" s="24"/>
      <c r="I12" s="24">
        <v>11</v>
      </c>
      <c r="J12" s="24">
        <v>10</v>
      </c>
      <c r="K12" s="24">
        <f>L12+M12+R12</f>
        <v>15</v>
      </c>
      <c r="L12" s="24">
        <v>5</v>
      </c>
      <c r="M12" s="24">
        <v>4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v>2</v>
      </c>
      <c r="B13" s="24" t="s">
        <v>274</v>
      </c>
      <c r="C13" s="24"/>
      <c r="D13" s="24">
        <v>62</v>
      </c>
      <c r="E13" s="24"/>
      <c r="F13" s="24"/>
      <c r="G13" s="24"/>
      <c r="H13" s="24"/>
      <c r="I13" s="24">
        <v>7</v>
      </c>
      <c r="J13" s="24">
        <v>6</v>
      </c>
      <c r="K13" s="24">
        <f t="shared" ref="K13:K49" si="0">L13+M13+R13</f>
        <v>11.5</v>
      </c>
      <c r="L13" s="24">
        <v>4</v>
      </c>
      <c r="M13" s="24">
        <v>3</v>
      </c>
      <c r="N13" s="24"/>
      <c r="O13" s="24"/>
      <c r="P13" s="24"/>
      <c r="Q13" s="24"/>
      <c r="R13" s="24">
        <v>4.5</v>
      </c>
      <c r="S13" s="24"/>
      <c r="T13" s="24"/>
    </row>
    <row r="14" spans="1:20" ht="40.5" customHeight="1" x14ac:dyDescent="0.25">
      <c r="A14" s="24">
        <v>3</v>
      </c>
      <c r="B14" s="24" t="s">
        <v>275</v>
      </c>
      <c r="C14" s="24"/>
      <c r="D14" s="24">
        <v>53</v>
      </c>
      <c r="E14" s="24"/>
      <c r="F14" s="24"/>
      <c r="G14" s="24"/>
      <c r="H14" s="24"/>
      <c r="I14" s="24">
        <v>11</v>
      </c>
      <c r="J14" s="24">
        <v>10</v>
      </c>
      <c r="K14" s="24">
        <f t="shared" si="0"/>
        <v>10</v>
      </c>
      <c r="L14" s="24">
        <v>3</v>
      </c>
      <c r="M14" s="24">
        <v>2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v>4</v>
      </c>
      <c r="B15" s="24" t="s">
        <v>276</v>
      </c>
      <c r="C15" s="24"/>
      <c r="D15" s="24">
        <v>143</v>
      </c>
      <c r="E15" s="24"/>
      <c r="F15" s="24"/>
      <c r="G15" s="24"/>
      <c r="H15" s="24"/>
      <c r="I15" s="24">
        <v>13</v>
      </c>
      <c r="J15" s="24">
        <v>11</v>
      </c>
      <c r="K15" s="24">
        <f t="shared" si="0"/>
        <v>14</v>
      </c>
      <c r="L15" s="24">
        <v>5</v>
      </c>
      <c r="M15" s="24">
        <v>4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v>5</v>
      </c>
      <c r="B16" s="24" t="s">
        <v>277</v>
      </c>
      <c r="C16" s="24"/>
      <c r="D16" s="24">
        <v>96</v>
      </c>
      <c r="E16" s="24"/>
      <c r="F16" s="24"/>
      <c r="G16" s="24"/>
      <c r="H16" s="24"/>
      <c r="I16" s="24">
        <v>10</v>
      </c>
      <c r="J16" s="24">
        <v>11</v>
      </c>
      <c r="K16" s="24">
        <f t="shared" si="0"/>
        <v>17.5</v>
      </c>
      <c r="L16" s="24">
        <v>5.5</v>
      </c>
      <c r="M16" s="24">
        <v>4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25">
      <c r="A17" s="24">
        <v>6</v>
      </c>
      <c r="B17" s="24" t="s">
        <v>273</v>
      </c>
      <c r="C17" s="24"/>
      <c r="D17" s="24">
        <v>93</v>
      </c>
      <c r="E17" s="24"/>
      <c r="F17" s="24"/>
      <c r="G17" s="24"/>
      <c r="H17" s="24"/>
      <c r="I17" s="24">
        <v>11</v>
      </c>
      <c r="J17" s="24">
        <v>8</v>
      </c>
      <c r="K17" s="24">
        <f t="shared" si="0"/>
        <v>15.5</v>
      </c>
      <c r="L17" s="24">
        <v>7</v>
      </c>
      <c r="M17" s="24">
        <v>3.5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v>7</v>
      </c>
      <c r="B18" s="24" t="s">
        <v>273</v>
      </c>
      <c r="C18" s="24"/>
      <c r="D18" s="24">
        <v>54</v>
      </c>
      <c r="E18" s="24"/>
      <c r="F18" s="24"/>
      <c r="G18" s="24"/>
      <c r="H18" s="24"/>
      <c r="I18" s="24">
        <v>8</v>
      </c>
      <c r="J18" s="24">
        <v>7</v>
      </c>
      <c r="K18" s="24">
        <f t="shared" si="0"/>
        <v>14</v>
      </c>
      <c r="L18" s="24">
        <v>3</v>
      </c>
      <c r="M18" s="24">
        <v>3</v>
      </c>
      <c r="N18" s="24"/>
      <c r="O18" s="24"/>
      <c r="P18" s="24"/>
      <c r="Q18" s="24"/>
      <c r="R18" s="24">
        <v>8</v>
      </c>
      <c r="S18" s="24"/>
      <c r="T18" s="24"/>
    </row>
    <row r="19" spans="1:20" ht="40.5" customHeight="1" x14ac:dyDescent="0.25">
      <c r="A19" s="24">
        <v>8</v>
      </c>
      <c r="B19" s="24" t="s">
        <v>273</v>
      </c>
      <c r="C19" s="24"/>
      <c r="D19" s="24">
        <v>99</v>
      </c>
      <c r="E19" s="24"/>
      <c r="F19" s="24"/>
      <c r="G19" s="24"/>
      <c r="H19" s="24"/>
      <c r="I19" s="24">
        <v>7</v>
      </c>
      <c r="J19" s="24">
        <v>8</v>
      </c>
      <c r="K19" s="24">
        <f t="shared" si="0"/>
        <v>16</v>
      </c>
      <c r="L19" s="24">
        <v>6</v>
      </c>
      <c r="M19" s="24">
        <v>3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v>9</v>
      </c>
      <c r="B20" s="24" t="s">
        <v>273</v>
      </c>
      <c r="C20" s="24"/>
      <c r="D20" s="24">
        <v>44</v>
      </c>
      <c r="E20" s="24"/>
      <c r="F20" s="24"/>
      <c r="G20" s="24"/>
      <c r="H20" s="24"/>
      <c r="I20" s="24">
        <v>5</v>
      </c>
      <c r="J20" s="24">
        <v>6</v>
      </c>
      <c r="K20" s="24">
        <f t="shared" si="0"/>
        <v>11</v>
      </c>
      <c r="L20" s="24">
        <v>3</v>
      </c>
      <c r="M20" s="24">
        <v>3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v>10</v>
      </c>
      <c r="B21" s="24" t="s">
        <v>274</v>
      </c>
      <c r="C21" s="24"/>
      <c r="D21" s="24">
        <v>49</v>
      </c>
      <c r="E21" s="24"/>
      <c r="F21" s="24"/>
      <c r="G21" s="24"/>
      <c r="H21" s="24"/>
      <c r="I21" s="24">
        <v>4</v>
      </c>
      <c r="J21" s="24">
        <v>4</v>
      </c>
      <c r="K21" s="24">
        <f t="shared" si="0"/>
        <v>14.5</v>
      </c>
      <c r="L21" s="24">
        <v>6.5</v>
      </c>
      <c r="M21" s="24">
        <v>3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25">
      <c r="A22" s="24">
        <v>11</v>
      </c>
      <c r="B22" s="24" t="s">
        <v>274</v>
      </c>
      <c r="C22" s="24"/>
      <c r="D22" s="24">
        <v>47</v>
      </c>
      <c r="E22" s="24"/>
      <c r="F22" s="24"/>
      <c r="G22" s="24"/>
      <c r="H22" s="24"/>
      <c r="I22" s="24">
        <v>6</v>
      </c>
      <c r="J22" s="24">
        <v>5</v>
      </c>
      <c r="K22" s="24">
        <v>15.5</v>
      </c>
      <c r="L22" s="24">
        <v>6</v>
      </c>
      <c r="M22" s="24" t="s">
        <v>282</v>
      </c>
      <c r="N22" s="24"/>
      <c r="O22" s="24"/>
      <c r="P22" s="24"/>
      <c r="Q22" s="24"/>
      <c r="R22" s="24">
        <v>6</v>
      </c>
      <c r="S22" s="24"/>
      <c r="T22" s="24"/>
    </row>
    <row r="23" spans="1:20" ht="40.5" customHeight="1" x14ac:dyDescent="0.25">
      <c r="A23" s="24">
        <v>12</v>
      </c>
      <c r="B23" s="24" t="s">
        <v>278</v>
      </c>
      <c r="C23" s="24"/>
      <c r="D23" s="24">
        <v>51</v>
      </c>
      <c r="E23" s="24"/>
      <c r="F23" s="24"/>
      <c r="G23" s="24"/>
      <c r="H23" s="24"/>
      <c r="I23" s="24">
        <v>6</v>
      </c>
      <c r="J23" s="24">
        <v>6</v>
      </c>
      <c r="K23" s="24">
        <f t="shared" si="0"/>
        <v>9</v>
      </c>
      <c r="L23" s="24">
        <v>5</v>
      </c>
      <c r="M23" s="24">
        <v>2</v>
      </c>
      <c r="N23" s="24"/>
      <c r="O23" s="24"/>
      <c r="P23" s="24"/>
      <c r="Q23" s="24"/>
      <c r="R23" s="24">
        <v>2</v>
      </c>
      <c r="S23" s="24"/>
      <c r="T23" s="24"/>
    </row>
    <row r="24" spans="1:20" ht="40.5" customHeight="1" x14ac:dyDescent="0.25">
      <c r="A24" s="24">
        <v>13</v>
      </c>
      <c r="B24" s="24" t="s">
        <v>278</v>
      </c>
      <c r="C24" s="24"/>
      <c r="D24" s="24">
        <v>37</v>
      </c>
      <c r="E24" s="24"/>
      <c r="F24" s="24"/>
      <c r="G24" s="24"/>
      <c r="H24" s="24"/>
      <c r="I24" s="24">
        <v>5</v>
      </c>
      <c r="J24" s="24">
        <v>4.5</v>
      </c>
      <c r="K24" s="24">
        <f t="shared" si="0"/>
        <v>9</v>
      </c>
      <c r="L24" s="24">
        <v>3.5</v>
      </c>
      <c r="M24" s="24">
        <v>3</v>
      </c>
      <c r="N24" s="24"/>
      <c r="O24" s="24"/>
      <c r="P24" s="24"/>
      <c r="Q24" s="24"/>
      <c r="R24" s="24">
        <v>2.5</v>
      </c>
      <c r="S24" s="24"/>
      <c r="T24" s="24"/>
    </row>
    <row r="25" spans="1:20" ht="40.5" customHeight="1" x14ac:dyDescent="0.25">
      <c r="A25" s="24">
        <v>14</v>
      </c>
      <c r="B25" s="24" t="s">
        <v>273</v>
      </c>
      <c r="C25" s="24"/>
      <c r="D25" s="24">
        <v>88</v>
      </c>
      <c r="E25" s="24"/>
      <c r="F25" s="24"/>
      <c r="G25" s="24"/>
      <c r="H25" s="24"/>
      <c r="I25" s="24">
        <v>6</v>
      </c>
      <c r="J25" s="24">
        <v>7</v>
      </c>
      <c r="K25" s="24">
        <f t="shared" si="0"/>
        <v>13</v>
      </c>
      <c r="L25" s="24">
        <v>5</v>
      </c>
      <c r="M25" s="24">
        <v>4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>
        <v>15</v>
      </c>
      <c r="B26" s="24" t="s">
        <v>273</v>
      </c>
      <c r="C26" s="24"/>
      <c r="D26" s="24">
        <v>74</v>
      </c>
      <c r="E26" s="24"/>
      <c r="F26" s="24"/>
      <c r="G26" s="24"/>
      <c r="H26" s="24"/>
      <c r="I26" s="24">
        <v>6</v>
      </c>
      <c r="J26" s="24">
        <v>5</v>
      </c>
      <c r="K26" s="24">
        <f t="shared" si="0"/>
        <v>16</v>
      </c>
      <c r="L26" s="24">
        <v>4</v>
      </c>
      <c r="M26" s="24">
        <v>4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v>16</v>
      </c>
      <c r="B27" s="24" t="s">
        <v>273</v>
      </c>
      <c r="C27" s="24"/>
      <c r="D27" s="24">
        <v>68</v>
      </c>
      <c r="E27" s="24"/>
      <c r="F27" s="24"/>
      <c r="G27" s="24"/>
      <c r="H27" s="24"/>
      <c r="I27" s="24">
        <v>4</v>
      </c>
      <c r="J27" s="24">
        <v>6</v>
      </c>
      <c r="K27" s="24">
        <f t="shared" si="0"/>
        <v>13</v>
      </c>
      <c r="L27" s="24">
        <v>3</v>
      </c>
      <c r="M27" s="24">
        <v>2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v>17</v>
      </c>
      <c r="B28" s="24" t="s">
        <v>273</v>
      </c>
      <c r="C28" s="24"/>
      <c r="D28" s="24">
        <v>38</v>
      </c>
      <c r="E28" s="24"/>
      <c r="F28" s="24"/>
      <c r="G28" s="24"/>
      <c r="H28" s="24"/>
      <c r="I28" s="24">
        <v>4</v>
      </c>
      <c r="J28" s="24">
        <v>6</v>
      </c>
      <c r="K28" s="24">
        <f t="shared" si="0"/>
        <v>12</v>
      </c>
      <c r="L28" s="24">
        <v>4</v>
      </c>
      <c r="M28" s="24">
        <v>3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v>18</v>
      </c>
      <c r="B29" s="24" t="s">
        <v>281</v>
      </c>
      <c r="C29" s="24"/>
      <c r="D29" s="24">
        <v>64</v>
      </c>
      <c r="E29" s="24"/>
      <c r="F29" s="24"/>
      <c r="G29" s="24"/>
      <c r="H29" s="24"/>
      <c r="I29" s="24">
        <v>5</v>
      </c>
      <c r="J29" s="24">
        <v>5</v>
      </c>
      <c r="K29" s="24">
        <f t="shared" si="0"/>
        <v>14</v>
      </c>
      <c r="L29" s="24">
        <v>4</v>
      </c>
      <c r="M29" s="24">
        <v>4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v>19</v>
      </c>
      <c r="B30" s="24" t="s">
        <v>273</v>
      </c>
      <c r="C30" s="24"/>
      <c r="D30" s="24">
        <v>56</v>
      </c>
      <c r="E30" s="24"/>
      <c r="F30" s="24"/>
      <c r="G30" s="24"/>
      <c r="H30" s="24"/>
      <c r="I30" s="24">
        <v>5</v>
      </c>
      <c r="J30" s="24">
        <v>5</v>
      </c>
      <c r="K30" s="24">
        <f t="shared" si="0"/>
        <v>10</v>
      </c>
      <c r="L30" s="24">
        <v>4</v>
      </c>
      <c r="M30" s="24">
        <v>2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v>20</v>
      </c>
      <c r="B31" s="24" t="s">
        <v>274</v>
      </c>
      <c r="C31" s="24"/>
      <c r="D31" s="24">
        <v>62</v>
      </c>
      <c r="E31" s="24"/>
      <c r="F31" s="24"/>
      <c r="G31" s="24"/>
      <c r="H31" s="24"/>
      <c r="I31" s="24">
        <v>4</v>
      </c>
      <c r="J31" s="24">
        <v>4</v>
      </c>
      <c r="K31" s="24">
        <f t="shared" si="0"/>
        <v>16</v>
      </c>
      <c r="L31" s="24">
        <v>6</v>
      </c>
      <c r="M31" s="24">
        <v>5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v>21</v>
      </c>
      <c r="B32" s="24" t="s">
        <v>274</v>
      </c>
      <c r="C32" s="24"/>
      <c r="D32" s="24">
        <v>52</v>
      </c>
      <c r="E32" s="24"/>
      <c r="F32" s="24"/>
      <c r="G32" s="24"/>
      <c r="H32" s="24"/>
      <c r="I32" s="24">
        <v>4</v>
      </c>
      <c r="J32" s="24">
        <v>5</v>
      </c>
      <c r="K32" s="24">
        <f t="shared" si="0"/>
        <v>14</v>
      </c>
      <c r="L32" s="24">
        <v>5</v>
      </c>
      <c r="M32" s="24">
        <v>2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v>22</v>
      </c>
      <c r="B33" s="24" t="s">
        <v>313</v>
      </c>
      <c r="C33" s="24"/>
      <c r="D33" s="24">
        <v>42</v>
      </c>
      <c r="E33" s="24"/>
      <c r="F33" s="24"/>
      <c r="G33" s="24"/>
      <c r="H33" s="24"/>
      <c r="I33" s="24">
        <v>5</v>
      </c>
      <c r="J33" s="24">
        <v>5</v>
      </c>
      <c r="K33" s="24">
        <f t="shared" si="0"/>
        <v>12</v>
      </c>
      <c r="L33" s="24">
        <v>2</v>
      </c>
      <c r="M33" s="24">
        <v>1</v>
      </c>
      <c r="N33" s="24"/>
      <c r="O33" s="24"/>
      <c r="P33" s="24"/>
      <c r="Q33" s="24"/>
      <c r="R33" s="24">
        <v>9</v>
      </c>
      <c r="S33" s="24"/>
      <c r="T33" s="24"/>
    </row>
    <row r="34" spans="1:20" ht="40.5" customHeight="1" x14ac:dyDescent="0.25">
      <c r="A34" s="24">
        <v>23</v>
      </c>
      <c r="B34" s="24" t="s">
        <v>273</v>
      </c>
      <c r="C34" s="24"/>
      <c r="D34" s="24">
        <v>72</v>
      </c>
      <c r="E34" s="24"/>
      <c r="F34" s="24"/>
      <c r="G34" s="24"/>
      <c r="H34" s="24"/>
      <c r="I34" s="24">
        <v>4</v>
      </c>
      <c r="J34" s="24">
        <v>6</v>
      </c>
      <c r="K34" s="24">
        <f t="shared" si="0"/>
        <v>6</v>
      </c>
      <c r="L34" s="24">
        <v>3</v>
      </c>
      <c r="M34" s="24">
        <v>3</v>
      </c>
      <c r="N34" s="24"/>
      <c r="O34" s="24"/>
      <c r="P34" s="24"/>
      <c r="Q34" s="24"/>
      <c r="R34" s="24"/>
      <c r="S34" s="24"/>
      <c r="T34" s="24"/>
    </row>
    <row r="35" spans="1:20" ht="40.5" customHeight="1" x14ac:dyDescent="0.25">
      <c r="A35" s="24">
        <v>24</v>
      </c>
      <c r="B35" s="24" t="s">
        <v>279</v>
      </c>
      <c r="C35" s="24"/>
      <c r="D35" s="24">
        <v>35</v>
      </c>
      <c r="E35" s="24"/>
      <c r="F35" s="24"/>
      <c r="G35" s="24"/>
      <c r="H35" s="24"/>
      <c r="I35" s="24">
        <v>4</v>
      </c>
      <c r="J35" s="24">
        <v>4</v>
      </c>
      <c r="K35" s="24">
        <f t="shared" si="0"/>
        <v>13</v>
      </c>
      <c r="L35" s="24">
        <v>3</v>
      </c>
      <c r="M35" s="24">
        <v>2</v>
      </c>
      <c r="N35" s="24"/>
      <c r="O35" s="24"/>
      <c r="P35" s="24"/>
      <c r="Q35" s="24"/>
      <c r="R35" s="24">
        <v>8</v>
      </c>
      <c r="S35" s="24"/>
      <c r="T35" s="24"/>
    </row>
    <row r="36" spans="1:20" ht="40.5" customHeight="1" x14ac:dyDescent="0.25">
      <c r="A36" s="24">
        <v>25</v>
      </c>
      <c r="B36" s="24" t="s">
        <v>279</v>
      </c>
      <c r="C36" s="24"/>
      <c r="D36" s="24">
        <v>55</v>
      </c>
      <c r="E36" s="24"/>
      <c r="F36" s="24"/>
      <c r="G36" s="24"/>
      <c r="H36" s="24"/>
      <c r="I36" s="24">
        <v>4</v>
      </c>
      <c r="J36" s="24">
        <v>5</v>
      </c>
      <c r="K36" s="24">
        <f t="shared" si="0"/>
        <v>11</v>
      </c>
      <c r="L36" s="24">
        <v>2</v>
      </c>
      <c r="M36" s="24">
        <v>1</v>
      </c>
      <c r="N36" s="24"/>
      <c r="O36" s="24"/>
      <c r="P36" s="24"/>
      <c r="Q36" s="24"/>
      <c r="R36" s="24">
        <v>8</v>
      </c>
      <c r="S36" s="24"/>
      <c r="T36" s="24"/>
    </row>
    <row r="37" spans="1:20" ht="40.5" customHeight="1" x14ac:dyDescent="0.25">
      <c r="A37" s="24">
        <v>26</v>
      </c>
      <c r="B37" s="24" t="s">
        <v>274</v>
      </c>
      <c r="C37" s="24"/>
      <c r="D37" s="24">
        <v>46</v>
      </c>
      <c r="E37" s="24"/>
      <c r="F37" s="24"/>
      <c r="G37" s="24"/>
      <c r="H37" s="24"/>
      <c r="I37" s="24">
        <v>4</v>
      </c>
      <c r="J37" s="24">
        <v>5</v>
      </c>
      <c r="K37" s="24">
        <f t="shared" si="0"/>
        <v>10.5</v>
      </c>
      <c r="L37" s="24">
        <v>2.5</v>
      </c>
      <c r="M37" s="24">
        <v>1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v>27</v>
      </c>
      <c r="B38" s="24" t="s">
        <v>274</v>
      </c>
      <c r="C38" s="24"/>
      <c r="D38" s="24">
        <v>46</v>
      </c>
      <c r="E38" s="24"/>
      <c r="F38" s="24"/>
      <c r="G38" s="24"/>
      <c r="H38" s="24"/>
      <c r="I38" s="24">
        <v>5</v>
      </c>
      <c r="J38" s="24">
        <v>6</v>
      </c>
      <c r="K38" s="24">
        <f t="shared" si="0"/>
        <v>13</v>
      </c>
      <c r="L38" s="24">
        <v>5</v>
      </c>
      <c r="M38" s="24">
        <v>3</v>
      </c>
      <c r="N38" s="24"/>
      <c r="O38" s="24"/>
      <c r="P38" s="24"/>
      <c r="Q38" s="24"/>
      <c r="R38" s="24">
        <v>5</v>
      </c>
      <c r="S38" s="24"/>
      <c r="T38" s="24"/>
    </row>
    <row r="39" spans="1:20" ht="40.5" customHeight="1" x14ac:dyDescent="0.25">
      <c r="A39" s="24">
        <v>28</v>
      </c>
      <c r="B39" s="24" t="s">
        <v>274</v>
      </c>
      <c r="C39" s="24"/>
      <c r="D39" s="24">
        <v>38</v>
      </c>
      <c r="E39" s="24"/>
      <c r="F39" s="24"/>
      <c r="G39" s="24"/>
      <c r="H39" s="24"/>
      <c r="I39" s="24">
        <v>4.5</v>
      </c>
      <c r="J39" s="24">
        <v>5</v>
      </c>
      <c r="K39" s="24">
        <f t="shared" si="0"/>
        <v>10</v>
      </c>
      <c r="L39" s="24">
        <v>2</v>
      </c>
      <c r="M39" s="24">
        <v>1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25">
      <c r="A40" s="24">
        <v>29</v>
      </c>
      <c r="B40" s="24" t="s">
        <v>274</v>
      </c>
      <c r="C40" s="24"/>
      <c r="D40" s="24">
        <v>37</v>
      </c>
      <c r="E40" s="24"/>
      <c r="F40" s="24"/>
      <c r="G40" s="24"/>
      <c r="H40" s="24"/>
      <c r="I40" s="24">
        <v>5</v>
      </c>
      <c r="J40" s="24">
        <v>5</v>
      </c>
      <c r="K40" s="24">
        <f t="shared" si="0"/>
        <v>11</v>
      </c>
      <c r="L40" s="24">
        <v>3</v>
      </c>
      <c r="M40" s="24">
        <v>1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25">
      <c r="A41" s="24">
        <v>30</v>
      </c>
      <c r="B41" s="24" t="s">
        <v>280</v>
      </c>
      <c r="C41" s="24"/>
      <c r="D41" s="24">
        <v>38</v>
      </c>
      <c r="E41" s="24"/>
      <c r="F41" s="24"/>
      <c r="G41" s="24"/>
      <c r="H41" s="24"/>
      <c r="I41" s="24">
        <v>5</v>
      </c>
      <c r="J41" s="24">
        <v>3</v>
      </c>
      <c r="K41" s="24">
        <f t="shared" si="0"/>
        <v>7.5</v>
      </c>
      <c r="L41" s="24">
        <v>2</v>
      </c>
      <c r="M41" s="24">
        <v>2</v>
      </c>
      <c r="N41" s="24"/>
      <c r="O41" s="24"/>
      <c r="P41" s="24"/>
      <c r="Q41" s="24"/>
      <c r="R41" s="24">
        <v>3.5</v>
      </c>
      <c r="S41" s="24"/>
      <c r="T41" s="24"/>
    </row>
    <row r="42" spans="1:20" ht="40.5" customHeight="1" x14ac:dyDescent="0.25">
      <c r="A42" s="24">
        <v>31</v>
      </c>
      <c r="B42" s="24" t="s">
        <v>281</v>
      </c>
      <c r="C42" s="24"/>
      <c r="D42" s="24">
        <v>64</v>
      </c>
      <c r="E42" s="24"/>
      <c r="F42" s="24"/>
      <c r="G42" s="24"/>
      <c r="H42" s="24"/>
      <c r="I42" s="24">
        <v>6</v>
      </c>
      <c r="J42" s="24">
        <v>5</v>
      </c>
      <c r="K42" s="24">
        <f t="shared" si="0"/>
        <v>15</v>
      </c>
      <c r="L42" s="24">
        <v>4</v>
      </c>
      <c r="M42" s="24">
        <v>2</v>
      </c>
      <c r="N42" s="24"/>
      <c r="O42" s="24"/>
      <c r="P42" s="24"/>
      <c r="Q42" s="24"/>
      <c r="R42" s="24">
        <v>9</v>
      </c>
      <c r="S42" s="24"/>
      <c r="T42" s="24"/>
    </row>
    <row r="43" spans="1:20" ht="40.5" customHeight="1" x14ac:dyDescent="0.25">
      <c r="A43" s="24">
        <v>32</v>
      </c>
      <c r="B43" s="24" t="s">
        <v>274</v>
      </c>
      <c r="C43" s="24"/>
      <c r="D43" s="24">
        <v>56</v>
      </c>
      <c r="E43" s="24"/>
      <c r="F43" s="24"/>
      <c r="G43" s="24"/>
      <c r="H43" s="24"/>
      <c r="I43" s="24">
        <v>6</v>
      </c>
      <c r="J43" s="24">
        <v>6</v>
      </c>
      <c r="K43" s="24">
        <f t="shared" si="0"/>
        <v>11</v>
      </c>
      <c r="L43" s="24">
        <v>2</v>
      </c>
      <c r="M43" s="24">
        <v>2</v>
      </c>
      <c r="N43" s="24"/>
      <c r="O43" s="24"/>
      <c r="P43" s="24"/>
      <c r="Q43" s="24"/>
      <c r="R43" s="24">
        <v>7</v>
      </c>
      <c r="S43" s="24"/>
      <c r="T43" s="24"/>
    </row>
    <row r="44" spans="1:20" ht="40.5" customHeight="1" x14ac:dyDescent="0.25">
      <c r="A44" s="24">
        <v>33</v>
      </c>
      <c r="B44" s="24" t="s">
        <v>273</v>
      </c>
      <c r="C44" s="24"/>
      <c r="D44" s="24">
        <v>62</v>
      </c>
      <c r="E44" s="24"/>
      <c r="F44" s="24"/>
      <c r="G44" s="24"/>
      <c r="H44" s="24"/>
      <c r="I44" s="24">
        <v>7</v>
      </c>
      <c r="J44" s="24">
        <v>6</v>
      </c>
      <c r="K44" s="24">
        <f t="shared" si="0"/>
        <v>13</v>
      </c>
      <c r="L44" s="24">
        <v>4</v>
      </c>
      <c r="M44" s="24">
        <v>3</v>
      </c>
      <c r="N44" s="24"/>
      <c r="O44" s="24"/>
      <c r="P44" s="24"/>
      <c r="Q44" s="24"/>
      <c r="R44" s="24">
        <v>6</v>
      </c>
      <c r="S44" s="24"/>
      <c r="T44" s="24"/>
    </row>
    <row r="45" spans="1:20" ht="40.5" customHeight="1" x14ac:dyDescent="0.25">
      <c r="A45" s="24">
        <v>34</v>
      </c>
      <c r="B45" s="24" t="s">
        <v>274</v>
      </c>
      <c r="C45" s="24"/>
      <c r="D45" s="24">
        <v>52</v>
      </c>
      <c r="E45" s="24"/>
      <c r="F45" s="24"/>
      <c r="G45" s="24"/>
      <c r="H45" s="24"/>
      <c r="I45" s="24">
        <v>4</v>
      </c>
      <c r="J45" s="24">
        <v>3</v>
      </c>
      <c r="K45" s="24">
        <f t="shared" si="0"/>
        <v>10</v>
      </c>
      <c r="L45" s="24">
        <v>4</v>
      </c>
      <c r="M45" s="24">
        <v>2</v>
      </c>
      <c r="N45" s="24"/>
      <c r="O45" s="24"/>
      <c r="P45" s="24"/>
      <c r="Q45" s="24"/>
      <c r="R45" s="24">
        <v>4</v>
      </c>
      <c r="S45" s="24"/>
      <c r="T45" s="24"/>
    </row>
    <row r="46" spans="1:20" ht="40.5" customHeight="1" x14ac:dyDescent="0.25">
      <c r="A46" s="24">
        <v>35</v>
      </c>
      <c r="B46" s="24" t="s">
        <v>281</v>
      </c>
      <c r="C46" s="24"/>
      <c r="D46" s="24">
        <v>42</v>
      </c>
      <c r="E46" s="24"/>
      <c r="F46" s="24"/>
      <c r="G46" s="24"/>
      <c r="H46" s="24"/>
      <c r="I46" s="24">
        <v>0</v>
      </c>
      <c r="J46" s="24">
        <v>0</v>
      </c>
      <c r="K46" s="24">
        <f t="shared" si="0"/>
        <v>12</v>
      </c>
      <c r="L46" s="24">
        <v>2</v>
      </c>
      <c r="M46" s="24">
        <v>3</v>
      </c>
      <c r="N46" s="24"/>
      <c r="O46" s="24"/>
      <c r="P46" s="24"/>
      <c r="Q46" s="24"/>
      <c r="R46" s="24">
        <v>7</v>
      </c>
      <c r="S46" s="24"/>
      <c r="T46" s="24"/>
    </row>
    <row r="47" spans="1:20" ht="40.5" customHeight="1" x14ac:dyDescent="0.25">
      <c r="A47" s="24">
        <v>36</v>
      </c>
      <c r="B47" s="24" t="s">
        <v>274</v>
      </c>
      <c r="C47" s="24"/>
      <c r="D47" s="24">
        <v>72</v>
      </c>
      <c r="E47" s="24"/>
      <c r="F47" s="24"/>
      <c r="G47" s="24"/>
      <c r="H47" s="24"/>
      <c r="I47" s="24">
        <v>5</v>
      </c>
      <c r="J47" s="24">
        <v>4</v>
      </c>
      <c r="K47" s="24">
        <f t="shared" si="0"/>
        <v>12</v>
      </c>
      <c r="L47" s="24">
        <v>4</v>
      </c>
      <c r="M47" s="24">
        <v>3</v>
      </c>
      <c r="N47" s="24"/>
      <c r="O47" s="24"/>
      <c r="P47" s="24"/>
      <c r="Q47" s="24"/>
      <c r="R47" s="24">
        <v>5</v>
      </c>
      <c r="S47" s="24"/>
      <c r="T47" s="24"/>
    </row>
    <row r="48" spans="1:20" ht="40.5" customHeight="1" x14ac:dyDescent="0.25">
      <c r="A48" s="24">
        <v>37</v>
      </c>
      <c r="B48" s="24" t="s">
        <v>273</v>
      </c>
      <c r="C48" s="24"/>
      <c r="D48" s="24">
        <v>35</v>
      </c>
      <c r="E48" s="24"/>
      <c r="F48" s="24"/>
      <c r="G48" s="24"/>
      <c r="H48" s="24"/>
      <c r="I48" s="24">
        <v>8</v>
      </c>
      <c r="J48" s="24">
        <v>9</v>
      </c>
      <c r="K48" s="24">
        <f t="shared" si="0"/>
        <v>13</v>
      </c>
      <c r="L48" s="24">
        <v>4</v>
      </c>
      <c r="M48" s="24">
        <v>3</v>
      </c>
      <c r="N48" s="24"/>
      <c r="O48" s="24"/>
      <c r="P48" s="24"/>
      <c r="Q48" s="24"/>
      <c r="R48" s="24">
        <v>6</v>
      </c>
      <c r="S48" s="24"/>
      <c r="T48" s="24"/>
    </row>
    <row r="49" spans="1:20" ht="40.5" customHeight="1" x14ac:dyDescent="0.25">
      <c r="A49" s="24">
        <v>38</v>
      </c>
      <c r="B49" s="24" t="s">
        <v>273</v>
      </c>
      <c r="C49" s="24"/>
      <c r="D49" s="24">
        <v>55</v>
      </c>
      <c r="E49" s="24"/>
      <c r="F49" s="24"/>
      <c r="G49" s="24"/>
      <c r="H49" s="24"/>
      <c r="I49" s="24">
        <v>3</v>
      </c>
      <c r="J49" s="24">
        <v>2</v>
      </c>
      <c r="K49" s="24">
        <f t="shared" si="0"/>
        <v>7.5</v>
      </c>
      <c r="L49" s="24">
        <v>2</v>
      </c>
      <c r="M49" s="24">
        <v>1.5</v>
      </c>
      <c r="N49" s="24"/>
      <c r="O49" s="24"/>
      <c r="P49" s="24"/>
      <c r="Q49" s="24"/>
      <c r="R49" s="24">
        <v>4</v>
      </c>
      <c r="S49" s="24"/>
      <c r="T4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91" zoomScale="85" zoomScaleSheetLayoutView="85" workbookViewId="0">
      <selection activeCell="D99" sqref="D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283</v>
      </c>
      <c r="C5" s="12" t="s">
        <v>316</v>
      </c>
      <c r="D5" s="12">
        <v>5</v>
      </c>
      <c r="E5" s="12">
        <v>4</v>
      </c>
      <c r="F5" s="12" t="s">
        <v>327</v>
      </c>
      <c r="G5" s="12">
        <f>D5*E5</f>
        <v>20</v>
      </c>
      <c r="H5" s="12"/>
    </row>
    <row r="6" spans="1:8" ht="29.25" customHeight="1" x14ac:dyDescent="0.25">
      <c r="A6" s="11">
        <v>2</v>
      </c>
      <c r="B6" s="12" t="s">
        <v>278</v>
      </c>
      <c r="C6" s="12" t="s">
        <v>317</v>
      </c>
      <c r="D6" s="12">
        <v>8</v>
      </c>
      <c r="E6" s="12">
        <v>5</v>
      </c>
      <c r="F6" s="88" t="s">
        <v>328</v>
      </c>
      <c r="G6" s="12">
        <f t="shared" ref="G6:G8" si="0">D6*E6</f>
        <v>40</v>
      </c>
      <c r="H6" s="12"/>
    </row>
    <row r="7" spans="1:8" ht="29.25" customHeight="1" x14ac:dyDescent="0.25">
      <c r="A7" s="11">
        <v>3</v>
      </c>
      <c r="B7" s="12" t="s">
        <v>284</v>
      </c>
      <c r="C7" s="12" t="s">
        <v>318</v>
      </c>
      <c r="D7" s="12">
        <v>6</v>
      </c>
      <c r="E7" s="12">
        <v>4.5</v>
      </c>
      <c r="F7" s="88" t="s">
        <v>329</v>
      </c>
      <c r="G7" s="12">
        <f t="shared" si="0"/>
        <v>27</v>
      </c>
      <c r="H7" s="12"/>
    </row>
    <row r="8" spans="1:8" ht="29.25" customHeight="1" x14ac:dyDescent="0.25">
      <c r="A8" s="11">
        <v>4</v>
      </c>
      <c r="B8" s="12" t="s">
        <v>276</v>
      </c>
      <c r="C8" s="12" t="s">
        <v>319</v>
      </c>
      <c r="D8" s="12">
        <v>5</v>
      </c>
      <c r="E8" s="12">
        <v>4</v>
      </c>
      <c r="F8" s="88" t="s">
        <v>324</v>
      </c>
      <c r="G8" s="12">
        <f t="shared" si="0"/>
        <v>20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285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286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287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288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290</v>
      </c>
      <c r="C38" s="18" t="s">
        <v>320</v>
      </c>
      <c r="D38" s="18">
        <v>2</v>
      </c>
      <c r="E38" s="18">
        <v>1.6</v>
      </c>
      <c r="F38" s="18" t="s">
        <v>330</v>
      </c>
      <c r="G38" s="12">
        <f t="shared" ref="G38:G41" si="1">D38*E38</f>
        <v>3.2</v>
      </c>
      <c r="H38" s="18"/>
    </row>
    <row r="39" spans="1:8" ht="36" customHeight="1" x14ac:dyDescent="0.25">
      <c r="A39" s="11">
        <v>2</v>
      </c>
      <c r="B39" s="18" t="s">
        <v>284</v>
      </c>
      <c r="C39" s="18" t="s">
        <v>318</v>
      </c>
      <c r="D39" s="18">
        <v>4</v>
      </c>
      <c r="E39" s="18">
        <v>2</v>
      </c>
      <c r="F39" s="18" t="s">
        <v>330</v>
      </c>
      <c r="G39" s="12">
        <f t="shared" si="1"/>
        <v>8</v>
      </c>
      <c r="H39" s="18"/>
    </row>
    <row r="40" spans="1:8" ht="36" customHeight="1" x14ac:dyDescent="0.25">
      <c r="A40" s="11">
        <v>3</v>
      </c>
      <c r="B40" s="18" t="s">
        <v>321</v>
      </c>
      <c r="C40" s="18" t="s">
        <v>291</v>
      </c>
      <c r="D40" s="18">
        <v>3</v>
      </c>
      <c r="E40" s="18">
        <v>2</v>
      </c>
      <c r="F40" s="18"/>
      <c r="G40" s="12">
        <f t="shared" si="1"/>
        <v>6</v>
      </c>
      <c r="H40" s="18"/>
    </row>
    <row r="41" spans="1:8" ht="36" customHeight="1" x14ac:dyDescent="0.25">
      <c r="A41" s="11">
        <v>4</v>
      </c>
      <c r="B41" s="18" t="s">
        <v>283</v>
      </c>
      <c r="C41" s="18" t="s">
        <v>316</v>
      </c>
      <c r="D41" s="18">
        <v>3</v>
      </c>
      <c r="E41" s="18">
        <v>2</v>
      </c>
      <c r="F41" s="18"/>
      <c r="G41" s="12">
        <f t="shared" si="1"/>
        <v>6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314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292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293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294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295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296</v>
      </c>
      <c r="C69" s="11"/>
      <c r="D69" s="11">
        <v>6</v>
      </c>
      <c r="E69" s="11">
        <v>10</v>
      </c>
      <c r="F69" s="11"/>
      <c r="G69" s="12">
        <f t="shared" ref="G69:G71" si="2">D69*E69</f>
        <v>60</v>
      </c>
      <c r="H69" s="11"/>
    </row>
    <row r="70" spans="1:8" s="28" customFormat="1" ht="41.25" customHeight="1" x14ac:dyDescent="0.25">
      <c r="A70" s="11">
        <v>2</v>
      </c>
      <c r="B70" s="40" t="s">
        <v>297</v>
      </c>
      <c r="C70" s="11"/>
      <c r="D70" s="11">
        <v>5</v>
      </c>
      <c r="E70" s="11">
        <v>11</v>
      </c>
      <c r="F70" s="88" t="s">
        <v>331</v>
      </c>
      <c r="G70" s="12">
        <f t="shared" si="2"/>
        <v>55</v>
      </c>
      <c r="H70" s="11"/>
    </row>
    <row r="71" spans="1:8" s="28" customFormat="1" ht="41.25" customHeight="1" x14ac:dyDescent="0.25">
      <c r="A71" s="11">
        <v>3</v>
      </c>
      <c r="B71" s="40" t="s">
        <v>283</v>
      </c>
      <c r="C71" s="11" t="s">
        <v>316</v>
      </c>
      <c r="D71" s="11">
        <v>6</v>
      </c>
      <c r="E71" s="11">
        <v>3</v>
      </c>
      <c r="F71" s="11" t="s">
        <v>327</v>
      </c>
      <c r="G71" s="12">
        <f t="shared" si="2"/>
        <v>18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283</v>
      </c>
      <c r="C96" s="11" t="s">
        <v>316</v>
      </c>
      <c r="D96" s="41">
        <v>5</v>
      </c>
      <c r="E96" s="42">
        <v>4</v>
      </c>
      <c r="F96" s="23"/>
      <c r="G96" s="12">
        <f t="shared" ref="G96:G99" si="3">D96*E96</f>
        <v>20</v>
      </c>
      <c r="H96" s="23"/>
    </row>
    <row r="97" spans="1:8" s="28" customFormat="1" ht="39" customHeight="1" x14ac:dyDescent="0.25">
      <c r="A97" s="41">
        <v>2</v>
      </c>
      <c r="B97" s="40" t="s">
        <v>298</v>
      </c>
      <c r="C97" s="11"/>
      <c r="D97" s="41">
        <v>3</v>
      </c>
      <c r="E97" s="42">
        <v>8</v>
      </c>
      <c r="F97" s="23"/>
      <c r="G97" s="12">
        <f t="shared" si="3"/>
        <v>24</v>
      </c>
      <c r="H97" s="23"/>
    </row>
    <row r="98" spans="1:8" s="28" customFormat="1" ht="39" customHeight="1" x14ac:dyDescent="0.25">
      <c r="A98" s="41">
        <v>3</v>
      </c>
      <c r="B98" s="40" t="s">
        <v>299</v>
      </c>
      <c r="C98" s="11" t="s">
        <v>322</v>
      </c>
      <c r="D98" s="41">
        <v>3</v>
      </c>
      <c r="E98" s="42">
        <v>2.5</v>
      </c>
      <c r="F98" s="88" t="s">
        <v>332</v>
      </c>
      <c r="G98" s="12">
        <f t="shared" si="3"/>
        <v>7.5</v>
      </c>
      <c r="H98" s="23"/>
    </row>
    <row r="99" spans="1:8" s="28" customFormat="1" ht="39" customHeight="1" x14ac:dyDescent="0.25">
      <c r="A99" s="41">
        <v>4</v>
      </c>
      <c r="B99" s="40" t="s">
        <v>283</v>
      </c>
      <c r="C99" s="11" t="s">
        <v>316</v>
      </c>
      <c r="D99" s="41">
        <v>3</v>
      </c>
      <c r="E99" s="42">
        <v>2</v>
      </c>
      <c r="F99" s="23" t="s">
        <v>327</v>
      </c>
      <c r="G99" s="12">
        <f t="shared" si="3"/>
        <v>6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B4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300</v>
      </c>
      <c r="C6" s="45"/>
      <c r="D6" s="18">
        <v>80</v>
      </c>
      <c r="E6" s="18"/>
      <c r="F6" s="18">
        <f>0.05*(D6)*(D6)</f>
        <v>320</v>
      </c>
      <c r="G6" s="18"/>
    </row>
    <row r="7" spans="1:7" ht="45.6" customHeight="1" x14ac:dyDescent="0.25">
      <c r="A7" s="11">
        <v>2</v>
      </c>
      <c r="B7" s="18" t="s">
        <v>283</v>
      </c>
      <c r="C7" s="45" t="s">
        <v>316</v>
      </c>
      <c r="D7" s="18">
        <v>50</v>
      </c>
      <c r="E7" s="18" t="s">
        <v>326</v>
      </c>
      <c r="F7" s="18">
        <f t="shared" ref="F7:F11" si="0">0.05*(D7)*(D7)</f>
        <v>125</v>
      </c>
      <c r="G7" s="18"/>
    </row>
    <row r="8" spans="1:7" ht="45.6" customHeight="1" x14ac:dyDescent="0.25">
      <c r="A8" s="11">
        <v>3</v>
      </c>
      <c r="B8" s="18" t="s">
        <v>283</v>
      </c>
      <c r="C8" s="45" t="s">
        <v>316</v>
      </c>
      <c r="D8" s="18">
        <v>30</v>
      </c>
      <c r="E8" s="18"/>
      <c r="F8" s="18">
        <f t="shared" si="0"/>
        <v>45</v>
      </c>
      <c r="G8" s="18"/>
    </row>
    <row r="9" spans="1:7" ht="45.6" customHeight="1" x14ac:dyDescent="0.25">
      <c r="A9" s="11">
        <v>4</v>
      </c>
      <c r="B9" s="18" t="s">
        <v>283</v>
      </c>
      <c r="C9" s="45" t="s">
        <v>316</v>
      </c>
      <c r="D9" s="18">
        <v>45</v>
      </c>
      <c r="E9" s="18"/>
      <c r="F9" s="18">
        <f t="shared" si="0"/>
        <v>101.25</v>
      </c>
      <c r="G9" s="18"/>
    </row>
    <row r="10" spans="1:7" ht="45.6" customHeight="1" x14ac:dyDescent="0.25">
      <c r="A10" s="11">
        <v>5</v>
      </c>
      <c r="B10" s="18" t="s">
        <v>283</v>
      </c>
      <c r="C10" s="45" t="s">
        <v>316</v>
      </c>
      <c r="D10" s="18">
        <v>32</v>
      </c>
      <c r="E10" s="18"/>
      <c r="F10" s="18">
        <f t="shared" si="0"/>
        <v>51.2</v>
      </c>
      <c r="G10" s="18"/>
    </row>
    <row r="11" spans="1:7" ht="45.6" customHeight="1" x14ac:dyDescent="0.25">
      <c r="A11" s="11">
        <v>6</v>
      </c>
      <c r="B11" s="18" t="s">
        <v>283</v>
      </c>
      <c r="C11" s="45" t="s">
        <v>316</v>
      </c>
      <c r="D11" s="18">
        <v>35</v>
      </c>
      <c r="E11" s="18"/>
      <c r="F11" s="18">
        <f t="shared" si="0"/>
        <v>61.25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276</v>
      </c>
      <c r="C39" s="48" t="s">
        <v>323</v>
      </c>
      <c r="D39" s="41">
        <v>40</v>
      </c>
      <c r="E39" s="88" t="s">
        <v>324</v>
      </c>
      <c r="F39" s="18">
        <f t="shared" ref="F39:F46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301</v>
      </c>
      <c r="C40" s="48"/>
      <c r="D40" s="41">
        <v>40</v>
      </c>
      <c r="E40" s="23"/>
      <c r="F40" s="18">
        <f t="shared" si="1"/>
        <v>80</v>
      </c>
      <c r="G40" s="23"/>
    </row>
    <row r="41" spans="1:7" s="28" customFormat="1" ht="45.6" customHeight="1" x14ac:dyDescent="0.25">
      <c r="A41" s="41">
        <v>3</v>
      </c>
      <c r="B41" s="23" t="s">
        <v>283</v>
      </c>
      <c r="C41" s="48" t="s">
        <v>316</v>
      </c>
      <c r="D41" s="41">
        <v>50</v>
      </c>
      <c r="E41" s="23" t="s">
        <v>325</v>
      </c>
      <c r="F41" s="18">
        <f t="shared" si="1"/>
        <v>125</v>
      </c>
      <c r="G41" s="23"/>
    </row>
    <row r="42" spans="1:7" s="28" customFormat="1" ht="45.6" customHeight="1" x14ac:dyDescent="0.25">
      <c r="A42" s="41">
        <v>4</v>
      </c>
      <c r="B42" s="23" t="s">
        <v>283</v>
      </c>
      <c r="C42" s="48" t="s">
        <v>316</v>
      </c>
      <c r="D42" s="41">
        <v>40</v>
      </c>
      <c r="E42" s="23"/>
      <c r="F42" s="18">
        <f t="shared" si="1"/>
        <v>80</v>
      </c>
      <c r="G42" s="23"/>
    </row>
    <row r="43" spans="1:7" s="28" customFormat="1" ht="45.6" customHeight="1" x14ac:dyDescent="0.25">
      <c r="A43" s="41">
        <v>5</v>
      </c>
      <c r="B43" s="23" t="s">
        <v>283</v>
      </c>
      <c r="C43" s="48" t="s">
        <v>316</v>
      </c>
      <c r="D43" s="41">
        <v>45</v>
      </c>
      <c r="E43" s="23"/>
      <c r="F43" s="18">
        <f t="shared" si="1"/>
        <v>101.25</v>
      </c>
      <c r="G43" s="23"/>
    </row>
    <row r="44" spans="1:7" s="28" customFormat="1" ht="45.6" customHeight="1" x14ac:dyDescent="0.25">
      <c r="A44" s="41">
        <v>6</v>
      </c>
      <c r="B44" s="23" t="s">
        <v>283</v>
      </c>
      <c r="C44" s="48" t="s">
        <v>316</v>
      </c>
      <c r="D44" s="41">
        <v>30</v>
      </c>
      <c r="E44" s="23"/>
      <c r="F44" s="18">
        <f t="shared" si="1"/>
        <v>45</v>
      </c>
      <c r="G44" s="23"/>
    </row>
    <row r="45" spans="1:7" s="28" customFormat="1" ht="45.6" customHeight="1" x14ac:dyDescent="0.25">
      <c r="A45" s="41">
        <v>7</v>
      </c>
      <c r="B45" s="23" t="s">
        <v>283</v>
      </c>
      <c r="C45" s="48" t="s">
        <v>316</v>
      </c>
      <c r="D45" s="41">
        <v>25</v>
      </c>
      <c r="E45" s="23"/>
      <c r="F45" s="18">
        <f t="shared" si="1"/>
        <v>31.25</v>
      </c>
      <c r="G45" s="23"/>
    </row>
    <row r="46" spans="1:7" s="28" customFormat="1" ht="45.6" customHeight="1" x14ac:dyDescent="0.25">
      <c r="A46" s="41">
        <v>8</v>
      </c>
      <c r="B46" s="23" t="s">
        <v>283</v>
      </c>
      <c r="C46" s="48" t="s">
        <v>316</v>
      </c>
      <c r="D46" s="41">
        <v>35</v>
      </c>
      <c r="E46" s="23"/>
      <c r="F46" s="18">
        <f t="shared" si="1"/>
        <v>61.25</v>
      </c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2024-06-16T13:21:30Z</dcterms:modified>
</cp:coreProperties>
</file>