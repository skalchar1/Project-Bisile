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Block Sec-4 II-26\"/>
    </mc:Choice>
  </mc:AlternateContent>
  <xr:revisionPtr revIDLastSave="0" documentId="13_ncr:1_{8E42BF2C-556F-4C05-A650-C116CFEFD5CA}" xr6:coauthVersionLast="47" xr6:coauthVersionMax="47" xr10:uidLastSave="{00000000-0000-0000-0000-000000000000}"/>
  <bookViews>
    <workbookView xWindow="1125" yWindow="112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2" i="8"/>
  <c r="G71" i="8"/>
  <c r="G70" i="8"/>
  <c r="G69" i="8"/>
  <c r="G41" i="8"/>
  <c r="G40" i="8"/>
  <c r="G39" i="8"/>
  <c r="G38" i="8"/>
  <c r="G37" i="8"/>
  <c r="G6" i="8"/>
  <c r="G5" i="8"/>
  <c r="F43" i="9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12" i="6"/>
  <c r="C6" i="5"/>
  <c r="C8" i="5"/>
  <c r="C9" i="5"/>
  <c r="C10" i="5"/>
  <c r="C11" i="5"/>
  <c r="B93" i="8"/>
  <c r="B66" i="8"/>
  <c r="B35" i="8"/>
</calcChain>
</file>

<file path=xl/sharedStrings.xml><?xml version="1.0" encoding="utf-8"?>
<sst xmlns="http://schemas.openxmlformats.org/spreadsheetml/2006/main" count="485" uniqueCount="343">
  <si>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</si>
  <si>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</si>
  <si>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</si>
  <si>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</si>
  <si>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</si>
  <si>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</si>
  <si>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</si>
  <si>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</si>
  <si>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</si>
  <si>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</si>
  <si>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</si>
  <si>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</si>
  <si>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</si>
  <si>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</si>
  <si>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</si>
  <si>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</si>
  <si>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</si>
  <si>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</si>
  <si>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</si>
  <si>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</si>
  <si>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</si>
  <si>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</si>
  <si>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</si>
  <si>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</si>
  <si>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</si>
  <si>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</si>
  <si>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</si>
  <si>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</si>
  <si>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</si>
  <si>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</si>
  <si>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</si>
  <si>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</si>
  <si>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</si>
  <si>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</si>
  <si>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</si>
  <si>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</si>
  <si>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</si>
  <si>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</si>
  <si>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</si>
  <si>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</si>
  <si>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</si>
  <si>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</si>
  <si>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</si>
  <si>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</si>
  <si>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</si>
  <si>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</si>
  <si>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</si>
  <si>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</si>
  <si>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</si>
  <si>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</si>
  <si>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</si>
  <si>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</si>
  <si>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</si>
  <si>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</si>
  <si>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</si>
  <si>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</si>
  <si>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</si>
  <si>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</si>
  <si>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</si>
  <si>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</si>
  <si>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</si>
  <si>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</si>
  <si>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</si>
  <si>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</si>
  <si>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</si>
  <si>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</si>
  <si>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</si>
  <si>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</si>
  <si>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</si>
  <si>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</si>
  <si>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</si>
  <si>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</si>
  <si>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</si>
  <si>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</si>
  <si>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</si>
  <si>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</si>
  <si>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</si>
  <si>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</si>
  <si>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</si>
  <si>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</si>
  <si>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</si>
  <si>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</si>
  <si>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</si>
  <si>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</si>
  <si>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</si>
  <si>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</si>
  <si>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</si>
  <si>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</si>
  <si>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</si>
  <si>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</si>
  <si>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</si>
  <si>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</si>
  <si>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</si>
  <si>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</si>
  <si>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</si>
  <si>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</si>
  <si>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</si>
  <si>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</si>
  <si>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</si>
  <si>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</si>
  <si>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</si>
  <si>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</si>
  <si>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</si>
  <si>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</si>
  <si>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</si>
  <si>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</si>
  <si>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</si>
  <si>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</si>
  <si>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</si>
  <si>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</si>
  <si>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</si>
  <si>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</si>
  <si>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</si>
  <si>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</si>
  <si>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</si>
  <si>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</si>
  <si>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</si>
  <si>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</si>
  <si>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</si>
  <si>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</si>
  <si>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</si>
  <si>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</si>
  <si>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</si>
  <si>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</si>
  <si>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</si>
  <si>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</si>
  <si>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</si>
  <si>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</si>
  <si>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</si>
  <si>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</si>
  <si>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</si>
  <si>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</si>
  <si>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</si>
  <si>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</si>
  <si>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</si>
  <si>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</si>
  <si>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</si>
  <si>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</si>
  <si>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</si>
  <si>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</si>
  <si>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</si>
  <si>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</si>
  <si>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</si>
  <si>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</si>
  <si>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</si>
  <si>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</si>
  <si>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</si>
  <si>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</si>
  <si>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</si>
  <si>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</si>
  <si>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</si>
  <si>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</si>
  <si>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</si>
  <si>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</si>
  <si>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</si>
  <si>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</si>
  <si>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</si>
  <si>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</si>
  <si>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</si>
  <si>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</si>
  <si>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</si>
  <si>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</si>
  <si>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</si>
  <si>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</si>
  <si>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</si>
  <si>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</si>
  <si>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</si>
  <si>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</si>
  <si>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</si>
  <si>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</si>
  <si>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</si>
  <si>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</si>
  <si>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</si>
  <si>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</si>
  <si>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</si>
  <si>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</si>
  <si>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</si>
  <si>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</si>
  <si>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</si>
  <si>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</si>
  <si>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</si>
  <si>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</si>
  <si>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</si>
  <si>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</si>
  <si>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</si>
  <si>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</si>
  <si>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</si>
  <si>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</si>
  <si>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</si>
  <si>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</si>
  <si>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</si>
  <si>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</si>
  <si>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</si>
  <si>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</si>
  <si>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</si>
  <si>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</si>
  <si>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</si>
  <si>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</si>
  <si>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</si>
  <si>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</si>
  <si>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</si>
  <si>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</si>
  <si>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</si>
  <si>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</si>
  <si>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</si>
  <si>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</si>
  <si>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</si>
  <si>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</si>
  <si>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</si>
  <si>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</si>
  <si>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</si>
  <si>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</si>
  <si>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</si>
  <si>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</si>
  <si>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</si>
  <si>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</si>
  <si>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</si>
  <si>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</si>
  <si>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</si>
  <si>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</si>
  <si>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</si>
  <si>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</si>
  <si>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</si>
  <si>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</si>
  <si>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</si>
  <si>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</si>
  <si>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</si>
  <si>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</si>
  <si>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</si>
  <si>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</si>
  <si>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</si>
  <si>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</si>
  <si>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</si>
  <si>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</si>
  <si>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</si>
  <si>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</si>
  <si>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</si>
  <si>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</si>
  <si>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</si>
  <si>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</si>
  <si>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</si>
  <si>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</si>
  <si>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</si>
  <si>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Vodyane    upto     N  13.013350   E 75.257838   by vehicle then travel in the bearing of    198  degree upto a distance of    48 m to reach the grid.</t>
  </si>
  <si>
    <t xml:space="preserve">Careya arborea , Syzygium cumini , Acacia auriculiformis , Hopea ponga , Holigarna arnattiana </t>
  </si>
  <si>
    <t>Canopy Dencity - 0.65</t>
  </si>
  <si>
    <t>Soil - Black humus rich</t>
  </si>
  <si>
    <t>Herbs - Spegniticola trilobata , Melanstoma malabarica</t>
  </si>
  <si>
    <t xml:space="preserve">Weeds - Chromolaena odorata </t>
  </si>
  <si>
    <t xml:space="preserve">Bamboos -Ochlandra sp </t>
  </si>
  <si>
    <t xml:space="preserve">Shrubs - Ziziphus oenoplia , Acacia auriculiformis , Aporosa lindleyana </t>
  </si>
  <si>
    <t>Underwood species – Buchanania lanzan , Ixora brachiata , Cinnamomum sp</t>
  </si>
  <si>
    <t xml:space="preserve">Climbers -koliballi , Mussaenda frondosa </t>
  </si>
  <si>
    <t xml:space="preserve">NTFP yieding sps – Syzygium cumini , Caryota urens </t>
  </si>
  <si>
    <t>7m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</si>
  <si>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</si>
  <si>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</si>
  <si>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</si>
  <si>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</si>
  <si>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</si>
  <si>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</si>
  <si>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</si>
  <si>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Caryota urens, Syzygium cumini , Syzygium caryophyllateum , Macaranga peltata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</si>
  <si>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</si>
  <si>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</si>
  <si>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Humuans, microbes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</si>
  <si>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</si>
  <si>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</si>
  <si>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</si>
  <si>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Near by acacia plantation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</si>
  <si>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</si>
  <si>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</si>
  <si>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Acacia auriculiformis</t>
  </si>
  <si>
    <t>Terminalia paniculata</t>
  </si>
  <si>
    <t>Casuarina equisitifolia</t>
  </si>
  <si>
    <t>Careya arborea</t>
  </si>
  <si>
    <t>Mangifera indica</t>
  </si>
  <si>
    <t>Syzygium cumini</t>
  </si>
  <si>
    <t>Holigarna arnattiana</t>
  </si>
  <si>
    <t>Caryota urens</t>
  </si>
  <si>
    <t>Terminalia tomentosa</t>
  </si>
  <si>
    <t>Melanstoma malabarica</t>
  </si>
  <si>
    <t>Bambusa bambos</t>
  </si>
  <si>
    <t>Getonia floribunda</t>
  </si>
  <si>
    <t xml:space="preserve">Digiteria sp </t>
  </si>
  <si>
    <t xml:space="preserve">Themeda quadrivalvis </t>
  </si>
  <si>
    <t>Holarrhena antidysenterica</t>
  </si>
  <si>
    <t>Psychotria flavida</t>
  </si>
  <si>
    <t>Koliballi</t>
  </si>
  <si>
    <t>Rubia-cossinia chinensis</t>
  </si>
  <si>
    <t>Ziziphus oenoplia</t>
  </si>
  <si>
    <t>5.8kg</t>
  </si>
  <si>
    <t>8kg</t>
  </si>
  <si>
    <t>Buchanania lanzan</t>
  </si>
  <si>
    <t>Memecylon talbotianum</t>
  </si>
  <si>
    <t>Helicocarpus serratus</t>
  </si>
  <si>
    <t xml:space="preserve"> Garcinia indica</t>
  </si>
  <si>
    <t>Ixora brachiata</t>
  </si>
  <si>
    <t>Aporosa lindleyana</t>
  </si>
  <si>
    <t>Belthangady</t>
  </si>
  <si>
    <t xml:space="preserve">Laila Block Sec-4 </t>
  </si>
  <si>
    <t>II-26</t>
  </si>
  <si>
    <t>Tract - Hilly</t>
  </si>
  <si>
    <t>Aspect -Western</t>
  </si>
  <si>
    <t>Grasses - NIL</t>
  </si>
  <si>
    <t xml:space="preserve">Rattans –NIL </t>
  </si>
  <si>
    <t>NIL</t>
  </si>
  <si>
    <t>Texture- Sandy loam</t>
  </si>
  <si>
    <t>Depth- Deep</t>
  </si>
  <si>
    <t>72g</t>
  </si>
  <si>
    <t>680g</t>
  </si>
  <si>
    <t>420g</t>
  </si>
  <si>
    <t>60g</t>
  </si>
  <si>
    <t>160g</t>
  </si>
  <si>
    <t>180g</t>
  </si>
  <si>
    <t>Mangalore</t>
  </si>
  <si>
    <t>Paragi</t>
  </si>
  <si>
    <t>Nurukalu</t>
  </si>
  <si>
    <t>Matti</t>
  </si>
  <si>
    <t>Bhadrakshi</t>
  </si>
  <si>
    <t xml:space="preserve">Kokam </t>
  </si>
  <si>
    <t>Kumsa</t>
  </si>
  <si>
    <t>Gorbale</t>
  </si>
  <si>
    <t>Salle</t>
  </si>
  <si>
    <t>Nekkare</t>
  </si>
  <si>
    <t>Bidiru</t>
  </si>
  <si>
    <t>Helu kodsa</t>
  </si>
  <si>
    <t>seeds</t>
  </si>
  <si>
    <t>leaves</t>
  </si>
  <si>
    <t>leaves oil</t>
  </si>
  <si>
    <t>roots, bark</t>
  </si>
  <si>
    <t>flowers</t>
  </si>
  <si>
    <t>bark</t>
  </si>
  <si>
    <t>shoots</t>
  </si>
  <si>
    <t>fruits, leaves</t>
  </si>
  <si>
    <t>pods oil</t>
  </si>
  <si>
    <t>bark, leaves</t>
  </si>
  <si>
    <t>fruit pulp , seeds</t>
  </si>
  <si>
    <t>edible fruit,seeds</t>
  </si>
  <si>
    <t xml:space="preserve">Bark and roots </t>
  </si>
  <si>
    <t>pods</t>
  </si>
  <si>
    <t>oil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</si>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</sst>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299</v>
      </c>
    </row>
    <row r="6" spans="1:3" ht="39" customHeight="1" x14ac:dyDescent="0.25">
      <c r="A6" s="4">
        <v>2</v>
      </c>
      <c r="B6" s="51" t="s">
        <v>7</v>
      </c>
      <c r="C6" s="8" t="s">
        <v>300</v>
      </c>
    </row>
    <row r="7" spans="1:3" ht="39" customHeight="1" x14ac:dyDescent="0.25">
      <c r="A7" s="4">
        <v>3</v>
      </c>
      <c r="B7" s="51" t="s">
        <v>8</v>
      </c>
      <c r="C7" s="8" t="s">
        <v>301</v>
      </c>
    </row>
    <row r="8" spans="1:3" ht="39" customHeight="1" x14ac:dyDescent="0.25">
      <c r="A8" s="4">
        <v>4</v>
      </c>
      <c r="B8" s="51" t="s">
        <v>9</v>
      </c>
      <c r="C8" s="8">
        <v>6783</v>
      </c>
    </row>
    <row r="9" spans="1:3" ht="39" customHeight="1" x14ac:dyDescent="0.25">
      <c r="A9" s="4">
        <v>5</v>
      </c>
      <c r="B9" s="51" t="s">
        <v>10</v>
      </c>
      <c r="C9" s="9">
        <v>13.012943</v>
      </c>
    </row>
    <row r="10" spans="1:3" ht="39" customHeight="1" x14ac:dyDescent="0.25">
      <c r="A10" s="4">
        <v>6</v>
      </c>
      <c r="B10" s="51" t="s">
        <v>11</v>
      </c>
      <c r="C10" s="9">
        <v>75.257706999999996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302</v>
      </c>
    </row>
    <row r="14" spans="1:3" ht="32.25" customHeight="1" x14ac:dyDescent="0.25">
      <c r="A14" s="54"/>
      <c r="B14" s="55"/>
      <c r="C14" s="6" t="s">
        <v>303</v>
      </c>
    </row>
    <row r="15" spans="1:3" ht="32.25" customHeight="1" x14ac:dyDescent="0.25">
      <c r="A15" s="54"/>
      <c r="B15" s="55"/>
      <c r="C15" s="6" t="s">
        <v>245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304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249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251</v>
      </c>
    </row>
    <row r="23" spans="1:3" ht="63" customHeight="1" x14ac:dyDescent="0.25">
      <c r="A23" s="54"/>
      <c r="B23" s="55"/>
      <c r="C23" s="6" t="s">
        <v>252</v>
      </c>
    </row>
    <row r="24" spans="1:3" ht="63" customHeight="1" x14ac:dyDescent="0.25">
      <c r="A24" s="54"/>
      <c r="B24" s="55"/>
      <c r="C24" s="6" t="s">
        <v>305</v>
      </c>
    </row>
    <row r="25" spans="1:3" ht="63" customHeight="1" x14ac:dyDescent="0.25">
      <c r="A25" s="54"/>
      <c r="B25" s="55"/>
      <c r="C25" s="6" t="s">
        <v>253</v>
      </c>
    </row>
    <row r="26" spans="1:3" ht="49.5" customHeight="1" x14ac:dyDescent="0.25">
      <c r="A26" s="4">
        <v>10</v>
      </c>
      <c r="B26" s="51" t="s">
        <v>15</v>
      </c>
      <c r="C26" s="6" t="s">
        <v>306</v>
      </c>
    </row>
    <row r="27" spans="1:3" ht="53.25" customHeight="1" x14ac:dyDescent="0.25">
      <c r="A27" s="4">
        <v>11</v>
      </c>
      <c r="B27" s="51" t="s">
        <v>16</v>
      </c>
      <c r="C27" s="6" t="s">
        <v>306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315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/>
    </row>
    <row r="6" spans="1:3" ht="32.25" customHeight="1" x14ac:dyDescent="0.25">
      <c r="A6" s="11">
        <v>2</v>
      </c>
      <c r="B6" s="52" t="s">
        <v>224</v>
      </c>
      <c r="C6" s="20" t="str">
        <f>'Form 1'!C5</f>
        <v>Belthangady</v>
      </c>
    </row>
    <row r="7" spans="1:3" ht="32.25" customHeight="1" x14ac:dyDescent="0.25">
      <c r="A7" s="11">
        <v>3</v>
      </c>
      <c r="B7" s="52" t="s">
        <v>220</v>
      </c>
      <c r="C7" s="20"/>
    </row>
    <row r="8" spans="1:3" ht="32.25" customHeight="1" x14ac:dyDescent="0.25">
      <c r="A8" s="11">
        <v>4</v>
      </c>
      <c r="B8" s="52" t="s">
        <v>9</v>
      </c>
      <c r="C8" s="20" t="str">
        <f>'Form 1'!C6</f>
        <v xml:space="preserve">Laila Block Sec-4 </v>
      </c>
    </row>
    <row r="9" spans="1:3" ht="32.25" customHeight="1" x14ac:dyDescent="0.25">
      <c r="A9" s="11">
        <v>5</v>
      </c>
      <c r="B9" s="52" t="s">
        <v>20</v>
      </c>
      <c r="C9" s="21">
        <f>'Form 1'!C8</f>
        <v>6783</v>
      </c>
    </row>
    <row r="10" spans="1:3" ht="32.25" customHeight="1" x14ac:dyDescent="0.25">
      <c r="A10" s="11">
        <v>6</v>
      </c>
      <c r="B10" s="52" t="s">
        <v>21</v>
      </c>
      <c r="C10" s="21">
        <f>'Form 1'!C9</f>
        <v>13.012943</v>
      </c>
    </row>
    <row r="11" spans="1:3" ht="32.25" customHeight="1" x14ac:dyDescent="0.25">
      <c r="A11" s="11">
        <v>7</v>
      </c>
      <c r="B11" s="52" t="s">
        <v>22</v>
      </c>
      <c r="C11" s="20">
        <f>'Form 1'!C10</f>
        <v>75.257706999999996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307</v>
      </c>
    </row>
    <row r="19" spans="1:3" ht="30.75" customHeight="1" x14ac:dyDescent="0.25">
      <c r="A19" s="57"/>
      <c r="B19" s="58"/>
      <c r="C19" s="22" t="s">
        <v>308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262</v>
      </c>
    </row>
    <row r="23" spans="1:3" ht="15.75" x14ac:dyDescent="0.25">
      <c r="A23" s="11">
        <v>17</v>
      </c>
      <c r="B23" s="52" t="s">
        <v>221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265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306</v>
      </c>
    </row>
    <row r="31" spans="1:3" ht="72.75" customHeight="1" x14ac:dyDescent="0.25">
      <c r="A31" s="11">
        <v>25</v>
      </c>
      <c r="B31" s="52" t="s">
        <v>40</v>
      </c>
      <c r="C31" s="22" t="s">
        <v>269</v>
      </c>
    </row>
    <row r="32" spans="1:3" ht="60" customHeight="1" x14ac:dyDescent="0.25">
      <c r="A32" s="11">
        <v>26</v>
      </c>
      <c r="B32" s="52" t="s">
        <v>41</v>
      </c>
      <c r="C32" s="22" t="s">
        <v>306</v>
      </c>
    </row>
    <row r="33" spans="1:3" ht="60" customHeight="1" x14ac:dyDescent="0.25">
      <c r="A33" s="11">
        <v>27</v>
      </c>
      <c r="B33" s="52" t="s">
        <v>42</v>
      </c>
      <c r="C33" s="20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306</v>
      </c>
    </row>
    <row r="35" spans="1:3" ht="59.25" customHeight="1" x14ac:dyDescent="0.25">
      <c r="A35" s="11">
        <v>29</v>
      </c>
      <c r="B35" s="52" t="s">
        <v>44</v>
      </c>
      <c r="C35" s="22" t="s">
        <v>306</v>
      </c>
    </row>
    <row r="36" spans="1:3" ht="66" customHeight="1" x14ac:dyDescent="0.25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view="pageBreakPreview" topLeftCell="A26" zoomScale="60" zoomScaleNormal="70" workbookViewId="0">
      <selection activeCell="O41" sqref="O4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38</v>
      </c>
      <c r="E12" s="24"/>
      <c r="F12" s="24"/>
      <c r="G12" s="24"/>
      <c r="H12" s="24"/>
      <c r="I12" s="24">
        <v>3</v>
      </c>
      <c r="J12" s="24">
        <v>3.5</v>
      </c>
      <c r="K12" s="24">
        <f>L12+M12+R12</f>
        <v>12</v>
      </c>
      <c r="L12" s="24">
        <v>2</v>
      </c>
      <c r="M12" s="24">
        <v>3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40" si="0">ROW()-11</f>
        <v>2</v>
      </c>
      <c r="B13" s="24" t="s">
        <v>272</v>
      </c>
      <c r="C13" s="24"/>
      <c r="D13" s="24">
        <v>39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40" si="1">L13+M13+R13</f>
        <v>9</v>
      </c>
      <c r="L13" s="24">
        <v>3</v>
      </c>
      <c r="M13" s="24">
        <v>2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42</v>
      </c>
      <c r="E14" s="24"/>
      <c r="F14" s="24"/>
      <c r="G14" s="24"/>
      <c r="H14" s="24"/>
      <c r="I14" s="24">
        <v>3</v>
      </c>
      <c r="J14" s="24">
        <v>3.5</v>
      </c>
      <c r="K14" s="24">
        <f t="shared" si="1"/>
        <v>8</v>
      </c>
      <c r="L14" s="24">
        <v>2</v>
      </c>
      <c r="M14" s="24">
        <v>1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273</v>
      </c>
      <c r="C15" s="24"/>
      <c r="D15" s="24">
        <v>44</v>
      </c>
      <c r="E15" s="24"/>
      <c r="F15" s="24"/>
      <c r="G15" s="24"/>
      <c r="H15" s="24"/>
      <c r="I15" s="24">
        <v>3</v>
      </c>
      <c r="J15" s="24">
        <v>3.5</v>
      </c>
      <c r="K15" s="24">
        <f t="shared" si="1"/>
        <v>5.5</v>
      </c>
      <c r="L15" s="24">
        <v>2</v>
      </c>
      <c r="M15" s="24">
        <v>1.5</v>
      </c>
      <c r="N15" s="24"/>
      <c r="O15" s="24"/>
      <c r="P15" s="24"/>
      <c r="Q15" s="24"/>
      <c r="R15" s="24">
        <v>2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273</v>
      </c>
      <c r="C16" s="24"/>
      <c r="D16" s="24">
        <v>34</v>
      </c>
      <c r="E16" s="24"/>
      <c r="F16" s="24"/>
      <c r="G16" s="24"/>
      <c r="H16" s="24"/>
      <c r="I16" s="24">
        <v>4</v>
      </c>
      <c r="J16" s="24">
        <v>3.5</v>
      </c>
      <c r="K16" s="24">
        <f t="shared" si="1"/>
        <v>5.5</v>
      </c>
      <c r="L16" s="24">
        <v>1</v>
      </c>
      <c r="M16" s="24">
        <v>1.5</v>
      </c>
      <c r="N16" s="24"/>
      <c r="O16" s="24"/>
      <c r="P16" s="24"/>
      <c r="Q16" s="24"/>
      <c r="R16" s="24">
        <v>3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31</v>
      </c>
      <c r="E17" s="24"/>
      <c r="F17" s="24"/>
      <c r="G17" s="24"/>
      <c r="H17" s="24"/>
      <c r="I17" s="24">
        <v>2</v>
      </c>
      <c r="J17" s="24">
        <v>2.5</v>
      </c>
      <c r="K17" s="24">
        <f t="shared" si="1"/>
        <v>5</v>
      </c>
      <c r="L17" s="24">
        <v>1.5</v>
      </c>
      <c r="M17" s="24">
        <v>1</v>
      </c>
      <c r="N17" s="24"/>
      <c r="O17" s="24"/>
      <c r="P17" s="24"/>
      <c r="Q17" s="24"/>
      <c r="R17" s="24">
        <v>2.5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272</v>
      </c>
      <c r="C18" s="24"/>
      <c r="D18" s="24">
        <v>33</v>
      </c>
      <c r="E18" s="24"/>
      <c r="F18" s="24"/>
      <c r="G18" s="24"/>
      <c r="H18" s="24"/>
      <c r="I18" s="24">
        <v>2</v>
      </c>
      <c r="J18" s="24">
        <v>2</v>
      </c>
      <c r="K18" s="24">
        <f t="shared" si="1"/>
        <v>8</v>
      </c>
      <c r="L18" s="24">
        <v>2</v>
      </c>
      <c r="M18" s="24">
        <v>2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43</v>
      </c>
      <c r="E19" s="24"/>
      <c r="F19" s="24"/>
      <c r="G19" s="24"/>
      <c r="H19" s="24"/>
      <c r="I19" s="24">
        <v>3</v>
      </c>
      <c r="J19" s="24">
        <v>2</v>
      </c>
      <c r="K19" s="24">
        <f t="shared" si="1"/>
        <v>9.5</v>
      </c>
      <c r="L19" s="24">
        <v>3</v>
      </c>
      <c r="M19" s="24">
        <v>2</v>
      </c>
      <c r="N19" s="24"/>
      <c r="O19" s="24"/>
      <c r="P19" s="24"/>
      <c r="Q19" s="24"/>
      <c r="R19" s="24">
        <v>4.5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272</v>
      </c>
      <c r="C20" s="24"/>
      <c r="D20" s="24">
        <v>32</v>
      </c>
      <c r="E20" s="24"/>
      <c r="F20" s="24"/>
      <c r="G20" s="24"/>
      <c r="H20" s="24"/>
      <c r="I20" s="24">
        <v>2</v>
      </c>
      <c r="J20" s="24">
        <v>3</v>
      </c>
      <c r="K20" s="24">
        <f t="shared" si="1"/>
        <v>8</v>
      </c>
      <c r="L20" s="24">
        <v>2.5</v>
      </c>
      <c r="M20" s="24">
        <v>1</v>
      </c>
      <c r="N20" s="24"/>
      <c r="O20" s="24"/>
      <c r="P20" s="24"/>
      <c r="Q20" s="24"/>
      <c r="R20" s="24">
        <v>4.5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43</v>
      </c>
      <c r="E21" s="24"/>
      <c r="F21" s="24"/>
      <c r="G21" s="24"/>
      <c r="H21" s="24"/>
      <c r="I21" s="24">
        <v>2.5</v>
      </c>
      <c r="J21" s="24">
        <v>3.5</v>
      </c>
      <c r="K21" s="24">
        <f t="shared" si="1"/>
        <v>9</v>
      </c>
      <c r="L21" s="24">
        <v>4</v>
      </c>
      <c r="M21" s="24">
        <v>3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272</v>
      </c>
      <c r="C22" s="24"/>
      <c r="D22" s="24">
        <v>36</v>
      </c>
      <c r="E22" s="24"/>
      <c r="F22" s="24"/>
      <c r="G22" s="24"/>
      <c r="H22" s="24"/>
      <c r="I22" s="24">
        <v>3</v>
      </c>
      <c r="J22" s="24">
        <v>3.5</v>
      </c>
      <c r="K22" s="24">
        <f t="shared" si="1"/>
        <v>9</v>
      </c>
      <c r="L22" s="24">
        <v>2</v>
      </c>
      <c r="M22" s="24">
        <v>2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37</v>
      </c>
      <c r="E23" s="24"/>
      <c r="F23" s="24"/>
      <c r="G23" s="24"/>
      <c r="H23" s="24"/>
      <c r="I23" s="24">
        <v>4</v>
      </c>
      <c r="J23" s="24">
        <v>3.5</v>
      </c>
      <c r="K23" s="24">
        <f t="shared" si="1"/>
        <v>9</v>
      </c>
      <c r="L23" s="24">
        <v>3</v>
      </c>
      <c r="M23" s="24">
        <v>2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275</v>
      </c>
      <c r="C24" s="24"/>
      <c r="D24" s="24">
        <v>85</v>
      </c>
      <c r="E24" s="24"/>
      <c r="F24" s="24"/>
      <c r="G24" s="24"/>
      <c r="H24" s="24"/>
      <c r="I24" s="24">
        <v>4.5</v>
      </c>
      <c r="J24" s="24">
        <v>5</v>
      </c>
      <c r="K24" s="24">
        <f t="shared" si="1"/>
        <v>9.5</v>
      </c>
      <c r="L24" s="24">
        <v>3</v>
      </c>
      <c r="M24" s="24">
        <v>3</v>
      </c>
      <c r="N24" s="24"/>
      <c r="O24" s="24"/>
      <c r="P24" s="24"/>
      <c r="Q24" s="24"/>
      <c r="R24" s="24">
        <v>3.5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64</v>
      </c>
      <c r="E25" s="24"/>
      <c r="F25" s="24"/>
      <c r="G25" s="24"/>
      <c r="H25" s="24"/>
      <c r="I25" s="24">
        <v>3</v>
      </c>
      <c r="J25" s="24">
        <v>4</v>
      </c>
      <c r="K25" s="24">
        <f t="shared" si="1"/>
        <v>8</v>
      </c>
      <c r="L25" s="24">
        <v>2</v>
      </c>
      <c r="M25" s="24">
        <v>3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112</v>
      </c>
      <c r="E26" s="24"/>
      <c r="F26" s="24"/>
      <c r="G26" s="24"/>
      <c r="H26" s="24"/>
      <c r="I26" s="24">
        <v>5</v>
      </c>
      <c r="J26" s="24">
        <v>4</v>
      </c>
      <c r="K26" s="24">
        <f t="shared" si="1"/>
        <v>10</v>
      </c>
      <c r="L26" s="24">
        <v>6</v>
      </c>
      <c r="M26" s="24">
        <v>2</v>
      </c>
      <c r="N26" s="24"/>
      <c r="O26" s="24"/>
      <c r="P26" s="24"/>
      <c r="Q26" s="24"/>
      <c r="R26" s="24">
        <v>2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277</v>
      </c>
      <c r="C27" s="24"/>
      <c r="D27" s="24">
        <v>153</v>
      </c>
      <c r="E27" s="24"/>
      <c r="F27" s="24"/>
      <c r="G27" s="24"/>
      <c r="H27" s="24"/>
      <c r="I27" s="24">
        <v>6</v>
      </c>
      <c r="J27" s="24">
        <v>4.5</v>
      </c>
      <c r="K27" s="24">
        <f t="shared" si="1"/>
        <v>9</v>
      </c>
      <c r="L27" s="24">
        <v>5</v>
      </c>
      <c r="M27" s="24">
        <v>2</v>
      </c>
      <c r="N27" s="24"/>
      <c r="O27" s="24"/>
      <c r="P27" s="24"/>
      <c r="Q27" s="24"/>
      <c r="R27" s="24">
        <v>2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278</v>
      </c>
      <c r="C28" s="24"/>
      <c r="D28" s="24">
        <v>36</v>
      </c>
      <c r="E28" s="24"/>
      <c r="F28" s="24"/>
      <c r="G28" s="24"/>
      <c r="H28" s="24"/>
      <c r="I28" s="24">
        <v>3</v>
      </c>
      <c r="J28" s="24">
        <v>3.5</v>
      </c>
      <c r="K28" s="24">
        <f t="shared" si="1"/>
        <v>9</v>
      </c>
      <c r="L28" s="24">
        <v>2</v>
      </c>
      <c r="M28" s="24">
        <v>1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273</v>
      </c>
      <c r="C29" s="24"/>
      <c r="D29" s="24">
        <v>32</v>
      </c>
      <c r="E29" s="24"/>
      <c r="F29" s="24"/>
      <c r="G29" s="24"/>
      <c r="H29" s="24"/>
      <c r="I29" s="24">
        <v>3</v>
      </c>
      <c r="J29" s="24">
        <v>3.5</v>
      </c>
      <c r="K29" s="24">
        <f t="shared" si="1"/>
        <v>4.5</v>
      </c>
      <c r="L29" s="24">
        <v>1.5</v>
      </c>
      <c r="M29" s="24">
        <v>1</v>
      </c>
      <c r="N29" s="24"/>
      <c r="O29" s="24"/>
      <c r="P29" s="24"/>
      <c r="Q29" s="24"/>
      <c r="R29" s="24">
        <v>2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275</v>
      </c>
      <c r="C30" s="24"/>
      <c r="D30" s="24">
        <v>38</v>
      </c>
      <c r="E30" s="24"/>
      <c r="F30" s="24"/>
      <c r="G30" s="24"/>
      <c r="H30" s="24"/>
      <c r="I30" s="24">
        <v>4</v>
      </c>
      <c r="J30" s="24">
        <v>4.5</v>
      </c>
      <c r="K30" s="24">
        <f t="shared" si="1"/>
        <v>10</v>
      </c>
      <c r="L30" s="24">
        <v>2</v>
      </c>
      <c r="M30" s="24">
        <v>3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279</v>
      </c>
      <c r="C31" s="24"/>
      <c r="D31" s="24">
        <v>102</v>
      </c>
      <c r="E31" s="24"/>
      <c r="F31" s="24"/>
      <c r="G31" s="24"/>
      <c r="H31" s="24"/>
      <c r="I31" s="24">
        <v>6</v>
      </c>
      <c r="J31" s="24">
        <v>6.5</v>
      </c>
      <c r="K31" s="24">
        <f t="shared" si="1"/>
        <v>10.5</v>
      </c>
      <c r="L31" s="24">
        <v>1.5</v>
      </c>
      <c r="M31" s="24">
        <v>1</v>
      </c>
      <c r="N31" s="24"/>
      <c r="O31" s="24"/>
      <c r="P31" s="24"/>
      <c r="Q31" s="24"/>
      <c r="R31" s="24">
        <v>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280</v>
      </c>
      <c r="C32" s="24"/>
      <c r="D32" s="24">
        <v>58</v>
      </c>
      <c r="E32" s="24"/>
      <c r="F32" s="24"/>
      <c r="G32" s="24"/>
      <c r="H32" s="24"/>
      <c r="I32" s="24">
        <v>4</v>
      </c>
      <c r="J32" s="24">
        <v>5.5</v>
      </c>
      <c r="K32" s="24">
        <f t="shared" si="1"/>
        <v>10.5</v>
      </c>
      <c r="L32" s="24">
        <v>2.5</v>
      </c>
      <c r="M32" s="24">
        <v>3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272</v>
      </c>
      <c r="C33" s="24"/>
      <c r="D33" s="24">
        <v>34</v>
      </c>
      <c r="E33" s="24"/>
      <c r="F33" s="24"/>
      <c r="G33" s="24"/>
      <c r="H33" s="24"/>
      <c r="I33" s="24">
        <v>3</v>
      </c>
      <c r="J33" s="24">
        <v>3.5</v>
      </c>
      <c r="K33" s="24">
        <f t="shared" si="1"/>
        <v>9.5</v>
      </c>
      <c r="L33" s="24">
        <v>3</v>
      </c>
      <c r="M33" s="24">
        <v>2</v>
      </c>
      <c r="N33" s="24"/>
      <c r="O33" s="24"/>
      <c r="P33" s="24"/>
      <c r="Q33" s="24"/>
      <c r="R33" s="24">
        <v>4.5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272</v>
      </c>
      <c r="C34" s="24"/>
      <c r="D34" s="24">
        <v>56</v>
      </c>
      <c r="E34" s="24"/>
      <c r="F34" s="24"/>
      <c r="G34" s="24"/>
      <c r="H34" s="24"/>
      <c r="I34" s="24">
        <v>4</v>
      </c>
      <c r="J34" s="24">
        <v>3.5</v>
      </c>
      <c r="K34" s="24">
        <f t="shared" si="1"/>
        <v>10</v>
      </c>
      <c r="L34" s="24">
        <v>2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272</v>
      </c>
      <c r="C35" s="24"/>
      <c r="D35" s="24">
        <v>32</v>
      </c>
      <c r="E35" s="24"/>
      <c r="F35" s="24"/>
      <c r="G35" s="24"/>
      <c r="H35" s="24"/>
      <c r="I35" s="24">
        <v>3</v>
      </c>
      <c r="J35" s="24">
        <v>3.5</v>
      </c>
      <c r="K35" s="24">
        <f t="shared" si="1"/>
        <v>9</v>
      </c>
      <c r="L35" s="24">
        <v>3</v>
      </c>
      <c r="M35" s="24">
        <v>2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273</v>
      </c>
      <c r="C36" s="24"/>
      <c r="D36" s="24">
        <v>46</v>
      </c>
      <c r="E36" s="24"/>
      <c r="F36" s="24"/>
      <c r="G36" s="24"/>
      <c r="H36" s="24"/>
      <c r="I36" s="24">
        <v>4</v>
      </c>
      <c r="J36" s="24">
        <v>4.5</v>
      </c>
      <c r="K36" s="24">
        <f t="shared" si="1"/>
        <v>6</v>
      </c>
      <c r="L36" s="24">
        <v>2</v>
      </c>
      <c r="M36" s="24">
        <v>2</v>
      </c>
      <c r="N36" s="24"/>
      <c r="O36" s="24"/>
      <c r="P36" s="24"/>
      <c r="Q36" s="24"/>
      <c r="R36" s="24">
        <v>2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272</v>
      </c>
      <c r="C37" s="24"/>
      <c r="D37" s="24">
        <v>32</v>
      </c>
      <c r="E37" s="24"/>
      <c r="F37" s="24"/>
      <c r="G37" s="24"/>
      <c r="H37" s="24"/>
      <c r="I37" s="24">
        <v>3</v>
      </c>
      <c r="J37" s="24">
        <v>3.5</v>
      </c>
      <c r="K37" s="24">
        <f t="shared" si="1"/>
        <v>10</v>
      </c>
      <c r="L37" s="24">
        <v>2</v>
      </c>
      <c r="M37" s="24">
        <v>1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272</v>
      </c>
      <c r="C38" s="24"/>
      <c r="D38" s="24">
        <v>35</v>
      </c>
      <c r="E38" s="24"/>
      <c r="F38" s="24"/>
      <c r="G38" s="24"/>
      <c r="H38" s="24"/>
      <c r="I38" s="24">
        <v>3</v>
      </c>
      <c r="J38" s="24">
        <v>3.5</v>
      </c>
      <c r="K38" s="24">
        <f t="shared" si="1"/>
        <v>9</v>
      </c>
      <c r="L38" s="24">
        <v>2</v>
      </c>
      <c r="M38" s="24">
        <v>1</v>
      </c>
      <c r="N38" s="24"/>
      <c r="O38" s="24"/>
      <c r="P38" s="24"/>
      <c r="Q38" s="24"/>
      <c r="R38" s="24">
        <v>6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272</v>
      </c>
      <c r="C39" s="24"/>
      <c r="D39" s="24">
        <v>31</v>
      </c>
      <c r="E39" s="24"/>
      <c r="F39" s="24"/>
      <c r="G39" s="24"/>
      <c r="H39" s="24"/>
      <c r="I39" s="24">
        <v>3</v>
      </c>
      <c r="J39" s="24">
        <v>3.5</v>
      </c>
      <c r="K39" s="24">
        <f t="shared" si="1"/>
        <v>7.5</v>
      </c>
      <c r="L39" s="24">
        <v>2</v>
      </c>
      <c r="M39" s="24">
        <v>1</v>
      </c>
      <c r="N39" s="24"/>
      <c r="O39" s="24"/>
      <c r="P39" s="24"/>
      <c r="Q39" s="24"/>
      <c r="R39" s="24">
        <v>4.5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272</v>
      </c>
      <c r="C40" s="24"/>
      <c r="D40" s="24">
        <v>34</v>
      </c>
      <c r="E40" s="24"/>
      <c r="F40" s="24"/>
      <c r="G40" s="24"/>
      <c r="H40" s="24"/>
      <c r="I40" s="24">
        <v>3</v>
      </c>
      <c r="J40" s="24">
        <v>3.5</v>
      </c>
      <c r="K40" s="24">
        <f t="shared" si="1"/>
        <v>9</v>
      </c>
      <c r="L40" s="24">
        <v>2</v>
      </c>
      <c r="M40" s="24">
        <v>1</v>
      </c>
      <c r="N40" s="24"/>
      <c r="O40" s="24"/>
      <c r="P40" s="24"/>
      <c r="Q40" s="24"/>
      <c r="R40" s="24">
        <v>6</v>
      </c>
      <c r="S40" s="24"/>
      <c r="T40" s="24"/>
    </row>
    <row r="41" spans="1:20" ht="40.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spans="1:20" ht="40.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G5" sqref="G5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272</v>
      </c>
      <c r="C5" s="12"/>
      <c r="D5" s="12">
        <v>7</v>
      </c>
      <c r="E5" s="12">
        <v>6</v>
      </c>
      <c r="F5" s="12" t="s">
        <v>340</v>
      </c>
      <c r="G5" s="12">
        <f>D5*E5</f>
        <v>42</v>
      </c>
      <c r="H5" s="12"/>
    </row>
    <row r="6" spans="1:8" ht="29.25" customHeight="1" x14ac:dyDescent="0.25">
      <c r="A6" s="11">
        <v>2</v>
      </c>
      <c r="B6" s="12" t="s">
        <v>290</v>
      </c>
      <c r="C6" s="12" t="s">
        <v>316</v>
      </c>
      <c r="D6" s="12">
        <v>3</v>
      </c>
      <c r="E6" s="12">
        <v>2.5</v>
      </c>
      <c r="F6" s="12" t="s">
        <v>342</v>
      </c>
      <c r="G6" s="12">
        <f>D6*E6</f>
        <v>7.5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312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313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314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2">
        <f t="shared" ref="G37:G41" si="0">D37*E37</f>
        <v>0</v>
      </c>
      <c r="H37" s="78"/>
    </row>
    <row r="38" spans="1:8" ht="36" customHeight="1" x14ac:dyDescent="0.25">
      <c r="A38" s="11">
        <v>1</v>
      </c>
      <c r="B38" s="18" t="s">
        <v>272</v>
      </c>
      <c r="C38" s="18"/>
      <c r="D38" s="18">
        <v>4</v>
      </c>
      <c r="E38" s="18">
        <v>4</v>
      </c>
      <c r="F38" s="18" t="s">
        <v>340</v>
      </c>
      <c r="G38" s="12">
        <f t="shared" si="0"/>
        <v>16</v>
      </c>
      <c r="H38" s="18"/>
    </row>
    <row r="39" spans="1:8" ht="36" customHeight="1" x14ac:dyDescent="0.25">
      <c r="A39" s="11">
        <v>2</v>
      </c>
      <c r="B39" s="18" t="s">
        <v>272</v>
      </c>
      <c r="C39" s="18"/>
      <c r="D39" s="18">
        <v>5</v>
      </c>
      <c r="E39" s="18">
        <v>4</v>
      </c>
      <c r="F39" s="18" t="s">
        <v>341</v>
      </c>
      <c r="G39" s="12">
        <f t="shared" si="0"/>
        <v>20</v>
      </c>
      <c r="H39" s="18"/>
    </row>
    <row r="40" spans="1:8" ht="36" customHeight="1" x14ac:dyDescent="0.25">
      <c r="A40" s="11">
        <v>3</v>
      </c>
      <c r="B40" s="18" t="s">
        <v>272</v>
      </c>
      <c r="C40" s="18"/>
      <c r="D40" s="18">
        <v>7</v>
      </c>
      <c r="E40" s="18">
        <v>6</v>
      </c>
      <c r="F40" s="18"/>
      <c r="G40" s="12">
        <f t="shared" si="0"/>
        <v>42</v>
      </c>
      <c r="H40" s="18"/>
    </row>
    <row r="41" spans="1:8" ht="36" customHeight="1" x14ac:dyDescent="0.25">
      <c r="A41" s="11">
        <v>4</v>
      </c>
      <c r="B41" s="18" t="s">
        <v>272</v>
      </c>
      <c r="C41" s="18"/>
      <c r="D41" s="18">
        <v>3</v>
      </c>
      <c r="E41" s="18">
        <v>6</v>
      </c>
      <c r="F41" s="18"/>
      <c r="G41" s="12">
        <f t="shared" si="0"/>
        <v>18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309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310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311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293</v>
      </c>
      <c r="C69" s="11" t="s">
        <v>317</v>
      </c>
      <c r="D69" s="11">
        <v>4</v>
      </c>
      <c r="E69" s="11">
        <v>2.5</v>
      </c>
      <c r="F69" s="11" t="s">
        <v>336</v>
      </c>
      <c r="G69" s="12">
        <f t="shared" ref="G69:G72" si="1">D69*E69</f>
        <v>10</v>
      </c>
      <c r="H69" s="11"/>
    </row>
    <row r="70" spans="1:8" s="28" customFormat="1" ht="41.25" customHeight="1" x14ac:dyDescent="0.25">
      <c r="A70" s="11">
        <v>2</v>
      </c>
      <c r="B70" s="40" t="s">
        <v>273</v>
      </c>
      <c r="C70" s="11" t="s">
        <v>318</v>
      </c>
      <c r="D70" s="11">
        <v>2.5</v>
      </c>
      <c r="E70" s="11">
        <v>2</v>
      </c>
      <c r="F70" s="11" t="s">
        <v>337</v>
      </c>
      <c r="G70" s="12">
        <f t="shared" si="1"/>
        <v>5</v>
      </c>
      <c r="H70" s="11"/>
    </row>
    <row r="71" spans="1:8" s="28" customFormat="1" ht="41.25" customHeight="1" x14ac:dyDescent="0.25">
      <c r="A71" s="11">
        <v>3</v>
      </c>
      <c r="B71" s="40" t="s">
        <v>294</v>
      </c>
      <c r="C71" s="11"/>
      <c r="D71" s="11">
        <v>3</v>
      </c>
      <c r="E71" s="11">
        <v>2</v>
      </c>
      <c r="F71" s="11" t="s">
        <v>338</v>
      </c>
      <c r="G71" s="12">
        <f t="shared" si="1"/>
        <v>6</v>
      </c>
      <c r="H71" s="11"/>
    </row>
    <row r="72" spans="1:8" s="28" customFormat="1" ht="41.25" customHeight="1" x14ac:dyDescent="0.25">
      <c r="A72" s="11">
        <v>4</v>
      </c>
      <c r="B72" s="40" t="s">
        <v>295</v>
      </c>
      <c r="C72" s="11" t="s">
        <v>319</v>
      </c>
      <c r="D72" s="11">
        <v>5</v>
      </c>
      <c r="E72" s="11">
        <v>3</v>
      </c>
      <c r="F72" s="88" t="s">
        <v>339</v>
      </c>
      <c r="G72" s="12">
        <f t="shared" si="1"/>
        <v>15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296</v>
      </c>
      <c r="C96" s="11" t="s">
        <v>320</v>
      </c>
      <c r="D96" s="41">
        <v>2</v>
      </c>
      <c r="E96" s="42">
        <v>3.5</v>
      </c>
      <c r="F96" s="23" t="s">
        <v>334</v>
      </c>
      <c r="G96" s="12">
        <f t="shared" ref="G96:G100" si="2">D96*E96</f>
        <v>7</v>
      </c>
      <c r="H96" s="23"/>
    </row>
    <row r="97" spans="1:8" s="28" customFormat="1" ht="39" customHeight="1" x14ac:dyDescent="0.25">
      <c r="A97" s="41">
        <v>2</v>
      </c>
      <c r="B97" s="40" t="s">
        <v>283</v>
      </c>
      <c r="C97" s="11" t="s">
        <v>321</v>
      </c>
      <c r="D97" s="41">
        <v>4</v>
      </c>
      <c r="E97" s="42">
        <v>1.5</v>
      </c>
      <c r="F97" s="23" t="s">
        <v>331</v>
      </c>
      <c r="G97" s="12">
        <f t="shared" si="2"/>
        <v>6</v>
      </c>
      <c r="H97" s="23"/>
    </row>
    <row r="98" spans="1:8" s="28" customFormat="1" ht="39" customHeight="1" x14ac:dyDescent="0.25">
      <c r="A98" s="41">
        <v>3</v>
      </c>
      <c r="B98" s="40" t="s">
        <v>297</v>
      </c>
      <c r="C98" s="11" t="s">
        <v>322</v>
      </c>
      <c r="D98" s="41">
        <v>5</v>
      </c>
      <c r="E98" s="42">
        <v>3</v>
      </c>
      <c r="F98" s="23" t="s">
        <v>331</v>
      </c>
      <c r="G98" s="12">
        <f t="shared" si="2"/>
        <v>15</v>
      </c>
      <c r="H98" s="23"/>
    </row>
    <row r="99" spans="1:8" s="28" customFormat="1" ht="39" customHeight="1" x14ac:dyDescent="0.25">
      <c r="A99" s="41">
        <v>4</v>
      </c>
      <c r="B99" s="40" t="s">
        <v>272</v>
      </c>
      <c r="C99" s="11"/>
      <c r="D99" s="41">
        <v>5</v>
      </c>
      <c r="E99" s="42">
        <v>4</v>
      </c>
      <c r="F99" s="23" t="s">
        <v>335</v>
      </c>
      <c r="G99" s="12">
        <f t="shared" si="2"/>
        <v>20</v>
      </c>
      <c r="H99" s="23"/>
    </row>
    <row r="100" spans="1:8" s="28" customFormat="1" ht="39" customHeight="1" x14ac:dyDescent="0.25">
      <c r="A100" s="41">
        <v>5</v>
      </c>
      <c r="B100" s="40" t="s">
        <v>298</v>
      </c>
      <c r="C100" s="11" t="s">
        <v>323</v>
      </c>
      <c r="D100" s="41">
        <v>5</v>
      </c>
      <c r="E100" s="42">
        <v>4</v>
      </c>
      <c r="F100" s="23" t="s">
        <v>327</v>
      </c>
      <c r="G100" s="12">
        <f t="shared" si="2"/>
        <v>20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B1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281</v>
      </c>
      <c r="C6" s="45" t="s">
        <v>324</v>
      </c>
      <c r="D6" s="18">
        <v>40</v>
      </c>
      <c r="E6" s="18" t="s">
        <v>332</v>
      </c>
      <c r="F6" s="18">
        <f>0.05*(D6)*(D6)</f>
        <v>80</v>
      </c>
      <c r="G6" s="18"/>
    </row>
    <row r="7" spans="1:7" ht="45.6" customHeight="1" x14ac:dyDescent="0.25">
      <c r="A7" s="11">
        <v>2</v>
      </c>
      <c r="B7" s="18" t="s">
        <v>282</v>
      </c>
      <c r="C7" s="45" t="s">
        <v>325</v>
      </c>
      <c r="D7" s="18">
        <v>32</v>
      </c>
      <c r="E7" s="18" t="s">
        <v>333</v>
      </c>
      <c r="F7" s="18">
        <f t="shared" ref="F7:F11" si="0">0.05*(D7)*(D7)</f>
        <v>51.2</v>
      </c>
      <c r="G7" s="18"/>
    </row>
    <row r="8" spans="1:7" ht="45.6" customHeight="1" x14ac:dyDescent="0.25">
      <c r="A8" s="11">
        <v>3</v>
      </c>
      <c r="B8" s="18" t="s">
        <v>283</v>
      </c>
      <c r="C8" s="45" t="s">
        <v>321</v>
      </c>
      <c r="D8" s="18">
        <v>22</v>
      </c>
      <c r="E8" s="18" t="s">
        <v>331</v>
      </c>
      <c r="F8" s="18">
        <f t="shared" si="0"/>
        <v>24.200000000000003</v>
      </c>
      <c r="G8" s="18"/>
    </row>
    <row r="9" spans="1:7" ht="45.6" customHeight="1" x14ac:dyDescent="0.25">
      <c r="A9" s="11">
        <v>4</v>
      </c>
      <c r="B9" s="18" t="s">
        <v>284</v>
      </c>
      <c r="C9" s="45"/>
      <c r="D9" s="18">
        <v>27</v>
      </c>
      <c r="E9" s="18"/>
      <c r="F9" s="18">
        <f t="shared" si="0"/>
        <v>36.450000000000003</v>
      </c>
      <c r="G9" s="18"/>
    </row>
    <row r="10" spans="1:7" ht="45.6" customHeight="1" x14ac:dyDescent="0.25">
      <c r="A10" s="11">
        <v>5</v>
      </c>
      <c r="B10" s="18" t="s">
        <v>285</v>
      </c>
      <c r="C10" s="45"/>
      <c r="D10" s="18">
        <v>65</v>
      </c>
      <c r="E10" s="18" t="s">
        <v>329</v>
      </c>
      <c r="F10" s="18">
        <f t="shared" si="0"/>
        <v>211.25</v>
      </c>
      <c r="G10" s="18"/>
    </row>
    <row r="11" spans="1:7" ht="45.6" customHeight="1" x14ac:dyDescent="0.25">
      <c r="A11" s="11">
        <v>6</v>
      </c>
      <c r="B11" s="18" t="s">
        <v>286</v>
      </c>
      <c r="C11" s="45" t="s">
        <v>326</v>
      </c>
      <c r="D11" s="18">
        <v>35</v>
      </c>
      <c r="E11" s="18" t="s">
        <v>330</v>
      </c>
      <c r="F11" s="18">
        <f t="shared" si="0"/>
        <v>61.25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287</v>
      </c>
      <c r="C39" s="48"/>
      <c r="D39" s="41">
        <v>40</v>
      </c>
      <c r="E39" s="23" t="s">
        <v>327</v>
      </c>
      <c r="F39" s="18">
        <f t="shared" ref="F39:F43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287</v>
      </c>
      <c r="C40" s="48"/>
      <c r="D40" s="41">
        <v>32</v>
      </c>
      <c r="E40" s="23" t="s">
        <v>328</v>
      </c>
      <c r="F40" s="18">
        <f t="shared" si="1"/>
        <v>51.2</v>
      </c>
      <c r="G40" s="23"/>
    </row>
    <row r="41" spans="1:7" s="28" customFormat="1" ht="45.6" customHeight="1" x14ac:dyDescent="0.25">
      <c r="A41" s="41">
        <v>3</v>
      </c>
      <c r="B41" s="23" t="s">
        <v>287</v>
      </c>
      <c r="C41" s="48"/>
      <c r="D41" s="41">
        <v>25</v>
      </c>
      <c r="E41" s="23"/>
      <c r="F41" s="18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 t="s">
        <v>288</v>
      </c>
      <c r="C42" s="48"/>
      <c r="D42" s="41">
        <v>52</v>
      </c>
      <c r="E42" s="23" t="s">
        <v>328</v>
      </c>
      <c r="F42" s="18">
        <f t="shared" si="1"/>
        <v>135.20000000000002</v>
      </c>
      <c r="G42" s="23"/>
    </row>
    <row r="43" spans="1:7" s="28" customFormat="1" ht="45.6" customHeight="1" x14ac:dyDescent="0.25">
      <c r="A43" s="41">
        <v>5</v>
      </c>
      <c r="B43" s="23" t="s">
        <v>289</v>
      </c>
      <c r="C43" s="48"/>
      <c r="D43" s="41">
        <v>33</v>
      </c>
      <c r="E43" s="23" t="s">
        <v>328</v>
      </c>
      <c r="F43" s="18">
        <f t="shared" si="1"/>
        <v>54.45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3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2024-06-17T09:10:42Z</dcterms:modified>
</cp:coreProperties>
</file>