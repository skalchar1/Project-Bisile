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4047FE15-1172-4C4C-923B-4AE42C14C6D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3'!$A$1:$T$59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<sst xmlns="http://schemas.openxmlformats.org/spreadsheetml/2006/main" count="436" uniqueCount="323">
  <si>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</si>
  <si>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</si>
  <si>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</si>
  <si>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</si>
  <si>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</si>
  <si>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</si>
  <si>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</si>
  <si>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</si>
  <si>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</si>
  <si>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</si>
  <si>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</si>
  <si>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</si>
  <si>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</si>
  <si>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</si>
  <si>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</si>
  <si>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</si>
  <si>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</si>
  <si>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</si>
  <si>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</si>
  <si>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</si>
  <si>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</si>
  <si>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</si>
  <si>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</si>
  <si>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</si>
  <si>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</si>
  <si>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</si>
  <si>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</si>
  <si>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</si>
  <si>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</si>
  <si>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</si>
  <si>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</si>
  <si>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</si>
  <si>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</si>
  <si>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</si>
  <si>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</si>
  <si>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</si>
  <si>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</si>
  <si>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</si>
  <si>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</si>
  <si>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</si>
  <si>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</si>
  <si>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</si>
  <si>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</si>
  <si>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</si>
  <si>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</si>
  <si>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</si>
  <si>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</si>
  <si>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</si>
  <si>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</si>
  <si>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</si>
  <si>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</si>
  <si>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</si>
  <si>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</si>
  <si>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</si>
  <si>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</si>
  <si>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</si>
  <si>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</si>
  <si>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</si>
  <si>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</si>
  <si>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</si>
  <si>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</si>
  <si>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</si>
  <si>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</si>
  <si>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</si>
  <si>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</si>
  <si>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</si>
  <si>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</si>
  <si>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</si>
  <si>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</si>
  <si>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</si>
  <si>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</si>
  <si>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</si>
  <si>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</si>
  <si>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</si>
  <si>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</si>
  <si>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</si>
  <si>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</si>
  <si>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</si>
  <si>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</si>
  <si>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</si>
  <si>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</si>
  <si>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</si>
  <si>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</si>
  <si>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</si>
  <si>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</si>
  <si>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</si>
  <si>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</si>
  <si>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</si>
  <si>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</si>
  <si>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</si>
  <si>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</si>
  <si>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</si>
  <si>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</si>
  <si>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</si>
  <si>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</si>
  <si>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</si>
  <si>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</si>
  <si>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</si>
  <si>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</si>
  <si>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</si>
  <si>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</si>
  <si>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</si>
  <si>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</si>
  <si>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</si>
  <si>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</si>
  <si>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</si>
  <si>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</si>
  <si>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</si>
  <si>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</si>
  <si>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</si>
  <si>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</si>
  <si>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</si>
  <si>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</si>
  <si>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</si>
  <si>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</si>
  <si>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</si>
  <si>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</si>
  <si>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</si>
  <si>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</si>
  <si>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</si>
  <si>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</si>
  <si>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</si>
  <si>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</si>
  <si>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</si>
  <si>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</si>
  <si>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</si>
  <si>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</si>
  <si>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</si>
  <si>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</si>
  <si>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</si>
  <si>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</si>
  <si>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</si>
  <si>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</si>
  <si>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</si>
  <si>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</si>
  <si>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</si>
  <si>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</si>
  <si>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</si>
  <si>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</si>
  <si>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</si>
  <si>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</si>
  <si>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</si>
  <si>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</si>
  <si>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</si>
  <si>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</si>
  <si>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</si>
  <si>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</si>
  <si>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</si>
  <si>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</si>
  <si>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</si>
  <si>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</si>
  <si>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</si>
  <si>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</si>
  <si>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</si>
  <si>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</si>
  <si>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</si>
  <si>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</si>
  <si>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</si>
  <si>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</si>
  <si>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</si>
  <si>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</si>
  <si>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</si>
  <si>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</si>
  <si>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</si>
  <si>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</si>
  <si>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</si>
  <si>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</si>
  <si>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</si>
  <si>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</si>
  <si>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</si>
  <si>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</si>
  <si>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</si>
  <si>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</si>
  <si>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</si>
  <si>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</si>
  <si>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</si>
  <si>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</si>
  <si>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</si>
  <si>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</si>
  <si>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</si>
  <si>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</si>
  <si>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</si>
  <si>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</si>
  <si>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</si>
  <si>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</si>
  <si>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</si>
  <si>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</si>
  <si>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</si>
  <si>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</si>
  <si>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</si>
  <si>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</si>
  <si>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</si>
  <si>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</si>
  <si>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</si>
  <si>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</si>
  <si>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</si>
  <si>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</si>
  <si>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</si>
  <si>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</si>
  <si>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</si>
  <si>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</si>
  <si>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</si>
  <si>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</si>
  <si>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</si>
  <si>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</si>
  <si>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</si>
  <si>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</si>
  <si>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</si>
  <si>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</si>
  <si>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</si>
  <si>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</si>
  <si>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</si>
  <si>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</si>
  <si>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</si>
  <si>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</si>
  <si>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</si>
  <si>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</si>
  <si>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</si>
  <si>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</si>
  <si>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</si>
  <si>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</si>
  <si>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</si>
  <si>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</si>
  <si>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</si>
  <si>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</si>
  <si>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</si>
  <si>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</si>
  <si>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</si>
  <si>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</si>
  <si>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</si>
  <si>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</si>
  <si>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</si>
  <si>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</si>
  <si>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</si>
  <si>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</si>
  <si>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</si>
  <si>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</si>
  <si>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</si>
  <si>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</si>
  <si>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</si>
  <si>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</si>
  <si>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</si>
  <si>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</si>
  <si>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Nyayatarpu  upto  N  12.923114  E 75.269224   by vehicle then travel in the bearing of  54  degree upto a distance of  301m to reach the grid.</t>
  </si>
  <si>
    <t xml:space="preserve">Mangifera indica, Aporosa Lindleyan, Ixora brachiata, Flacourtia montana, Madhuca neriifolia </t>
  </si>
  <si>
    <t>Aspect - No fixed aspect</t>
  </si>
  <si>
    <t>Soil - Light red soil</t>
  </si>
  <si>
    <t xml:space="preserve">Grasses - Oplismenus hirtellus </t>
  </si>
  <si>
    <t>Weeds - Lucas aspera</t>
  </si>
  <si>
    <t>Herbs - Lucas aspera</t>
  </si>
  <si>
    <t xml:space="preserve">Shrubs - Ixora brachiata, Mangifera indica </t>
  </si>
  <si>
    <t xml:space="preserve">Underwood species – Ficus hispida, Leea indica </t>
  </si>
  <si>
    <t xml:space="preserve">Climbers -Getonia floribunda </t>
  </si>
  <si>
    <t xml:space="preserve">NTFP yieding sps – Mangifera indica, Flacourtia montana </t>
  </si>
  <si>
    <t>Stream passing nearby</t>
  </si>
  <si>
    <t>5m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</si>
  <si>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</si>
  <si>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</si>
  <si>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</si>
  <si>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</si>
  <si>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</si>
  <si>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Clay rich humus red soil</t>
  </si>
  <si>
    <t>Depth-  Moderate</t>
  </si>
  <si>
    <t>Permiability- Poor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</si>
  <si>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</si>
  <si>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</si>
  <si>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</t>
    </r>
    <r>
      <rPr>
        <b/>
        <sz val="12"/>
        <rFont val="Times New Roman"/>
        <family val="1"/>
      </rPr>
      <t>Scarring</t>
    </r>
    <r>
      <rPr>
        <sz val="12"/>
        <rFont val="Times New Roman"/>
        <family val="1"/>
      </rPr>
      <t xml:space="preserve"> / Damage by natural calamities / None</t>
    </r>
  </si>
  <si>
    <t>Scarring athrapogenic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</si>
  <si>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</si>
  <si>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</si>
  <si>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</si>
  <si>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</si>
  <si>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Stream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</si>
  <si>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</si>
  <si>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Porcupine</t>
  </si>
  <si>
    <t>0.5-0.75</t>
  </si>
  <si>
    <t xml:space="preserve">Unknown 1 </t>
  </si>
  <si>
    <t>Unknown 2</t>
  </si>
  <si>
    <t xml:space="preserve">Getonia floribunda </t>
  </si>
  <si>
    <t xml:space="preserve">Holigarna arnattiana </t>
  </si>
  <si>
    <t xml:space="preserve">Ficus hispida </t>
  </si>
  <si>
    <t xml:space="preserve">Artocarpus hirusts </t>
  </si>
  <si>
    <t xml:space="preserve">Mangifera indica </t>
  </si>
  <si>
    <t xml:space="preserve">holigarna arnattiana </t>
  </si>
  <si>
    <t xml:space="preserve">Ixora brachiata </t>
  </si>
  <si>
    <t>120g</t>
  </si>
  <si>
    <t>320g</t>
  </si>
  <si>
    <t>180g</t>
  </si>
  <si>
    <t>5kg</t>
  </si>
  <si>
    <t>Strychonous spp</t>
  </si>
  <si>
    <t xml:space="preserve">Madhuca neriifolia </t>
  </si>
  <si>
    <t>140g</t>
  </si>
  <si>
    <t>520g</t>
  </si>
  <si>
    <t>160g</t>
  </si>
  <si>
    <t>3.8kg</t>
  </si>
  <si>
    <t>Calicarpa tomentosa</t>
  </si>
  <si>
    <t>Alternate flt green climber</t>
  </si>
  <si>
    <t xml:space="preserve">Psychotria flavida </t>
  </si>
  <si>
    <t>Opposite leaf climnber</t>
  </si>
  <si>
    <t xml:space="preserve">Piper nigrum </t>
  </si>
  <si>
    <t>Belthangady</t>
  </si>
  <si>
    <t xml:space="preserve">Naladamani Aranya Kshetra </t>
  </si>
  <si>
    <t>II-42</t>
  </si>
  <si>
    <t>Tract - Undulating</t>
  </si>
  <si>
    <t>Canopy Dencity -0.73</t>
  </si>
  <si>
    <t>Bamboos - NIL</t>
  </si>
  <si>
    <t>Rattans – NIL</t>
  </si>
  <si>
    <t>NIL</t>
  </si>
  <si>
    <t>518 ft</t>
  </si>
  <si>
    <t>Aporosa lindleyana , Ficus hispida , Mangifera indica s</t>
  </si>
  <si>
    <t xml:space="preserve">Unknown 3 </t>
  </si>
  <si>
    <t>Mangalore</t>
  </si>
  <si>
    <t>Gorbale</t>
  </si>
  <si>
    <t>Hole Hippe</t>
  </si>
  <si>
    <t>Maavu</t>
  </si>
  <si>
    <t>Kaadu coffee</t>
  </si>
  <si>
    <t>Pandavara Batti</t>
  </si>
  <si>
    <t xml:space="preserve">Flower </t>
  </si>
  <si>
    <t>Leaves</t>
  </si>
  <si>
    <t>Flower</t>
  </si>
  <si>
    <t xml:space="preserve">Fruit </t>
  </si>
  <si>
    <t>Stem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</si>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</sst>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311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300</v>
      </c>
    </row>
    <row r="6" spans="1:3" ht="39" customHeight="1" x14ac:dyDescent="0.3">
      <c r="A6" s="4">
        <v>2</v>
      </c>
      <c r="B6" s="51" t="s">
        <v>7</v>
      </c>
      <c r="C6" s="8" t="s">
        <v>301</v>
      </c>
    </row>
    <row r="7" spans="1:3" ht="39" customHeight="1" x14ac:dyDescent="0.3">
      <c r="A7" s="4">
        <v>3</v>
      </c>
      <c r="B7" s="51" t="s">
        <v>8</v>
      </c>
      <c r="C7" s="8" t="s">
        <v>302</v>
      </c>
    </row>
    <row r="8" spans="1:3" ht="39" customHeight="1" x14ac:dyDescent="0.3">
      <c r="A8" s="4">
        <v>4</v>
      </c>
      <c r="B8" s="51" t="s">
        <v>9</v>
      </c>
      <c r="C8" s="8">
        <v>5532</v>
      </c>
    </row>
    <row r="9" spans="1:3" ht="39" customHeight="1" x14ac:dyDescent="0.3">
      <c r="A9" s="4">
        <v>5</v>
      </c>
      <c r="B9" s="51" t="s">
        <v>10</v>
      </c>
      <c r="C9" s="9">
        <v>12.924764</v>
      </c>
    </row>
    <row r="10" spans="1:3" ht="39" customHeight="1" x14ac:dyDescent="0.3">
      <c r="A10" s="4">
        <v>6</v>
      </c>
      <c r="B10" s="51" t="s">
        <v>11</v>
      </c>
      <c r="C10" s="9">
        <v>75.271444000000002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303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304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305</v>
      </c>
    </row>
    <row r="20" spans="1:3" ht="57.75" customHeight="1" x14ac:dyDescent="0.3">
      <c r="A20" s="54"/>
      <c r="B20" s="55"/>
      <c r="C20" s="6" t="s">
        <v>249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251</v>
      </c>
    </row>
    <row r="23" spans="1:3" ht="63" customHeight="1" x14ac:dyDescent="0.3">
      <c r="A23" s="54"/>
      <c r="B23" s="55"/>
      <c r="C23" s="6" t="s">
        <v>252</v>
      </c>
    </row>
    <row r="24" spans="1:3" ht="63" customHeight="1" x14ac:dyDescent="0.3">
      <c r="A24" s="54"/>
      <c r="B24" s="55"/>
      <c r="C24" s="6" t="s">
        <v>306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1" t="s">
        <v>15</v>
      </c>
      <c r="C26" s="6" t="s">
        <v>254</v>
      </c>
    </row>
    <row r="27" spans="1:3" ht="53.25" customHeight="1" x14ac:dyDescent="0.3">
      <c r="A27" s="4">
        <v>11</v>
      </c>
      <c r="B27" s="51" t="s">
        <v>16</v>
      </c>
      <c r="C27" s="6" t="s">
        <v>307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="85" zoomScaleSheetLayoutView="85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311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Naladamani Aranya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5532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12.924764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75.271444000000002</v>
      </c>
    </row>
    <row r="11" spans="1:3" ht="32.25" customHeight="1" x14ac:dyDescent="0.3">
      <c r="A11" s="11">
        <v>7</v>
      </c>
      <c r="B11" s="52" t="s">
        <v>22</v>
      </c>
      <c r="C11" s="20" t="s">
        <v>308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261</v>
      </c>
    </row>
    <row r="19" spans="1:3" ht="30.75" customHeight="1" x14ac:dyDescent="0.3">
      <c r="A19" s="57"/>
      <c r="B19" s="58"/>
      <c r="C19" s="22" t="s">
        <v>262</v>
      </c>
    </row>
    <row r="20" spans="1:3" ht="30.75" customHeight="1" x14ac:dyDescent="0.3">
      <c r="A20" s="57"/>
      <c r="B20" s="58"/>
      <c r="C20" s="23" t="s">
        <v>263</v>
      </c>
    </row>
    <row r="21" spans="1:3" ht="36" customHeight="1" x14ac:dyDescent="0.3">
      <c r="A21" s="11">
        <v>15</v>
      </c>
      <c r="B21" s="52" t="s">
        <v>31</v>
      </c>
      <c r="C21" s="22" t="s">
        <v>264</v>
      </c>
    </row>
    <row r="22" spans="1:3" ht="54.75" customHeight="1" x14ac:dyDescent="0.3">
      <c r="A22" s="11">
        <v>16</v>
      </c>
      <c r="B22" s="52" t="s">
        <v>32</v>
      </c>
      <c r="C22" s="22" t="s">
        <v>309</v>
      </c>
    </row>
    <row r="23" spans="1:3" ht="15.6" x14ac:dyDescent="0.3">
      <c r="A23" s="11">
        <v>17</v>
      </c>
      <c r="B23" s="52" t="s">
        <v>221</v>
      </c>
      <c r="C23" s="22" t="s">
        <v>265</v>
      </c>
    </row>
    <row r="24" spans="1:3" ht="35.25" customHeight="1" x14ac:dyDescent="0.3">
      <c r="A24" s="11">
        <v>18</v>
      </c>
      <c r="B24" s="52" t="s">
        <v>33</v>
      </c>
      <c r="C24" s="22" t="s">
        <v>266</v>
      </c>
    </row>
    <row r="25" spans="1:3" ht="72.75" customHeight="1" x14ac:dyDescent="0.3">
      <c r="A25" s="11">
        <v>19</v>
      </c>
      <c r="B25" s="52" t="s">
        <v>34</v>
      </c>
      <c r="C25" s="22" t="s">
        <v>267</v>
      </c>
    </row>
    <row r="26" spans="1:3" ht="30" customHeight="1" x14ac:dyDescent="0.3">
      <c r="A26" s="11">
        <v>20</v>
      </c>
      <c r="B26" s="52" t="s">
        <v>35</v>
      </c>
      <c r="C26" s="23" t="s">
        <v>268</v>
      </c>
    </row>
    <row r="27" spans="1:3" ht="30" customHeight="1" x14ac:dyDescent="0.3">
      <c r="A27" s="11">
        <v>21</v>
      </c>
      <c r="B27" s="52" t="s">
        <v>36</v>
      </c>
      <c r="C27" s="22" t="s">
        <v>269</v>
      </c>
    </row>
    <row r="28" spans="1:3" ht="30" customHeight="1" x14ac:dyDescent="0.3">
      <c r="A28" s="11">
        <v>22</v>
      </c>
      <c r="B28" s="52" t="s">
        <v>37</v>
      </c>
      <c r="C28" s="22" t="s">
        <v>270</v>
      </c>
    </row>
    <row r="29" spans="1:3" ht="32.25" customHeight="1" x14ac:dyDescent="0.3">
      <c r="A29" s="11">
        <v>23</v>
      </c>
      <c r="B29" s="52" t="s">
        <v>38</v>
      </c>
      <c r="C29" s="22" t="s">
        <v>270</v>
      </c>
    </row>
    <row r="30" spans="1:3" ht="62.25" customHeight="1" x14ac:dyDescent="0.3">
      <c r="A30" s="11">
        <v>24</v>
      </c>
      <c r="B30" s="52" t="s">
        <v>39</v>
      </c>
      <c r="C30" s="22" t="s">
        <v>271</v>
      </c>
    </row>
    <row r="31" spans="1:3" ht="72.75" customHeight="1" x14ac:dyDescent="0.3">
      <c r="A31" s="11">
        <v>25</v>
      </c>
      <c r="B31" s="52" t="s">
        <v>40</v>
      </c>
      <c r="C31" s="22" t="s">
        <v>307</v>
      </c>
    </row>
    <row r="32" spans="1:3" ht="60" customHeight="1" x14ac:dyDescent="0.3">
      <c r="A32" s="11">
        <v>26</v>
      </c>
      <c r="B32" s="52" t="s">
        <v>41</v>
      </c>
      <c r="C32" s="22" t="s">
        <v>272</v>
      </c>
    </row>
    <row r="33" spans="1:3" ht="60" customHeight="1" x14ac:dyDescent="0.3">
      <c r="A33" s="11">
        <v>27</v>
      </c>
      <c r="B33" s="52" t="s">
        <v>42</v>
      </c>
      <c r="C33" s="20" t="s">
        <v>273</v>
      </c>
    </row>
    <row r="34" spans="1:3" ht="57.75" customHeight="1" x14ac:dyDescent="0.3">
      <c r="A34" s="11">
        <v>28</v>
      </c>
      <c r="B34" s="52" t="s">
        <v>43</v>
      </c>
      <c r="C34" s="22" t="s">
        <v>271</v>
      </c>
    </row>
    <row r="35" spans="1:3" ht="59.25" customHeight="1" x14ac:dyDescent="0.3">
      <c r="A35" s="11">
        <v>29</v>
      </c>
      <c r="B35" s="52" t="s">
        <v>44</v>
      </c>
      <c r="C35" s="22" t="s">
        <v>274</v>
      </c>
    </row>
    <row r="36" spans="1:3" ht="66" customHeight="1" x14ac:dyDescent="0.3">
      <c r="A36" s="11">
        <v>30</v>
      </c>
      <c r="B36" s="52" t="s">
        <v>225</v>
      </c>
      <c r="C36" s="22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view="pageBreakPreview" topLeftCell="A5" zoomScale="60" zoomScaleNormal="70" workbookViewId="0">
      <selection activeCell="L19" sqref="L19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276</v>
      </c>
      <c r="C12" s="24"/>
      <c r="D12" s="24">
        <v>91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15.5</v>
      </c>
      <c r="L12" s="24">
        <v>5.5</v>
      </c>
      <c r="M12" s="24">
        <v>3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3">
      <c r="A13" s="24">
        <v>2</v>
      </c>
      <c r="B13" s="24" t="s">
        <v>277</v>
      </c>
      <c r="C13" s="24"/>
      <c r="D13" s="24">
        <v>63</v>
      </c>
      <c r="E13" s="24"/>
      <c r="F13" s="24"/>
      <c r="G13" s="24"/>
      <c r="H13" s="24"/>
      <c r="I13" s="24">
        <v>3</v>
      </c>
      <c r="J13" s="24">
        <v>3</v>
      </c>
      <c r="K13" s="24">
        <f t="shared" ref="K13:K22" si="0">L13+M13+R13</f>
        <v>14</v>
      </c>
      <c r="L13" s="24">
        <v>4</v>
      </c>
      <c r="M13" s="24">
        <v>1.5</v>
      </c>
      <c r="N13" s="24"/>
      <c r="O13" s="24"/>
      <c r="P13" s="24"/>
      <c r="Q13" s="24"/>
      <c r="R13" s="24">
        <v>8.5</v>
      </c>
      <c r="S13" s="24"/>
      <c r="T13" s="24"/>
    </row>
    <row r="14" spans="1:20" ht="40.5" customHeight="1" x14ac:dyDescent="0.3">
      <c r="A14" s="24">
        <v>3</v>
      </c>
      <c r="B14" s="24" t="s">
        <v>310</v>
      </c>
      <c r="C14" s="24"/>
      <c r="D14" s="24">
        <v>50</v>
      </c>
      <c r="E14" s="24"/>
      <c r="F14" s="24"/>
      <c r="G14" s="24"/>
      <c r="H14" s="24"/>
      <c r="I14" s="24">
        <v>3</v>
      </c>
      <c r="J14" s="24">
        <v>4</v>
      </c>
      <c r="K14" s="24">
        <f t="shared" si="0"/>
        <v>11.5</v>
      </c>
      <c r="L14" s="24">
        <v>4</v>
      </c>
      <c r="M14" s="24">
        <v>3</v>
      </c>
      <c r="N14" s="24"/>
      <c r="O14" s="24"/>
      <c r="P14" s="24"/>
      <c r="Q14" s="24"/>
      <c r="R14" s="24">
        <v>4.5</v>
      </c>
      <c r="S14" s="24"/>
      <c r="T14" s="24"/>
    </row>
    <row r="15" spans="1:20" ht="40.5" customHeight="1" x14ac:dyDescent="0.3">
      <c r="A15" s="24">
        <v>4</v>
      </c>
      <c r="B15" s="24" t="s">
        <v>278</v>
      </c>
      <c r="C15" s="24"/>
      <c r="D15" s="24">
        <v>40</v>
      </c>
      <c r="E15" s="24"/>
      <c r="F15" s="24"/>
      <c r="G15" s="24"/>
      <c r="H15" s="24"/>
      <c r="I15" s="19">
        <v>0</v>
      </c>
      <c r="J15" s="24">
        <v>0</v>
      </c>
      <c r="K15" s="24">
        <f t="shared" si="0"/>
        <v>0</v>
      </c>
      <c r="L15" s="24">
        <v>0</v>
      </c>
      <c r="M15" s="24">
        <v>0</v>
      </c>
      <c r="N15" s="24"/>
      <c r="O15" s="24"/>
      <c r="P15" s="24"/>
      <c r="Q15" s="24"/>
      <c r="R15" s="24">
        <v>0</v>
      </c>
      <c r="S15" s="24"/>
      <c r="T15" s="24"/>
    </row>
    <row r="16" spans="1:20" ht="40.5" customHeight="1" x14ac:dyDescent="0.3">
      <c r="A16" s="24">
        <v>5</v>
      </c>
      <c r="B16" s="24" t="s">
        <v>277</v>
      </c>
      <c r="C16" s="24"/>
      <c r="D16" s="24">
        <v>61</v>
      </c>
      <c r="E16" s="24"/>
      <c r="F16" s="24"/>
      <c r="G16" s="24"/>
      <c r="H16" s="24"/>
      <c r="I16" s="24">
        <v>3</v>
      </c>
      <c r="J16" s="24">
        <v>3</v>
      </c>
      <c r="K16" s="24">
        <f t="shared" si="0"/>
        <v>11</v>
      </c>
      <c r="L16" s="24">
        <v>3</v>
      </c>
      <c r="M16" s="24">
        <v>2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3">
      <c r="A17" s="24">
        <v>6</v>
      </c>
      <c r="B17" s="24" t="s">
        <v>279</v>
      </c>
      <c r="C17" s="24"/>
      <c r="D17" s="24">
        <v>48</v>
      </c>
      <c r="E17" s="24"/>
      <c r="F17" s="24"/>
      <c r="G17" s="24"/>
      <c r="H17" s="24"/>
      <c r="I17" s="24">
        <v>2.5</v>
      </c>
      <c r="J17" s="24">
        <v>3</v>
      </c>
      <c r="K17" s="24">
        <f t="shared" si="0"/>
        <v>9.5</v>
      </c>
      <c r="L17" s="24">
        <v>2</v>
      </c>
      <c r="M17" s="24">
        <v>1.5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3">
      <c r="A18" s="24">
        <v>7</v>
      </c>
      <c r="B18" s="24" t="s">
        <v>279</v>
      </c>
      <c r="C18" s="24"/>
      <c r="D18" s="24">
        <v>84</v>
      </c>
      <c r="E18" s="24"/>
      <c r="F18" s="24"/>
      <c r="G18" s="24"/>
      <c r="H18" s="24"/>
      <c r="I18" s="24">
        <v>4</v>
      </c>
      <c r="J18" s="24">
        <v>4.5</v>
      </c>
      <c r="K18" s="24">
        <f t="shared" si="0"/>
        <v>11.5</v>
      </c>
      <c r="L18" s="24">
        <v>4</v>
      </c>
      <c r="M18" s="24">
        <v>3.5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v>8</v>
      </c>
      <c r="B19" s="24" t="s">
        <v>280</v>
      </c>
      <c r="C19" s="24"/>
      <c r="D19" s="24">
        <v>86</v>
      </c>
      <c r="E19" s="24"/>
      <c r="F19" s="24"/>
      <c r="G19" s="24"/>
      <c r="H19" s="24"/>
      <c r="I19" s="24">
        <v>3</v>
      </c>
      <c r="J19" s="24">
        <v>4</v>
      </c>
      <c r="K19" s="24">
        <f t="shared" si="0"/>
        <v>9.5</v>
      </c>
      <c r="L19" s="24">
        <v>2</v>
      </c>
      <c r="M19" s="24">
        <v>2.5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3">
      <c r="A20" s="24">
        <v>9</v>
      </c>
      <c r="B20" s="24" t="s">
        <v>281</v>
      </c>
      <c r="C20" s="24"/>
      <c r="D20" s="24">
        <v>93</v>
      </c>
      <c r="E20" s="24"/>
      <c r="F20" s="24"/>
      <c r="G20" s="24"/>
      <c r="H20" s="24"/>
      <c r="I20" s="24">
        <v>5</v>
      </c>
      <c r="J20" s="24">
        <v>5.5</v>
      </c>
      <c r="K20" s="24">
        <f t="shared" si="0"/>
        <v>20</v>
      </c>
      <c r="L20" s="24">
        <v>7</v>
      </c>
      <c r="M20" s="24">
        <v>5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3">
      <c r="A21" s="24">
        <v>10</v>
      </c>
      <c r="B21" s="24" t="s">
        <v>282</v>
      </c>
      <c r="C21" s="24"/>
      <c r="D21" s="24">
        <v>43</v>
      </c>
      <c r="E21" s="24"/>
      <c r="F21" s="24"/>
      <c r="G21" s="24"/>
      <c r="H21" s="24"/>
      <c r="I21" s="24">
        <v>4.5</v>
      </c>
      <c r="J21" s="24">
        <v>4</v>
      </c>
      <c r="K21" s="24">
        <f t="shared" si="0"/>
        <v>12</v>
      </c>
      <c r="L21" s="24">
        <v>3.5</v>
      </c>
      <c r="M21" s="24">
        <v>2.5</v>
      </c>
      <c r="N21" s="24"/>
      <c r="O21" s="24"/>
      <c r="P21" s="24"/>
      <c r="Q21" s="24"/>
      <c r="R21" s="24">
        <v>6</v>
      </c>
      <c r="S21" s="24"/>
      <c r="T21" s="24"/>
    </row>
    <row r="22" spans="1:20" ht="40.5" customHeight="1" x14ac:dyDescent="0.3">
      <c r="A22" s="24">
        <v>11</v>
      </c>
      <c r="B22" s="24" t="s">
        <v>283</v>
      </c>
      <c r="C22" s="24"/>
      <c r="D22" s="24">
        <v>163</v>
      </c>
      <c r="E22" s="24"/>
      <c r="F22" s="24"/>
      <c r="G22" s="24"/>
      <c r="H22" s="24"/>
      <c r="I22" s="24">
        <v>7</v>
      </c>
      <c r="J22" s="24">
        <v>5</v>
      </c>
      <c r="K22" s="24">
        <f t="shared" si="0"/>
        <v>14.5</v>
      </c>
      <c r="L22" s="24">
        <v>7</v>
      </c>
      <c r="M22" s="24">
        <v>5</v>
      </c>
      <c r="N22" s="24"/>
      <c r="O22" s="24"/>
      <c r="P22" s="24"/>
      <c r="Q22" s="24"/>
      <c r="R22" s="24">
        <v>2.5</v>
      </c>
      <c r="S22" s="24"/>
      <c r="T22" s="24"/>
    </row>
    <row r="23" spans="1:20" ht="40.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21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284</v>
      </c>
      <c r="C5" s="12" t="s">
        <v>312</v>
      </c>
      <c r="D5" s="12">
        <v>9</v>
      </c>
      <c r="E5" s="12">
        <v>3</v>
      </c>
      <c r="F5" s="12" t="s">
        <v>317</v>
      </c>
      <c r="G5" s="12">
        <v>32</v>
      </c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285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286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287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288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289</v>
      </c>
      <c r="C38" s="18"/>
      <c r="D38" s="18">
        <v>2</v>
      </c>
      <c r="E38" s="18">
        <v>7</v>
      </c>
      <c r="F38" s="18" t="s">
        <v>318</v>
      </c>
      <c r="G38" s="18">
        <v>12</v>
      </c>
      <c r="H38" s="18"/>
    </row>
    <row r="39" spans="1:8" ht="36" customHeight="1" x14ac:dyDescent="0.3">
      <c r="A39" s="11">
        <v>2</v>
      </c>
      <c r="B39" s="18" t="s">
        <v>290</v>
      </c>
      <c r="C39" s="18" t="s">
        <v>313</v>
      </c>
      <c r="D39" s="18">
        <v>5</v>
      </c>
      <c r="E39" s="18">
        <v>3</v>
      </c>
      <c r="F39" s="18" t="s">
        <v>319</v>
      </c>
      <c r="G39" s="18">
        <v>14</v>
      </c>
      <c r="H39" s="18"/>
    </row>
    <row r="40" spans="1:8" ht="36" customHeight="1" x14ac:dyDescent="0.3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291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292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293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271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282</v>
      </c>
      <c r="C96" s="11" t="s">
        <v>314</v>
      </c>
      <c r="D96" s="41">
        <v>7</v>
      </c>
      <c r="E96" s="42">
        <v>3</v>
      </c>
      <c r="F96" s="28" t="s">
        <v>320</v>
      </c>
      <c r="G96" s="23">
        <v>26</v>
      </c>
      <c r="H96" s="23"/>
    </row>
    <row r="97" spans="1:8" s="28" customFormat="1" ht="39" customHeight="1" x14ac:dyDescent="0.3">
      <c r="A97" s="41">
        <v>2</v>
      </c>
      <c r="B97" s="40" t="s">
        <v>284</v>
      </c>
      <c r="C97" s="11" t="s">
        <v>312</v>
      </c>
      <c r="D97" s="41">
        <v>5</v>
      </c>
      <c r="E97" s="42">
        <v>2.1</v>
      </c>
      <c r="F97" s="28" t="s">
        <v>317</v>
      </c>
      <c r="G97" s="23">
        <v>12</v>
      </c>
      <c r="H97" s="23"/>
    </row>
    <row r="98" spans="1:8" s="28" customFormat="1" ht="39" customHeight="1" x14ac:dyDescent="0.3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65" zoomScale="115" zoomScaleNormal="85" zoomScaleSheetLayoutView="115" workbookViewId="0">
      <selection activeCell="A71" sqref="A71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295</v>
      </c>
      <c r="C6" s="45" t="s">
        <v>316</v>
      </c>
      <c r="D6" s="18">
        <v>50</v>
      </c>
      <c r="E6" s="18" t="s">
        <v>321</v>
      </c>
      <c r="F6" s="18">
        <v>202</v>
      </c>
      <c r="G6" s="18"/>
    </row>
    <row r="7" spans="1:7" ht="45.6" customHeight="1" x14ac:dyDescent="0.3">
      <c r="A7" s="11">
        <v>2</v>
      </c>
      <c r="B7" s="18" t="s">
        <v>296</v>
      </c>
      <c r="C7" s="45"/>
      <c r="D7" s="18">
        <v>55</v>
      </c>
      <c r="E7" s="18" t="s">
        <v>318</v>
      </c>
      <c r="F7" s="18">
        <v>260</v>
      </c>
      <c r="G7" s="18"/>
    </row>
    <row r="8" spans="1:7" ht="45.6" customHeight="1" x14ac:dyDescent="0.3">
      <c r="A8" s="11">
        <v>3</v>
      </c>
      <c r="B8" s="18" t="s">
        <v>297</v>
      </c>
      <c r="C8" s="45" t="s">
        <v>315</v>
      </c>
      <c r="D8" s="18">
        <v>43</v>
      </c>
      <c r="E8" s="18" t="s">
        <v>318</v>
      </c>
      <c r="F8" s="18">
        <v>210</v>
      </c>
      <c r="G8" s="18"/>
    </row>
    <row r="9" spans="1:7" ht="45.6" customHeight="1" x14ac:dyDescent="0.3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298</v>
      </c>
      <c r="C39" s="48"/>
      <c r="D39" s="41">
        <v>200</v>
      </c>
      <c r="E39" s="23" t="s">
        <v>318</v>
      </c>
      <c r="F39" s="23">
        <v>510</v>
      </c>
      <c r="G39" s="23"/>
    </row>
    <row r="40" spans="1:7" s="28" customFormat="1" ht="45.6" customHeight="1" x14ac:dyDescent="0.3">
      <c r="A40" s="41">
        <v>2</v>
      </c>
      <c r="B40" s="23" t="s">
        <v>299</v>
      </c>
      <c r="C40" s="48">
        <v>220</v>
      </c>
      <c r="D40" s="41">
        <v>30</v>
      </c>
      <c r="E40" s="23" t="s">
        <v>322</v>
      </c>
      <c r="F40" s="23">
        <v>160</v>
      </c>
      <c r="G40" s="23"/>
    </row>
    <row r="41" spans="1:7" s="28" customFormat="1" ht="45.6" customHeight="1" x14ac:dyDescent="0.3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3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C11" sqref="C1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2024-07-13T09:59:58Z</dcterms:modified>
</cp:coreProperties>
</file>