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Laila B Bit-II II-47\"/>
    </mc:Choice>
  </mc:AlternateContent>
  <xr:revisionPtr revIDLastSave="0" documentId="13_ncr:1_{83D974F8-B9CD-4609-8C45-A53C5B52E131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73" i="8"/>
  <c r="G72" i="8"/>
  <c r="G71" i="8"/>
  <c r="G70" i="8"/>
  <c r="G69" i="8"/>
  <c r="G41" i="8"/>
  <c r="G40" i="8"/>
  <c r="G39" i="8"/>
  <c r="G38" i="8"/>
  <c r="G11" i="8"/>
  <c r="G10" i="8"/>
  <c r="G9" i="8"/>
  <c r="G8" i="8"/>
  <c r="G7" i="8"/>
  <c r="G6" i="8"/>
  <c r="G5" i="8"/>
  <c r="F44" i="9"/>
  <c r="F43" i="9"/>
  <c r="F42" i="9"/>
  <c r="F41" i="9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<sst xmlns="http://schemas.openxmlformats.org/spreadsheetml/2006/main" count="490" uniqueCount="349">
  <si>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</si>
  <si>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</si>
  <si>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</si>
  <si>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</si>
  <si>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</si>
  <si>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</si>
  <si>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</si>
  <si>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</si>
  <si>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</si>
  <si>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</si>
  <si>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</si>
  <si>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</si>
  <si>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</si>
  <si>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</si>
  <si>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</si>
  <si>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</si>
  <si>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</si>
  <si>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</si>
  <si>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</si>
  <si>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</si>
  <si>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</si>
  <si>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</si>
  <si>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</si>
  <si>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</si>
  <si>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</si>
  <si>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</si>
  <si>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</si>
  <si>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</si>
  <si>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</si>
  <si>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</si>
  <si>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</si>
  <si>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</si>
  <si>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</si>
  <si>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</si>
  <si>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</si>
  <si>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</si>
  <si>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</si>
  <si>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</si>
  <si>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</si>
  <si>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</si>
  <si>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</si>
  <si>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</si>
  <si>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</si>
  <si>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</si>
  <si>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</si>
  <si>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</si>
  <si>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</si>
  <si>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</si>
  <si>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</si>
  <si>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</si>
  <si>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</si>
  <si>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</si>
  <si>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</si>
  <si>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</si>
  <si>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</si>
  <si>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</si>
  <si>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</si>
  <si>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</si>
  <si>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</si>
  <si>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</si>
  <si>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</si>
  <si>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</si>
  <si>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</si>
  <si>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</si>
  <si>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</si>
  <si>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</si>
  <si>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</si>
  <si>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</si>
  <si>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</si>
  <si>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</si>
  <si>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</si>
  <si>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</si>
  <si>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</si>
  <si>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</si>
  <si>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</si>
  <si>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</si>
  <si>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</si>
  <si>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</si>
  <si>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</si>
  <si>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</si>
  <si>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</si>
  <si>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</si>
  <si>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</si>
  <si>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</si>
  <si>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</si>
  <si>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</si>
  <si>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</si>
  <si>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</si>
  <si>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</si>
  <si>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</si>
  <si>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</si>
  <si>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</si>
  <si>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</si>
  <si>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</si>
  <si>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</si>
  <si>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</si>
  <si>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</si>
  <si>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</si>
  <si>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</si>
  <si>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</si>
  <si>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</si>
  <si>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</si>
  <si>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</si>
  <si>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</si>
  <si>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</si>
  <si>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</si>
  <si>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</si>
  <si>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</si>
  <si>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</si>
  <si>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</si>
  <si>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</si>
  <si>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</si>
  <si>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</si>
  <si>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</si>
  <si>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</si>
  <si>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</si>
  <si>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</si>
  <si>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</si>
  <si>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</si>
  <si>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</si>
  <si>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</si>
  <si>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</si>
  <si>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</si>
  <si>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</si>
  <si>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</si>
  <si>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</si>
  <si>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</si>
  <si>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</si>
  <si>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</si>
  <si>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</si>
  <si>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</si>
  <si>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</si>
  <si>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</si>
  <si>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</si>
  <si>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</si>
  <si>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</si>
  <si>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</si>
  <si>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</si>
  <si>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</si>
  <si>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</si>
  <si>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</si>
  <si>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</si>
  <si>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</si>
  <si>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</si>
  <si>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</si>
  <si>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</si>
  <si>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</si>
  <si>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</si>
  <si>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</si>
  <si>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</si>
  <si>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</si>
  <si>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</si>
  <si>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</si>
  <si>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</si>
  <si>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</si>
  <si>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</si>
  <si>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</si>
  <si>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</si>
  <si>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</si>
  <si>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</si>
  <si>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</si>
  <si>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</si>
  <si>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</si>
  <si>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</si>
  <si>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</si>
  <si>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</si>
  <si>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</si>
  <si>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</si>
  <si>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</si>
  <si>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</si>
  <si>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</si>
  <si>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</si>
  <si>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</si>
  <si>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</si>
  <si>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</si>
  <si>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</si>
  <si>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</si>
  <si>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</si>
  <si>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</si>
  <si>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</si>
  <si>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</si>
  <si>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</si>
  <si>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</si>
  <si>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</si>
  <si>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</si>
  <si>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</si>
  <si>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</si>
  <si>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</si>
  <si>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</si>
  <si>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</si>
  <si>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</si>
  <si>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</si>
  <si>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</si>
  <si>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</si>
  <si>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</si>
  <si>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</si>
  <si>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</si>
  <si>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</si>
  <si>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</si>
  <si>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</si>
  <si>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</si>
  <si>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</si>
  <si>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</si>
  <si>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</si>
  <si>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</si>
  <si>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</si>
  <si>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</si>
  <si>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</si>
  <si>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</si>
  <si>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</si>
  <si>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</si>
  <si>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</si>
  <si>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</si>
  <si>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</si>
  <si>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</si>
  <si>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</si>
  <si>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</si>
  <si>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</si>
  <si>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</si>
  <si>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</si>
  <si>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</si>
  <si>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</si>
  <si>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</si>
  <si>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</si>
  <si>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</si>
  <si>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</si>
  <si>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</si>
  <si>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</si>
  <si>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</si>
  <si>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</si>
  <si>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</si>
  <si>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</si>
  <si>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</si>
  <si>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</si>
  <si>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</si>
  <si>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</si>
  <si>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</si>
  <si>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</si>
  <si>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</si>
  <si>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</si>
  <si>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</si>
  <si>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</si>
  <si>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</si>
  <si>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Laila upto N  13.025923  E 75.263421   by vehicle then travel in the bearing of   65   degree upto a distance of    147m to reach the grid.</t>
  </si>
  <si>
    <t xml:space="preserve">Terminalia paniculata , Phyllanthus emblica, Buchanania lanzan </t>
  </si>
  <si>
    <t>Tract -Undulating</t>
  </si>
  <si>
    <t>Aspect - No fixed</t>
  </si>
  <si>
    <t>Grasses - Opplisima spp</t>
  </si>
  <si>
    <t>Weeds - Hiptis sualvensis</t>
  </si>
  <si>
    <t>Herbs -Mimosa pudica , Clerodendrum infortunatum , Malabatricum</t>
  </si>
  <si>
    <t>Shrubs - Holarrhena antidysenterica , Rubia spp</t>
  </si>
  <si>
    <t xml:space="preserve">Underwood species – Careya arborea , Mangifera indica </t>
  </si>
  <si>
    <t xml:space="preserve">NTFP yieding sps –Mangifera indica ,  Garcinia indica </t>
  </si>
  <si>
    <t>Human settlements nearby</t>
  </si>
  <si>
    <t xml:space="preserve">Heavy 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</si>
  <si>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</si>
  <si>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</si>
  <si>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</si>
  <si>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</si>
  <si>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</si>
  <si>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Texture- Humus rich loamy soil</t>
  </si>
  <si>
    <t>Depth- Shallow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</si>
  <si>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</si>
  <si>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</si>
  <si>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Terminalia paniculata , Terminalia tomentosa ,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</si>
  <si>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</si>
  <si>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</si>
  <si>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induced degradation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</si>
  <si>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</si>
  <si>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</si>
  <si>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</si>
  <si>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</si>
  <si>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</si>
  <si>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Sambar pellets</t>
  </si>
  <si>
    <t>0.5-0.75</t>
  </si>
  <si>
    <t xml:space="preserve">Terminalia paniculata </t>
  </si>
  <si>
    <t xml:space="preserve">Tabernamontana heyneana </t>
  </si>
  <si>
    <t xml:space="preserve">Aporosa lindleyana </t>
  </si>
  <si>
    <t xml:space="preserve">Careya arborea </t>
  </si>
  <si>
    <t xml:space="preserve">Holigarna arnattiana </t>
  </si>
  <si>
    <t xml:space="preserve">Sterculia guttata </t>
  </si>
  <si>
    <t xml:space="preserve">Catunaregam spinosa </t>
  </si>
  <si>
    <t xml:space="preserve">alternate leaf herb </t>
  </si>
  <si>
    <t>Companulata spp</t>
  </si>
  <si>
    <t xml:space="preserve">Leea indica </t>
  </si>
  <si>
    <t xml:space="preserve">Bambusa bambos </t>
  </si>
  <si>
    <t xml:space="preserve">Callicarpa tomentosa </t>
  </si>
  <si>
    <t xml:space="preserve">Psychotria flavida </t>
  </si>
  <si>
    <t xml:space="preserve">Smilax spinosa </t>
  </si>
  <si>
    <t xml:space="preserve">Xanthoxylum retusus </t>
  </si>
  <si>
    <t xml:space="preserve">Alseodaphne semicarpifolia </t>
  </si>
  <si>
    <t>Alternate leaf each spin</t>
  </si>
  <si>
    <t xml:space="preserve">Macaranga peltata </t>
  </si>
  <si>
    <t xml:space="preserve">Ixora brachiata </t>
  </si>
  <si>
    <t xml:space="preserve">Syzygium caryophyllateum </t>
  </si>
  <si>
    <t>45g</t>
  </si>
  <si>
    <t>5kg</t>
  </si>
  <si>
    <t>290g</t>
  </si>
  <si>
    <t>6kg</t>
  </si>
  <si>
    <t>65kg</t>
  </si>
  <si>
    <t>900g</t>
  </si>
  <si>
    <t>320g</t>
  </si>
  <si>
    <t>3.5kg</t>
  </si>
  <si>
    <t>Opposite leaved spine plant</t>
  </si>
  <si>
    <t xml:space="preserve">Olea dioca </t>
  </si>
  <si>
    <t xml:space="preserve">Glycosmis pentaphyla </t>
  </si>
  <si>
    <t>Belthangady</t>
  </si>
  <si>
    <t xml:space="preserve">Laila B Bit-II </t>
  </si>
  <si>
    <t>II-47</t>
  </si>
  <si>
    <t>Soil -Red soil</t>
  </si>
  <si>
    <t>Canopy Dencity - 0.59</t>
  </si>
  <si>
    <t>Climbers -NIL</t>
  </si>
  <si>
    <t>Rattans –NIL</t>
  </si>
  <si>
    <t>Bamboos -NIL</t>
  </si>
  <si>
    <t>6m</t>
  </si>
  <si>
    <t>574 ft</t>
  </si>
  <si>
    <t>NIL</t>
  </si>
  <si>
    <t>Unknown</t>
  </si>
  <si>
    <t>Mangalore</t>
  </si>
  <si>
    <t>Jumma</t>
  </si>
  <si>
    <t>Batla Chandalike</t>
  </si>
  <si>
    <t>Gorbale</t>
  </si>
  <si>
    <t>Kuntu Nerale</t>
  </si>
  <si>
    <t>Neltare</t>
  </si>
  <si>
    <t xml:space="preserve">Psychotria dalzelli </t>
  </si>
  <si>
    <t>Salle</t>
  </si>
  <si>
    <t>Konana kivi</t>
  </si>
  <si>
    <t>Maddarasa</t>
  </si>
  <si>
    <t>Nertige</t>
  </si>
  <si>
    <t>Batla chandalike</t>
  </si>
  <si>
    <t>Akkerakalu</t>
  </si>
  <si>
    <t>Holigere</t>
  </si>
  <si>
    <t>Pandelu</t>
  </si>
  <si>
    <t xml:space="preserve">Congress </t>
  </si>
  <si>
    <t>Bidiru</t>
  </si>
  <si>
    <t>Kaadu coffee</t>
  </si>
  <si>
    <t>shoots, flowers</t>
  </si>
  <si>
    <t>leaves</t>
  </si>
  <si>
    <t>seeds</t>
  </si>
  <si>
    <t>tubers</t>
  </si>
  <si>
    <t>furits,dye</t>
  </si>
  <si>
    <t>fruits</t>
  </si>
  <si>
    <t>bark, roots</t>
  </si>
  <si>
    <t>seeds, latex</t>
  </si>
  <si>
    <t xml:space="preserve">Fruits, Fiber </t>
  </si>
  <si>
    <t>Edible fruits, Fiber</t>
  </si>
  <si>
    <t xml:space="preserve">Bark , seeds </t>
  </si>
  <si>
    <t xml:space="preserve">Seeds </t>
  </si>
  <si>
    <t>Flowers and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</si>
</sst>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2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306</v>
      </c>
    </row>
    <row r="6" spans="1:3" ht="39" customHeight="1" x14ac:dyDescent="0.25">
      <c r="A6" s="4">
        <v>2</v>
      </c>
      <c r="B6" s="51" t="s">
        <v>7</v>
      </c>
      <c r="C6" s="8" t="s">
        <v>307</v>
      </c>
    </row>
    <row r="7" spans="1:3" ht="39" customHeight="1" x14ac:dyDescent="0.25">
      <c r="A7" s="4">
        <v>3</v>
      </c>
      <c r="B7" s="51" t="s">
        <v>8</v>
      </c>
      <c r="C7" s="8" t="s">
        <v>308</v>
      </c>
    </row>
    <row r="8" spans="1:3" ht="39" customHeight="1" x14ac:dyDescent="0.25">
      <c r="A8" s="4">
        <v>4</v>
      </c>
      <c r="B8" s="51" t="s">
        <v>9</v>
      </c>
      <c r="C8" s="8">
        <v>6917</v>
      </c>
    </row>
    <row r="9" spans="1:3" ht="39" customHeight="1" x14ac:dyDescent="0.25">
      <c r="A9" s="4">
        <v>5</v>
      </c>
      <c r="B9" s="51" t="s">
        <v>10</v>
      </c>
      <c r="C9" s="9">
        <v>13.0265</v>
      </c>
    </row>
    <row r="10" spans="1:3" ht="39" customHeight="1" x14ac:dyDescent="0.25">
      <c r="A10" s="4">
        <v>6</v>
      </c>
      <c r="B10" s="51" t="s">
        <v>11</v>
      </c>
      <c r="C10" s="9">
        <v>75.264638000000005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310</v>
      </c>
    </row>
    <row r="16" spans="1:3" ht="32.25" customHeight="1" x14ac:dyDescent="0.25">
      <c r="A16" s="54"/>
      <c r="B16" s="55"/>
      <c r="C16" s="6" t="s">
        <v>309</v>
      </c>
    </row>
    <row r="17" spans="1:3" ht="32.25" customHeight="1" x14ac:dyDescent="0.25">
      <c r="A17" s="54"/>
      <c r="B17" s="55"/>
      <c r="C17" s="6" t="s">
        <v>247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313</v>
      </c>
    </row>
    <row r="20" spans="1:3" ht="57.75" customHeight="1" x14ac:dyDescent="0.25">
      <c r="A20" s="54"/>
      <c r="B20" s="55"/>
      <c r="C20" s="6" t="s">
        <v>249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251</v>
      </c>
    </row>
    <row r="23" spans="1:3" ht="63" customHeight="1" x14ac:dyDescent="0.25">
      <c r="A23" s="54"/>
      <c r="B23" s="55"/>
      <c r="C23" s="6" t="s">
        <v>311</v>
      </c>
    </row>
    <row r="24" spans="1:3" ht="63" customHeight="1" x14ac:dyDescent="0.25">
      <c r="A24" s="54"/>
      <c r="B24" s="55"/>
      <c r="C24" s="6" t="s">
        <v>312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1" t="s">
        <v>15</v>
      </c>
      <c r="C26" s="6" t="s">
        <v>253</v>
      </c>
    </row>
    <row r="27" spans="1:3" ht="53.25" customHeight="1" x14ac:dyDescent="0.25">
      <c r="A27" s="4">
        <v>11</v>
      </c>
      <c r="B27" s="51" t="s">
        <v>16</v>
      </c>
      <c r="C27" s="6" t="s">
        <v>254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314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318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 xml:space="preserve">Laila B Bit-II </v>
      </c>
    </row>
    <row r="8" spans="1:3" ht="32.25" customHeight="1" x14ac:dyDescent="0.25">
      <c r="A8" s="11">
        <v>4</v>
      </c>
      <c r="B8" s="52" t="s">
        <v>9</v>
      </c>
      <c r="C8" s="20">
        <f>'Form 1'!C8</f>
        <v>6917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13.0265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75.264638000000005</v>
      </c>
    </row>
    <row r="11" spans="1:3" ht="32.25" customHeight="1" x14ac:dyDescent="0.25">
      <c r="A11" s="11">
        <v>7</v>
      </c>
      <c r="B11" s="52" t="s">
        <v>22</v>
      </c>
      <c r="C11" s="20" t="s">
        <v>315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260</v>
      </c>
    </row>
    <row r="19" spans="1:3" ht="30.75" customHeight="1" x14ac:dyDescent="0.25">
      <c r="A19" s="57"/>
      <c r="B19" s="58"/>
      <c r="C19" s="22" t="s">
        <v>261</v>
      </c>
    </row>
    <row r="20" spans="1:3" ht="30.75" customHeight="1" x14ac:dyDescent="0.25">
      <c r="A20" s="57"/>
      <c r="B20" s="58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264</v>
      </c>
    </row>
    <row r="23" spans="1:3" ht="15.75" x14ac:dyDescent="0.25">
      <c r="A23" s="11">
        <v>17</v>
      </c>
      <c r="B23" s="52" t="s">
        <v>221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267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270</v>
      </c>
    </row>
    <row r="30" spans="1:3" ht="62.25" customHeight="1" x14ac:dyDescent="0.25">
      <c r="A30" s="11">
        <v>24</v>
      </c>
      <c r="B30" s="52" t="s">
        <v>39</v>
      </c>
      <c r="C30" s="22" t="s">
        <v>271</v>
      </c>
    </row>
    <row r="31" spans="1:3" ht="72.75" customHeight="1" x14ac:dyDescent="0.25">
      <c r="A31" s="11">
        <v>25</v>
      </c>
      <c r="B31" s="52" t="s">
        <v>40</v>
      </c>
      <c r="C31" s="22" t="s">
        <v>316</v>
      </c>
    </row>
    <row r="32" spans="1:3" ht="60" customHeight="1" x14ac:dyDescent="0.25">
      <c r="A32" s="11">
        <v>26</v>
      </c>
      <c r="B32" s="52" t="s">
        <v>41</v>
      </c>
      <c r="C32" s="22" t="s">
        <v>316</v>
      </c>
    </row>
    <row r="33" spans="1:3" ht="60" customHeight="1" x14ac:dyDescent="0.25">
      <c r="A33" s="11">
        <v>27</v>
      </c>
      <c r="B33" s="52" t="s">
        <v>42</v>
      </c>
      <c r="C33" s="20" t="s">
        <v>272</v>
      </c>
    </row>
    <row r="34" spans="1:3" ht="57.75" customHeight="1" x14ac:dyDescent="0.25">
      <c r="A34" s="11">
        <v>28</v>
      </c>
      <c r="B34" s="52" t="s">
        <v>43</v>
      </c>
      <c r="C34" s="22" t="s">
        <v>316</v>
      </c>
    </row>
    <row r="35" spans="1:3" ht="59.25" customHeight="1" x14ac:dyDescent="0.25">
      <c r="A35" s="11">
        <v>29</v>
      </c>
      <c r="B35" s="52" t="s">
        <v>44</v>
      </c>
      <c r="C35" s="22" t="s">
        <v>273</v>
      </c>
    </row>
    <row r="36" spans="1:3" ht="66" customHeight="1" x14ac:dyDescent="0.25">
      <c r="A36" s="11">
        <v>30</v>
      </c>
      <c r="B36" s="52" t="s">
        <v>225</v>
      </c>
      <c r="C36" s="22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0" zoomScale="60" zoomScaleNormal="70" workbookViewId="0">
      <selection activeCell="B19" sqref="B19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275</v>
      </c>
      <c r="C12" s="24"/>
      <c r="D12" s="24">
        <v>41</v>
      </c>
      <c r="E12" s="24"/>
      <c r="F12" s="24"/>
      <c r="G12" s="24"/>
      <c r="H12" s="24"/>
      <c r="I12" s="24">
        <v>3</v>
      </c>
      <c r="J12" s="24">
        <v>3.5</v>
      </c>
      <c r="K12" s="24">
        <f>L12+M12+R12</f>
        <v>13</v>
      </c>
      <c r="L12" s="24">
        <v>4.5</v>
      </c>
      <c r="M12" s="24">
        <v>4</v>
      </c>
      <c r="N12" s="24"/>
      <c r="O12" s="24"/>
      <c r="P12" s="24"/>
      <c r="Q12" s="24"/>
      <c r="R12" s="24">
        <v>4.5</v>
      </c>
      <c r="S12" s="24"/>
      <c r="T12" s="24"/>
    </row>
    <row r="13" spans="1:20" ht="40.5" customHeight="1" x14ac:dyDescent="0.25">
      <c r="A13" s="24">
        <v>2</v>
      </c>
      <c r="B13" s="24" t="s">
        <v>276</v>
      </c>
      <c r="C13" s="24"/>
      <c r="D13" s="24">
        <v>33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25" si="0">L13+M13+R13</f>
        <v>6</v>
      </c>
      <c r="L13" s="24">
        <v>2</v>
      </c>
      <c r="M13" s="24">
        <v>1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25">
      <c r="A14" s="24">
        <v>3</v>
      </c>
      <c r="B14" s="24" t="s">
        <v>275</v>
      </c>
      <c r="C14" s="24"/>
      <c r="D14" s="24">
        <v>53</v>
      </c>
      <c r="E14" s="24"/>
      <c r="F14" s="24"/>
      <c r="G14" s="24"/>
      <c r="H14" s="24"/>
      <c r="I14" s="24">
        <v>3.5</v>
      </c>
      <c r="J14" s="24">
        <v>5.5</v>
      </c>
      <c r="K14" s="24">
        <f t="shared" si="0"/>
        <v>10</v>
      </c>
      <c r="L14" s="24">
        <v>3</v>
      </c>
      <c r="M14" s="24">
        <v>3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v>4</v>
      </c>
      <c r="B15" s="24" t="s">
        <v>277</v>
      </c>
      <c r="C15" s="24"/>
      <c r="D15" s="24">
        <v>68</v>
      </c>
      <c r="E15" s="24"/>
      <c r="F15" s="24"/>
      <c r="G15" s="24"/>
      <c r="H15" s="24"/>
      <c r="I15" s="24">
        <v>5.5</v>
      </c>
      <c r="J15" s="24">
        <v>5.5</v>
      </c>
      <c r="K15" s="24">
        <f t="shared" si="0"/>
        <v>10</v>
      </c>
      <c r="L15" s="24">
        <v>3</v>
      </c>
      <c r="M15" s="24">
        <v>3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v>5</v>
      </c>
      <c r="B16" s="24" t="s">
        <v>278</v>
      </c>
      <c r="C16" s="24"/>
      <c r="D16" s="24">
        <v>73</v>
      </c>
      <c r="E16" s="24"/>
      <c r="F16" s="24"/>
      <c r="G16" s="24"/>
      <c r="H16" s="24"/>
      <c r="I16" s="24">
        <v>4.5</v>
      </c>
      <c r="J16" s="24">
        <v>4.5</v>
      </c>
      <c r="K16" s="24">
        <f t="shared" si="0"/>
        <v>9.5</v>
      </c>
      <c r="L16" s="24">
        <v>4</v>
      </c>
      <c r="M16" s="24">
        <v>1</v>
      </c>
      <c r="N16" s="24"/>
      <c r="O16" s="24"/>
      <c r="P16" s="24"/>
      <c r="Q16" s="24"/>
      <c r="R16" s="24">
        <v>4.5</v>
      </c>
      <c r="S16" s="24"/>
      <c r="T16" s="24"/>
    </row>
    <row r="17" spans="1:20" ht="40.5" customHeight="1" x14ac:dyDescent="0.25">
      <c r="A17" s="24">
        <v>6</v>
      </c>
      <c r="B17" s="24" t="s">
        <v>279</v>
      </c>
      <c r="C17" s="24"/>
      <c r="D17" s="24">
        <v>36</v>
      </c>
      <c r="E17" s="24"/>
      <c r="F17" s="24"/>
      <c r="G17" s="24"/>
      <c r="H17" s="24"/>
      <c r="I17" s="24">
        <v>4</v>
      </c>
      <c r="J17" s="24">
        <v>3</v>
      </c>
      <c r="K17" s="24">
        <f t="shared" si="0"/>
        <v>8.5</v>
      </c>
      <c r="L17" s="24">
        <v>1</v>
      </c>
      <c r="M17" s="24">
        <v>1.5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v>7</v>
      </c>
      <c r="B18" s="24" t="s">
        <v>317</v>
      </c>
      <c r="C18" s="24"/>
      <c r="D18" s="24">
        <v>41</v>
      </c>
      <c r="E18" s="24"/>
      <c r="F18" s="24"/>
      <c r="G18" s="24"/>
      <c r="H18" s="24"/>
      <c r="I18" s="24">
        <v>0</v>
      </c>
      <c r="J18" s="24">
        <v>0</v>
      </c>
      <c r="K18" s="24">
        <f t="shared" si="0"/>
        <v>0</v>
      </c>
      <c r="L18" s="24">
        <v>0</v>
      </c>
      <c r="M18" s="24">
        <v>0</v>
      </c>
      <c r="N18" s="24"/>
      <c r="O18" s="24"/>
      <c r="P18" s="24"/>
      <c r="Q18" s="24"/>
      <c r="R18" s="24">
        <v>0</v>
      </c>
      <c r="S18" s="24"/>
      <c r="T18" s="24"/>
    </row>
    <row r="19" spans="1:20" ht="40.5" customHeight="1" x14ac:dyDescent="0.25">
      <c r="A19" s="24">
        <v>8</v>
      </c>
      <c r="B19" s="19" t="s">
        <v>281</v>
      </c>
      <c r="C19" s="24"/>
      <c r="D19" s="24">
        <v>47</v>
      </c>
      <c r="E19" s="24"/>
      <c r="F19" s="24"/>
      <c r="G19" s="24"/>
      <c r="H19" s="24"/>
      <c r="I19" s="24">
        <v>4</v>
      </c>
      <c r="J19" s="24">
        <v>4.5</v>
      </c>
      <c r="K19" s="24">
        <f t="shared" si="0"/>
        <v>7</v>
      </c>
      <c r="L19" s="24">
        <v>3</v>
      </c>
      <c r="M19" s="24">
        <v>2</v>
      </c>
      <c r="N19" s="24"/>
      <c r="O19" s="24"/>
      <c r="P19" s="24"/>
      <c r="Q19" s="24"/>
      <c r="R19" s="24">
        <v>2</v>
      </c>
      <c r="S19" s="24"/>
      <c r="T19" s="24"/>
    </row>
    <row r="20" spans="1:20" ht="40.5" customHeight="1" x14ac:dyDescent="0.25">
      <c r="A20" s="24">
        <v>9</v>
      </c>
      <c r="B20" s="24" t="s">
        <v>279</v>
      </c>
      <c r="C20" s="24"/>
      <c r="D20" s="24">
        <v>51</v>
      </c>
      <c r="E20" s="24"/>
      <c r="F20" s="24"/>
      <c r="G20" s="24"/>
      <c r="H20" s="24"/>
      <c r="I20" s="24">
        <v>4.5</v>
      </c>
      <c r="J20" s="24">
        <v>5.5</v>
      </c>
      <c r="K20" s="24">
        <f t="shared" si="0"/>
        <v>11</v>
      </c>
      <c r="L20" s="24">
        <v>2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v>10</v>
      </c>
      <c r="B21" s="24" t="s">
        <v>276</v>
      </c>
      <c r="C21" s="24"/>
      <c r="D21" s="24">
        <v>76</v>
      </c>
      <c r="E21" s="24"/>
      <c r="F21" s="24"/>
      <c r="G21" s="24"/>
      <c r="H21" s="24"/>
      <c r="I21" s="24">
        <v>5.5</v>
      </c>
      <c r="J21" s="24">
        <v>6.5</v>
      </c>
      <c r="K21" s="24">
        <f t="shared" si="0"/>
        <v>8.5</v>
      </c>
      <c r="L21" s="24">
        <v>4</v>
      </c>
      <c r="M21" s="24">
        <v>2</v>
      </c>
      <c r="N21" s="24"/>
      <c r="O21" s="24"/>
      <c r="P21" s="24"/>
      <c r="Q21" s="24"/>
      <c r="R21" s="24">
        <v>2.5</v>
      </c>
      <c r="S21" s="24"/>
      <c r="T21" s="24"/>
    </row>
    <row r="22" spans="1:20" ht="40.5" customHeight="1" x14ac:dyDescent="0.25">
      <c r="A22" s="24">
        <v>11</v>
      </c>
      <c r="B22" s="24" t="s">
        <v>280</v>
      </c>
      <c r="C22" s="24"/>
      <c r="D22" s="24">
        <v>68</v>
      </c>
      <c r="E22" s="24"/>
      <c r="F22" s="24"/>
      <c r="G22" s="24"/>
      <c r="H22" s="24"/>
      <c r="I22" s="24">
        <v>3</v>
      </c>
      <c r="J22" s="24">
        <v>4</v>
      </c>
      <c r="K22" s="24">
        <f t="shared" si="0"/>
        <v>12</v>
      </c>
      <c r="L22" s="24">
        <v>2</v>
      </c>
      <c r="M22" s="24">
        <v>3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v>12</v>
      </c>
      <c r="B23" s="24" t="s">
        <v>276</v>
      </c>
      <c r="C23" s="24"/>
      <c r="D23" s="24">
        <v>36</v>
      </c>
      <c r="E23" s="24"/>
      <c r="F23" s="24"/>
      <c r="G23" s="24"/>
      <c r="H23" s="24"/>
      <c r="I23" s="24">
        <v>3</v>
      </c>
      <c r="J23" s="24">
        <v>4</v>
      </c>
      <c r="K23" s="24">
        <f t="shared" si="0"/>
        <v>9</v>
      </c>
      <c r="L23" s="24">
        <v>1.5</v>
      </c>
      <c r="M23" s="24">
        <v>2</v>
      </c>
      <c r="N23" s="24"/>
      <c r="O23" s="24"/>
      <c r="P23" s="24"/>
      <c r="Q23" s="24"/>
      <c r="R23" s="24">
        <v>5.5</v>
      </c>
      <c r="S23" s="24"/>
      <c r="T23" s="24"/>
    </row>
    <row r="24" spans="1:20" ht="40.5" customHeight="1" x14ac:dyDescent="0.25">
      <c r="A24" s="24">
        <v>13</v>
      </c>
      <c r="B24" s="24" t="s">
        <v>277</v>
      </c>
      <c r="C24" s="24"/>
      <c r="D24" s="24">
        <v>46</v>
      </c>
      <c r="E24" s="24"/>
      <c r="F24" s="24"/>
      <c r="G24" s="24"/>
      <c r="H24" s="24"/>
      <c r="I24" s="24">
        <v>4</v>
      </c>
      <c r="J24" s="24">
        <v>4.5</v>
      </c>
      <c r="K24" s="24">
        <f t="shared" si="0"/>
        <v>8</v>
      </c>
      <c r="L24" s="24">
        <v>2</v>
      </c>
      <c r="M24" s="24">
        <v>3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25">
      <c r="A25" s="24">
        <v>14</v>
      </c>
      <c r="B25" s="24" t="s">
        <v>277</v>
      </c>
      <c r="C25" s="24"/>
      <c r="D25" s="24">
        <v>43</v>
      </c>
      <c r="E25" s="24"/>
      <c r="F25" s="24"/>
      <c r="G25" s="24"/>
      <c r="H25" s="24"/>
      <c r="I25" s="24">
        <v>3</v>
      </c>
      <c r="J25" s="24">
        <v>3.5</v>
      </c>
      <c r="K25" s="24">
        <f t="shared" si="0"/>
        <v>10</v>
      </c>
      <c r="L25" s="24">
        <v>3</v>
      </c>
      <c r="M25" s="24">
        <v>3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F11" sqref="F1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289</v>
      </c>
      <c r="C5" s="12" t="s">
        <v>319</v>
      </c>
      <c r="D5" s="12">
        <v>2.2000000000000002</v>
      </c>
      <c r="E5" s="12">
        <v>2</v>
      </c>
      <c r="F5" s="88" t="s">
        <v>347</v>
      </c>
      <c r="G5" s="12">
        <f>D5*E5</f>
        <v>4.4000000000000004</v>
      </c>
      <c r="H5" s="12"/>
    </row>
    <row r="6" spans="1:8" ht="29.25" customHeight="1" x14ac:dyDescent="0.25">
      <c r="A6" s="11">
        <v>2</v>
      </c>
      <c r="B6" s="12" t="s">
        <v>290</v>
      </c>
      <c r="C6" s="12" t="s">
        <v>323</v>
      </c>
      <c r="D6" s="12">
        <v>3.5</v>
      </c>
      <c r="E6" s="12">
        <v>2.5</v>
      </c>
      <c r="F6" s="12" t="s">
        <v>337</v>
      </c>
      <c r="G6" s="12">
        <f t="shared" ref="G6:G11" si="0">D6*E6</f>
        <v>8.75</v>
      </c>
      <c r="H6" s="12"/>
    </row>
    <row r="7" spans="1:8" ht="29.25" customHeight="1" x14ac:dyDescent="0.25">
      <c r="A7" s="11">
        <v>3</v>
      </c>
      <c r="B7" s="12" t="s">
        <v>291</v>
      </c>
      <c r="C7" s="12"/>
      <c r="D7" s="12">
        <v>4.5</v>
      </c>
      <c r="E7" s="12">
        <v>3</v>
      </c>
      <c r="F7" s="12"/>
      <c r="G7" s="12">
        <f t="shared" si="0"/>
        <v>13.5</v>
      </c>
      <c r="H7" s="12"/>
    </row>
    <row r="8" spans="1:8" ht="29.25" customHeight="1" x14ac:dyDescent="0.25">
      <c r="A8" s="11">
        <v>4</v>
      </c>
      <c r="B8" s="12" t="s">
        <v>292</v>
      </c>
      <c r="C8" s="12" t="s">
        <v>320</v>
      </c>
      <c r="D8" s="12">
        <v>2.5</v>
      </c>
      <c r="E8" s="12">
        <v>3</v>
      </c>
      <c r="F8" s="88" t="s">
        <v>345</v>
      </c>
      <c r="G8" s="12">
        <f t="shared" si="0"/>
        <v>7.5</v>
      </c>
      <c r="H8" s="12"/>
    </row>
    <row r="9" spans="1:8" ht="29.25" customHeight="1" x14ac:dyDescent="0.25">
      <c r="A9" s="11">
        <v>5</v>
      </c>
      <c r="B9" s="12" t="s">
        <v>293</v>
      </c>
      <c r="C9" s="12" t="s">
        <v>321</v>
      </c>
      <c r="D9" s="12">
        <v>5</v>
      </c>
      <c r="E9" s="12">
        <v>3</v>
      </c>
      <c r="F9" s="88" t="s">
        <v>348</v>
      </c>
      <c r="G9" s="12">
        <f t="shared" si="0"/>
        <v>15</v>
      </c>
      <c r="H9" s="12"/>
    </row>
    <row r="10" spans="1:8" ht="29.25" customHeight="1" x14ac:dyDescent="0.25">
      <c r="A10" s="11">
        <v>6</v>
      </c>
      <c r="B10" s="12" t="s">
        <v>294</v>
      </c>
      <c r="C10" s="12" t="s">
        <v>322</v>
      </c>
      <c r="D10" s="12">
        <v>2.2000000000000002</v>
      </c>
      <c r="E10" s="12">
        <v>3.5</v>
      </c>
      <c r="F10" s="12" t="s">
        <v>341</v>
      </c>
      <c r="G10" s="12">
        <f t="shared" si="0"/>
        <v>7.7000000000000011</v>
      </c>
      <c r="H10" s="12"/>
    </row>
    <row r="11" spans="1:8" ht="29.25" customHeight="1" x14ac:dyDescent="0.25">
      <c r="A11" s="11">
        <v>7</v>
      </c>
      <c r="B11" s="12" t="s">
        <v>292</v>
      </c>
      <c r="C11" s="12" t="s">
        <v>320</v>
      </c>
      <c r="D11" s="12">
        <v>3.5</v>
      </c>
      <c r="E11" s="12">
        <v>4</v>
      </c>
      <c r="F11" s="88" t="s">
        <v>345</v>
      </c>
      <c r="G11" s="12">
        <f t="shared" si="0"/>
        <v>14</v>
      </c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295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296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296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297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298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324</v>
      </c>
      <c r="C38" s="18" t="s">
        <v>326</v>
      </c>
      <c r="D38" s="18">
        <v>3</v>
      </c>
      <c r="E38" s="18">
        <v>2.5</v>
      </c>
      <c r="F38" s="18" t="s">
        <v>337</v>
      </c>
      <c r="G38" s="12">
        <f t="shared" ref="G38:G41" si="1">D38*E38</f>
        <v>7.5</v>
      </c>
      <c r="H38" s="18"/>
    </row>
    <row r="39" spans="1:8" ht="36" customHeight="1" x14ac:dyDescent="0.25">
      <c r="A39" s="11">
        <v>2</v>
      </c>
      <c r="B39" s="18" t="s">
        <v>324</v>
      </c>
      <c r="C39" s="18" t="s">
        <v>326</v>
      </c>
      <c r="D39" s="18">
        <v>4.5</v>
      </c>
      <c r="E39" s="18">
        <v>3</v>
      </c>
      <c r="F39" s="18" t="s">
        <v>338</v>
      </c>
      <c r="G39" s="12">
        <f t="shared" si="1"/>
        <v>13.5</v>
      </c>
      <c r="H39" s="18"/>
    </row>
    <row r="40" spans="1:8" ht="36" customHeight="1" x14ac:dyDescent="0.25">
      <c r="A40" s="11">
        <v>3</v>
      </c>
      <c r="B40" s="18" t="s">
        <v>277</v>
      </c>
      <c r="C40" s="18" t="s">
        <v>325</v>
      </c>
      <c r="D40" s="18">
        <v>4</v>
      </c>
      <c r="E40" s="18">
        <v>4</v>
      </c>
      <c r="F40" s="18" t="s">
        <v>338</v>
      </c>
      <c r="G40" s="12">
        <f t="shared" si="1"/>
        <v>16</v>
      </c>
      <c r="H40" s="18"/>
    </row>
    <row r="41" spans="1:8" ht="36" customHeight="1" x14ac:dyDescent="0.25">
      <c r="A41" s="11">
        <v>4</v>
      </c>
      <c r="B41" s="18" t="s">
        <v>276</v>
      </c>
      <c r="C41" s="18" t="s">
        <v>327</v>
      </c>
      <c r="D41" s="18">
        <v>4</v>
      </c>
      <c r="E41" s="18">
        <v>5</v>
      </c>
      <c r="F41" s="88" t="s">
        <v>346</v>
      </c>
      <c r="G41" s="12">
        <f t="shared" si="1"/>
        <v>20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299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300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301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284</v>
      </c>
      <c r="C69" s="11" t="s">
        <v>328</v>
      </c>
      <c r="D69" s="11">
        <v>5</v>
      </c>
      <c r="E69" s="11">
        <v>3.5</v>
      </c>
      <c r="F69" s="88" t="s">
        <v>344</v>
      </c>
      <c r="G69" s="12">
        <f t="shared" ref="G69:G73" si="2">D69*E69</f>
        <v>17.5</v>
      </c>
      <c r="H69" s="11"/>
    </row>
    <row r="70" spans="1:8" s="28" customFormat="1" ht="41.25" customHeight="1" x14ac:dyDescent="0.25">
      <c r="A70" s="11">
        <v>2</v>
      </c>
      <c r="B70" s="40" t="s">
        <v>284</v>
      </c>
      <c r="C70" s="11" t="s">
        <v>328</v>
      </c>
      <c r="D70" s="11">
        <v>3.5</v>
      </c>
      <c r="E70" s="11">
        <v>3.5</v>
      </c>
      <c r="F70" s="11"/>
      <c r="G70" s="12">
        <f t="shared" si="2"/>
        <v>12.25</v>
      </c>
      <c r="H70" s="11"/>
    </row>
    <row r="71" spans="1:8" s="28" customFormat="1" ht="41.25" customHeight="1" x14ac:dyDescent="0.25">
      <c r="A71" s="11">
        <v>3</v>
      </c>
      <c r="B71" s="40" t="s">
        <v>292</v>
      </c>
      <c r="C71" s="11" t="s">
        <v>329</v>
      </c>
      <c r="D71" s="11">
        <v>4.5</v>
      </c>
      <c r="E71" s="11">
        <v>4</v>
      </c>
      <c r="F71" s="88" t="s">
        <v>345</v>
      </c>
      <c r="G71" s="12">
        <f t="shared" si="2"/>
        <v>18</v>
      </c>
      <c r="H71" s="11"/>
    </row>
    <row r="72" spans="1:8" s="28" customFormat="1" ht="41.25" customHeight="1" x14ac:dyDescent="0.25">
      <c r="A72" s="11">
        <v>4</v>
      </c>
      <c r="B72" s="40" t="s">
        <v>303</v>
      </c>
      <c r="C72" s="11"/>
      <c r="D72" s="11">
        <v>5</v>
      </c>
      <c r="E72" s="11">
        <v>4.5</v>
      </c>
      <c r="F72" s="11"/>
      <c r="G72" s="12">
        <f t="shared" si="2"/>
        <v>22.5</v>
      </c>
      <c r="H72" s="11"/>
    </row>
    <row r="73" spans="1:8" s="28" customFormat="1" ht="41.25" customHeight="1" x14ac:dyDescent="0.25">
      <c r="A73" s="11">
        <v>5</v>
      </c>
      <c r="B73" s="40" t="s">
        <v>304</v>
      </c>
      <c r="C73" s="11" t="s">
        <v>330</v>
      </c>
      <c r="D73" s="11">
        <v>3.5</v>
      </c>
      <c r="E73" s="11">
        <v>4</v>
      </c>
      <c r="F73" s="11" t="s">
        <v>341</v>
      </c>
      <c r="G73" s="12">
        <f t="shared" si="2"/>
        <v>14</v>
      </c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276</v>
      </c>
      <c r="C96" s="11" t="s">
        <v>327</v>
      </c>
      <c r="D96" s="41">
        <v>3</v>
      </c>
      <c r="E96" s="42">
        <v>3.5</v>
      </c>
      <c r="F96" s="23" t="s">
        <v>342</v>
      </c>
      <c r="G96" s="12">
        <f t="shared" ref="G96:G98" si="3">D96*E96</f>
        <v>10.5</v>
      </c>
      <c r="H96" s="23"/>
    </row>
    <row r="97" spans="1:8" s="28" customFormat="1" ht="39" customHeight="1" x14ac:dyDescent="0.25">
      <c r="A97" s="41">
        <v>2</v>
      </c>
      <c r="B97" s="40" t="s">
        <v>279</v>
      </c>
      <c r="C97" s="11" t="s">
        <v>331</v>
      </c>
      <c r="D97" s="41">
        <v>2.5</v>
      </c>
      <c r="E97" s="42">
        <v>3</v>
      </c>
      <c r="F97" s="23" t="s">
        <v>343</v>
      </c>
      <c r="G97" s="12">
        <f t="shared" si="3"/>
        <v>7.5</v>
      </c>
      <c r="H97" s="23"/>
    </row>
    <row r="98" spans="1:8" s="28" customFormat="1" ht="39" customHeight="1" x14ac:dyDescent="0.25">
      <c r="A98" s="41">
        <v>3</v>
      </c>
      <c r="B98" s="40" t="s">
        <v>305</v>
      </c>
      <c r="C98" s="11" t="s">
        <v>332</v>
      </c>
      <c r="D98" s="41">
        <v>3</v>
      </c>
      <c r="E98" s="42">
        <v>4.5</v>
      </c>
      <c r="F98" s="23" t="s">
        <v>337</v>
      </c>
      <c r="G98" s="12">
        <f t="shared" si="3"/>
        <v>13.5</v>
      </c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" zoomScale="85" zoomScaleNormal="85" zoomScaleSheetLayoutView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2" t="s">
        <v>271</v>
      </c>
      <c r="C6" s="12" t="s">
        <v>333</v>
      </c>
      <c r="D6" s="12">
        <v>50</v>
      </c>
      <c r="E6" s="18" t="s">
        <v>337</v>
      </c>
      <c r="F6" s="18">
        <f>0.05*(D6)*(D6)</f>
        <v>125</v>
      </c>
      <c r="G6" s="18"/>
    </row>
    <row r="7" spans="1:7" ht="45.6" customHeight="1" x14ac:dyDescent="0.25">
      <c r="A7" s="11">
        <v>2</v>
      </c>
      <c r="B7" s="12" t="s">
        <v>282</v>
      </c>
      <c r="C7" s="12"/>
      <c r="D7" s="12">
        <v>15</v>
      </c>
      <c r="E7" s="18"/>
      <c r="F7" s="18">
        <f t="shared" ref="F7:F11" si="0">0.05*(D7)*(D7)</f>
        <v>11.25</v>
      </c>
      <c r="G7" s="18"/>
    </row>
    <row r="8" spans="1:7" ht="45.6" customHeight="1" x14ac:dyDescent="0.25">
      <c r="A8" s="11">
        <v>3</v>
      </c>
      <c r="B8" s="12" t="s">
        <v>282</v>
      </c>
      <c r="C8" s="12"/>
      <c r="D8" s="12">
        <v>25</v>
      </c>
      <c r="E8" s="18"/>
      <c r="F8" s="18">
        <f t="shared" si="0"/>
        <v>31.25</v>
      </c>
      <c r="G8" s="18"/>
    </row>
    <row r="9" spans="1:7" ht="45.6" customHeight="1" x14ac:dyDescent="0.25">
      <c r="A9" s="11">
        <v>4</v>
      </c>
      <c r="B9" s="12" t="s">
        <v>282</v>
      </c>
      <c r="C9" s="12"/>
      <c r="D9" s="12">
        <v>20</v>
      </c>
      <c r="E9" s="18"/>
      <c r="F9" s="18">
        <f t="shared" si="0"/>
        <v>20</v>
      </c>
      <c r="G9" s="18"/>
    </row>
    <row r="10" spans="1:7" ht="45.6" customHeight="1" x14ac:dyDescent="0.25">
      <c r="A10" s="11">
        <v>5</v>
      </c>
      <c r="B10" s="12" t="s">
        <v>283</v>
      </c>
      <c r="C10" s="12"/>
      <c r="D10" s="12">
        <v>31</v>
      </c>
      <c r="E10" s="18"/>
      <c r="F10" s="18">
        <f t="shared" si="0"/>
        <v>48.050000000000004</v>
      </c>
      <c r="G10" s="18"/>
    </row>
    <row r="11" spans="1:7" ht="45.6" customHeight="1" x14ac:dyDescent="0.25">
      <c r="A11" s="11">
        <v>6</v>
      </c>
      <c r="B11" s="12" t="s">
        <v>284</v>
      </c>
      <c r="C11" s="12" t="s">
        <v>328</v>
      </c>
      <c r="D11" s="12">
        <v>25</v>
      </c>
      <c r="E11" s="18" t="s">
        <v>341</v>
      </c>
      <c r="F11" s="18">
        <f t="shared" si="0"/>
        <v>31.25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285</v>
      </c>
      <c r="C39" s="48" t="s">
        <v>334</v>
      </c>
      <c r="D39" s="41">
        <v>60</v>
      </c>
      <c r="E39" s="23" t="s">
        <v>336</v>
      </c>
      <c r="F39" s="18">
        <f t="shared" ref="F39:F44" si="1">0.05*(D39)*(D39)</f>
        <v>180</v>
      </c>
      <c r="G39" s="23"/>
    </row>
    <row r="40" spans="1:7" s="28" customFormat="1" ht="45.6" customHeight="1" x14ac:dyDescent="0.25">
      <c r="A40" s="41">
        <v>2</v>
      </c>
      <c r="B40" s="23" t="s">
        <v>286</v>
      </c>
      <c r="C40" s="48"/>
      <c r="D40" s="41">
        <v>30</v>
      </c>
      <c r="E40" s="23" t="s">
        <v>340</v>
      </c>
      <c r="F40" s="18">
        <f t="shared" si="1"/>
        <v>45</v>
      </c>
      <c r="G40" s="23"/>
    </row>
    <row r="41" spans="1:7" s="28" customFormat="1" ht="45.6" customHeight="1" x14ac:dyDescent="0.25">
      <c r="A41" s="41">
        <v>3</v>
      </c>
      <c r="B41" s="23" t="s">
        <v>287</v>
      </c>
      <c r="C41" s="48" t="s">
        <v>335</v>
      </c>
      <c r="D41" s="41">
        <v>40</v>
      </c>
      <c r="E41" s="23" t="s">
        <v>337</v>
      </c>
      <c r="F41" s="18">
        <f t="shared" si="1"/>
        <v>80</v>
      </c>
      <c r="G41" s="23"/>
    </row>
    <row r="42" spans="1:7" s="28" customFormat="1" ht="45.6" customHeight="1" x14ac:dyDescent="0.25">
      <c r="A42" s="41">
        <v>4</v>
      </c>
      <c r="B42" s="23" t="s">
        <v>287</v>
      </c>
      <c r="C42" s="48" t="s">
        <v>335</v>
      </c>
      <c r="D42" s="41">
        <v>35</v>
      </c>
      <c r="E42" s="23" t="s">
        <v>338</v>
      </c>
      <c r="F42" s="18">
        <f t="shared" si="1"/>
        <v>61.25</v>
      </c>
      <c r="G42" s="23"/>
    </row>
    <row r="43" spans="1:7" s="28" customFormat="1" ht="45.6" customHeight="1" x14ac:dyDescent="0.25">
      <c r="A43" s="41">
        <v>5</v>
      </c>
      <c r="B43" s="23" t="s">
        <v>287</v>
      </c>
      <c r="C43" s="48" t="s">
        <v>335</v>
      </c>
      <c r="D43" s="41">
        <v>25</v>
      </c>
      <c r="E43" s="23"/>
      <c r="F43" s="18">
        <f t="shared" si="1"/>
        <v>31.25</v>
      </c>
      <c r="G43" s="23"/>
    </row>
    <row r="44" spans="1:7" s="28" customFormat="1" ht="45.6" customHeight="1" x14ac:dyDescent="0.25">
      <c r="A44" s="41">
        <v>6</v>
      </c>
      <c r="B44" s="23" t="s">
        <v>288</v>
      </c>
      <c r="C44" s="48"/>
      <c r="D44" s="41">
        <v>60</v>
      </c>
      <c r="E44" s="23" t="s">
        <v>339</v>
      </c>
      <c r="F44" s="18">
        <f t="shared" si="1"/>
        <v>180</v>
      </c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C12" sqref="C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2024-06-17T08:55:16Z</dcterms:modified>
</cp:coreProperties>
</file>