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Block\II-61\"/>
    </mc:Choice>
  </mc:AlternateContent>
  <xr:revisionPtr revIDLastSave="0" documentId="13_ncr:1_{8867D13E-330A-444E-A4E0-F6F960DBCA00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" i="8" l="1"/>
  <c r="G102" i="8"/>
  <c r="G101" i="8"/>
  <c r="G100" i="8"/>
  <c r="G99" i="8"/>
  <c r="G98" i="8"/>
  <c r="G97" i="8"/>
  <c r="G96" i="8"/>
  <c r="G40" i="8"/>
  <c r="G39" i="8"/>
  <c r="G38" i="8"/>
  <c r="G6" i="8"/>
  <c r="G7" i="8"/>
  <c r="G5" i="8"/>
  <c r="F42" i="9"/>
  <c r="F41" i="9"/>
  <c r="F40" i="9"/>
  <c r="F39" i="9"/>
  <c r="F16" i="9"/>
  <c r="F15" i="9"/>
  <c r="F14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<sst xmlns="http://schemas.openxmlformats.org/spreadsheetml/2006/main" count="508" uniqueCount="352">
  <si>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</si>
  <si>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</si>
  <si>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</si>
  <si>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</si>
  <si>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</si>
  <si>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</si>
  <si>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</si>
  <si>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</si>
  <si>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</si>
  <si>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</si>
  <si>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</si>
  <si>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</si>
  <si>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</si>
  <si>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</si>
  <si>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</si>
  <si>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</si>
  <si>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</si>
  <si>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</si>
  <si>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</si>
  <si>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</si>
  <si>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</si>
  <si>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</si>
  <si>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</si>
  <si>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</si>
  <si>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</si>
  <si>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</si>
  <si>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</si>
  <si>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</si>
  <si>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</si>
  <si>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</si>
  <si>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</si>
  <si>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</si>
  <si>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</si>
  <si>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</si>
  <si>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</si>
  <si>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</si>
  <si>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</si>
  <si>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</si>
  <si>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</si>
  <si>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</si>
  <si>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</si>
  <si>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</si>
  <si>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</si>
  <si>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</si>
  <si>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</si>
  <si>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</si>
  <si>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</si>
  <si>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</si>
  <si>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</si>
  <si>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</si>
  <si>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</si>
  <si>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</si>
  <si>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</si>
  <si>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</si>
  <si>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</si>
  <si>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</si>
  <si>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</si>
  <si>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</si>
  <si>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</si>
  <si>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</si>
  <si>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</si>
  <si>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</si>
  <si>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</si>
  <si>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</si>
  <si>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</si>
  <si>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</si>
  <si>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</si>
  <si>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</si>
  <si>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</si>
  <si>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</si>
  <si>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</si>
  <si>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</si>
  <si>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</si>
  <si>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</si>
  <si>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</si>
  <si>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</si>
  <si>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</si>
  <si>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</si>
  <si>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</si>
  <si>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</si>
  <si>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</si>
  <si>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</si>
  <si>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</si>
  <si>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</si>
  <si>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</si>
  <si>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</si>
  <si>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</si>
  <si>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</si>
  <si>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</si>
  <si>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</si>
  <si>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</si>
  <si>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</si>
  <si>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</si>
  <si>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</si>
  <si>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</si>
  <si>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</si>
  <si>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</si>
  <si>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</si>
  <si>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</si>
  <si>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</si>
  <si>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</si>
  <si>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</si>
  <si>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</si>
  <si>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</si>
  <si>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</si>
  <si>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</si>
  <si>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</si>
  <si>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</si>
  <si>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</si>
  <si>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</si>
  <si>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</si>
  <si>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</si>
  <si>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</si>
  <si>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</si>
  <si>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</si>
  <si>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</si>
  <si>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</si>
  <si>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</si>
  <si>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</si>
  <si>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</si>
  <si>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</si>
  <si>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</si>
  <si>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</si>
  <si>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</si>
  <si>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</si>
  <si>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</si>
  <si>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</si>
  <si>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</si>
  <si>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</si>
  <si>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</si>
  <si>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</si>
  <si>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</si>
  <si>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</si>
  <si>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</si>
  <si>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</si>
  <si>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</si>
  <si>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</si>
  <si>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</si>
  <si>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</si>
  <si>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</si>
  <si>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</si>
  <si>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</si>
  <si>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</si>
  <si>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</si>
  <si>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</si>
  <si>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</si>
  <si>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</si>
  <si>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</si>
  <si>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</si>
  <si>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</si>
  <si>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</si>
  <si>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</si>
  <si>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</si>
  <si>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</si>
  <si>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</si>
  <si>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</si>
  <si>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</si>
  <si>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</si>
  <si>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</si>
  <si>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</si>
  <si>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</si>
  <si>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</si>
  <si>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</si>
  <si>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</si>
  <si>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</si>
  <si>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</si>
  <si>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</si>
  <si>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</si>
  <si>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</si>
  <si>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</si>
  <si>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</si>
  <si>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</si>
  <si>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</si>
  <si>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</si>
  <si>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</si>
  <si>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</si>
  <si>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</si>
  <si>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</si>
  <si>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</si>
  <si>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</si>
  <si>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</si>
  <si>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</si>
  <si>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</si>
  <si>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</si>
  <si>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</si>
  <si>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</si>
  <si>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</si>
  <si>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</si>
  <si>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</si>
  <si>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</si>
  <si>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</si>
  <si>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</si>
  <si>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</si>
  <si>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</si>
  <si>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</si>
  <si>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</si>
  <si>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</si>
  <si>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</si>
  <si>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</si>
  <si>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</si>
  <si>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</si>
  <si>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</si>
  <si>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</si>
  <si>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</si>
  <si>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</si>
  <si>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</si>
  <si>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</si>
  <si>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</si>
  <si>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</si>
  <si>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</si>
  <si>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</si>
  <si>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</si>
  <si>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</si>
  <si>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</si>
  <si>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</si>
  <si>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</si>
  <si>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</si>
  <si>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</si>
  <si>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</si>
  <si>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</si>
  <si>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</si>
  <si>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</si>
  <si>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</si>
  <si>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</si>
  <si>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</si>
  <si>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</si>
  <si>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</si>
  <si>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</si>
  <si>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</si>
  <si>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</si>
  <si>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</si>
  <si>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</si>
  <si>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</si>
  <si>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</si>
  <si>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</si>
  <si>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</si>
  <si>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</si>
  <si>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</si>
  <si>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</si>
  <si>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</si>
  <si>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</si>
  <si>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Gangathyoru   upto     N  12.952258  E 75.353957   by vehicle then travel in the bearing of  135  degree upto a distance of    76 m to reach the grid.</t>
  </si>
  <si>
    <t>Aporosa lindleyana , Macaranga peltata , Xylia xylocarpa , Holigarna arnattiana</t>
  </si>
  <si>
    <t>Aspect -South</t>
  </si>
  <si>
    <t>Soil - Humus rich sandy soil</t>
  </si>
  <si>
    <t xml:space="preserve">Herbs - Strobilanthus sp, Artocarpus lakoocha , Psychotria flavida , Psychotria dalzelli </t>
  </si>
  <si>
    <t xml:space="preserve">Shrubs - Psychotria dalzelli , Mallotus philippensis </t>
  </si>
  <si>
    <t xml:space="preserve">Underwood species – Holigarna arnattiana , Leea indica </t>
  </si>
  <si>
    <t xml:space="preserve">Climbers - Trifoliated climber , Leea indica </t>
  </si>
  <si>
    <t xml:space="preserve">NTFP yieding sps – Artocarpus lakoocha </t>
  </si>
  <si>
    <t>3m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</si>
  <si>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</si>
  <si>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</si>
  <si>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</si>
  <si>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</si>
  <si>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</si>
  <si>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</si>
  <si>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</si>
  <si>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</si>
  <si>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</si>
  <si>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</si>
  <si>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</si>
  <si>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</si>
  <si>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</si>
  <si>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</si>
  <si>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</si>
  <si>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Holigarna arnattiana</t>
  </si>
  <si>
    <t>Terminalia paniculata</t>
  </si>
  <si>
    <t>Tabernamontana heyneana</t>
  </si>
  <si>
    <t>Terminalia bellarica</t>
  </si>
  <si>
    <t xml:space="preserve">Aporosa lindleyana </t>
  </si>
  <si>
    <t>Schleichera oleosa</t>
  </si>
  <si>
    <t>Xylia xylocarpa</t>
  </si>
  <si>
    <t>Terminalia tomentosa</t>
  </si>
  <si>
    <t>Aporosa lindleyana</t>
  </si>
  <si>
    <t>Veteria indica</t>
  </si>
  <si>
    <t>Miusops eleongi</t>
  </si>
  <si>
    <t>Buchanania lanzan</t>
  </si>
  <si>
    <t>Artocarpus hirusts</t>
  </si>
  <si>
    <t>dead</t>
  </si>
  <si>
    <t>1.5kg</t>
  </si>
  <si>
    <t>Leea indica</t>
  </si>
  <si>
    <t>Actinodaphne hookeri</t>
  </si>
  <si>
    <t>6kg</t>
  </si>
  <si>
    <t>2.2kg</t>
  </si>
  <si>
    <t>NIL</t>
  </si>
  <si>
    <t>Flacourtia montana</t>
  </si>
  <si>
    <t>Psychotria dalzelli</t>
  </si>
  <si>
    <t>Psychotria flavida</t>
  </si>
  <si>
    <t>Small wavy leaved herb</t>
  </si>
  <si>
    <t>Ixora brachiata</t>
  </si>
  <si>
    <t>Koliballi</t>
  </si>
  <si>
    <t>Holarrhena antidysenterica</t>
  </si>
  <si>
    <t>Lopopetalum vitianum</t>
  </si>
  <si>
    <t>Syzygium caryophyllateum</t>
  </si>
  <si>
    <t>Allophylus cobbe</t>
  </si>
  <si>
    <t>Memecylon talbotianum</t>
  </si>
  <si>
    <t>P Kuntanerale</t>
  </si>
  <si>
    <t>Artocarpus lakoocha</t>
  </si>
  <si>
    <t>length of the log (m)</t>
  </si>
  <si>
    <t>Unknown</t>
  </si>
  <si>
    <t>80g</t>
  </si>
  <si>
    <t>670g</t>
  </si>
  <si>
    <t>460g</t>
  </si>
  <si>
    <t>100g</t>
  </si>
  <si>
    <t>680g</t>
  </si>
  <si>
    <t>450g</t>
  </si>
  <si>
    <t>Uknwon</t>
  </si>
  <si>
    <t>Belthangady</t>
  </si>
  <si>
    <t>Dharmastala Block</t>
  </si>
  <si>
    <t>II-61</t>
  </si>
  <si>
    <t>Canopy Dencity - 0.72</t>
  </si>
  <si>
    <t>Tract - Hilly</t>
  </si>
  <si>
    <r>
      <t xml:space="preserve">Grasses - </t>
    </r>
    <r>
      <rPr>
        <b/>
        <sz val="12"/>
        <color theme="1"/>
        <rFont val="Times New Roman"/>
        <family val="1"/>
      </rPr>
      <t>NIL</t>
    </r>
  </si>
  <si>
    <t>Weeds -NIL</t>
  </si>
  <si>
    <t>Bamboos -NIL</t>
  </si>
  <si>
    <t>Rattans – NIL</t>
  </si>
  <si>
    <t>Heavy</t>
  </si>
  <si>
    <t>307 ft</t>
  </si>
  <si>
    <t>Texture-  Sandy loam</t>
  </si>
  <si>
    <t>Depth- Deep</t>
  </si>
  <si>
    <t xml:space="preserve">Holigarna arnattiana , Tabernamontana heyneana , Schleichera oleosa , Aporosa lindleyana </t>
  </si>
  <si>
    <t>Mangalore</t>
  </si>
  <si>
    <t>Salle</t>
  </si>
  <si>
    <t>Sagadi</t>
  </si>
  <si>
    <t>Nertige</t>
  </si>
  <si>
    <t>Sudugenasu</t>
  </si>
  <si>
    <t>Holegere</t>
  </si>
  <si>
    <t>Maddarasa</t>
  </si>
  <si>
    <t>Mullu sampige</t>
  </si>
  <si>
    <t>Konana kivi</t>
  </si>
  <si>
    <t>Jambe</t>
  </si>
  <si>
    <t>Kaadu coffee</t>
  </si>
  <si>
    <t>Gorbale</t>
  </si>
  <si>
    <t>Helu kodasa</t>
  </si>
  <si>
    <t>Arishina gurige</t>
  </si>
  <si>
    <t>Kunta Nerale</t>
  </si>
  <si>
    <t>Kasa Balli</t>
  </si>
  <si>
    <t>fruits</t>
  </si>
  <si>
    <t>Edible fruits, Fiber</t>
  </si>
  <si>
    <t>Flowers and leaves</t>
  </si>
  <si>
    <t>seeds</t>
  </si>
  <si>
    <t xml:space="preserve">Fruits, Fiber </t>
  </si>
  <si>
    <t>roots, bark</t>
  </si>
  <si>
    <t>leaevs</t>
  </si>
  <si>
    <t>Approx. weight and or no. KG</t>
  </si>
  <si>
    <t xml:space="preserve">seed, leaves </t>
  </si>
  <si>
    <t>roots</t>
  </si>
  <si>
    <t>Seeds and oil-rich fruits</t>
  </si>
  <si>
    <t xml:space="preserve">Bark , seeds </t>
  </si>
  <si>
    <t>flowers</t>
  </si>
  <si>
    <t xml:space="preserve">Seeds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</si>
</sst>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322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308</v>
      </c>
    </row>
    <row r="6" spans="1:3" ht="39" customHeight="1" x14ac:dyDescent="0.25">
      <c r="A6" s="4">
        <v>2</v>
      </c>
      <c r="B6" s="51" t="s">
        <v>7</v>
      </c>
      <c r="C6" s="8" t="s">
        <v>309</v>
      </c>
    </row>
    <row r="7" spans="1:3" ht="39" customHeight="1" x14ac:dyDescent="0.25">
      <c r="A7" s="4">
        <v>3</v>
      </c>
      <c r="B7" s="51" t="s">
        <v>8</v>
      </c>
      <c r="C7" s="8" t="s">
        <v>310</v>
      </c>
    </row>
    <row r="8" spans="1:3" ht="39" customHeight="1" x14ac:dyDescent="0.25">
      <c r="A8" s="4">
        <v>4</v>
      </c>
      <c r="B8" s="51" t="s">
        <v>9</v>
      </c>
      <c r="C8" s="8">
        <v>5980</v>
      </c>
    </row>
    <row r="9" spans="1:3" ht="39" customHeight="1" x14ac:dyDescent="0.25">
      <c r="A9" s="4">
        <v>5</v>
      </c>
      <c r="B9" s="51" t="s">
        <v>10</v>
      </c>
      <c r="C9" s="9">
        <v>12.951791999999999</v>
      </c>
    </row>
    <row r="10" spans="1:3" ht="39" customHeight="1" x14ac:dyDescent="0.25">
      <c r="A10" s="4">
        <v>6</v>
      </c>
      <c r="B10" s="51" t="s">
        <v>11</v>
      </c>
      <c r="C10" s="9">
        <v>75.35445</v>
      </c>
    </row>
    <row r="11" spans="1:3" ht="141.75" customHeight="1" x14ac:dyDescent="0.25">
      <c r="A11" s="4">
        <v>7</v>
      </c>
      <c r="B11" s="51" t="s">
        <v>12</v>
      </c>
      <c r="C11" s="9" t="s">
        <v>241</v>
      </c>
    </row>
    <row r="12" spans="1:3" ht="98.25" customHeight="1" x14ac:dyDescent="0.25">
      <c r="A12" s="4">
        <v>8</v>
      </c>
      <c r="B12" s="51" t="s">
        <v>13</v>
      </c>
      <c r="C12" s="10" t="s">
        <v>242</v>
      </c>
    </row>
    <row r="13" spans="1:3" ht="32.25" customHeight="1" x14ac:dyDescent="0.25">
      <c r="A13" s="54">
        <v>9</v>
      </c>
      <c r="B13" s="55" t="s">
        <v>14</v>
      </c>
      <c r="C13" s="6" t="s">
        <v>312</v>
      </c>
    </row>
    <row r="14" spans="1:3" ht="32.25" customHeight="1" x14ac:dyDescent="0.25">
      <c r="A14" s="54"/>
      <c r="B14" s="55"/>
      <c r="C14" s="6" t="s">
        <v>243</v>
      </c>
    </row>
    <row r="15" spans="1:3" ht="32.25" customHeight="1" x14ac:dyDescent="0.25">
      <c r="A15" s="54"/>
      <c r="B15" s="55"/>
      <c r="C15" s="6" t="s">
        <v>311</v>
      </c>
    </row>
    <row r="16" spans="1:3" ht="32.25" customHeight="1" x14ac:dyDescent="0.25">
      <c r="A16" s="54"/>
      <c r="B16" s="55"/>
      <c r="C16" s="6" t="s">
        <v>244</v>
      </c>
    </row>
    <row r="17" spans="1:3" ht="32.25" customHeight="1" x14ac:dyDescent="0.25">
      <c r="A17" s="54"/>
      <c r="B17" s="55"/>
      <c r="C17" s="6" t="s">
        <v>313</v>
      </c>
    </row>
    <row r="18" spans="1:3" ht="32.25" customHeight="1" x14ac:dyDescent="0.25">
      <c r="A18" s="54"/>
      <c r="B18" s="55"/>
      <c r="C18" s="6" t="s">
        <v>314</v>
      </c>
    </row>
    <row r="19" spans="1:3" ht="32.25" customHeight="1" x14ac:dyDescent="0.25">
      <c r="A19" s="54"/>
      <c r="B19" s="55"/>
      <c r="C19" s="6" t="s">
        <v>315</v>
      </c>
    </row>
    <row r="20" spans="1:3" ht="57.75" customHeight="1" x14ac:dyDescent="0.25">
      <c r="A20" s="54"/>
      <c r="B20" s="55"/>
      <c r="C20" s="6" t="s">
        <v>245</v>
      </c>
    </row>
    <row r="21" spans="1:3" ht="63" customHeight="1" x14ac:dyDescent="0.25">
      <c r="A21" s="54"/>
      <c r="B21" s="55"/>
      <c r="C21" s="6" t="s">
        <v>246</v>
      </c>
    </row>
    <row r="22" spans="1:3" ht="63" customHeight="1" x14ac:dyDescent="0.25">
      <c r="A22" s="54"/>
      <c r="B22" s="55"/>
      <c r="C22" s="6" t="s">
        <v>247</v>
      </c>
    </row>
    <row r="23" spans="1:3" ht="63" customHeight="1" x14ac:dyDescent="0.25">
      <c r="A23" s="54"/>
      <c r="B23" s="55"/>
      <c r="C23" s="6" t="s">
        <v>248</v>
      </c>
    </row>
    <row r="24" spans="1:3" ht="63" customHeight="1" x14ac:dyDescent="0.25">
      <c r="A24" s="54"/>
      <c r="B24" s="55"/>
      <c r="C24" s="6" t="s">
        <v>316</v>
      </c>
    </row>
    <row r="25" spans="1:3" ht="63" customHeight="1" x14ac:dyDescent="0.25">
      <c r="A25" s="54"/>
      <c r="B25" s="55"/>
      <c r="C25" s="6" t="s">
        <v>249</v>
      </c>
    </row>
    <row r="26" spans="1:3" ht="49.5" customHeight="1" x14ac:dyDescent="0.25">
      <c r="A26" s="4">
        <v>10</v>
      </c>
      <c r="B26" s="51" t="s">
        <v>15</v>
      </c>
      <c r="C26" s="6" t="s">
        <v>285</v>
      </c>
    </row>
    <row r="27" spans="1:3" ht="53.25" customHeight="1" x14ac:dyDescent="0.25">
      <c r="A27" s="4">
        <v>11</v>
      </c>
      <c r="B27" s="51" t="s">
        <v>16</v>
      </c>
      <c r="C27" s="6" t="s">
        <v>317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8" sqref="C8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322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Block</v>
      </c>
    </row>
    <row r="8" spans="1:3" ht="32.25" customHeight="1" x14ac:dyDescent="0.25">
      <c r="A8" s="11">
        <v>4</v>
      </c>
      <c r="B8" s="52" t="s">
        <v>9</v>
      </c>
      <c r="C8" s="20">
        <f>'Form 1'!C8</f>
        <v>5980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12.951791999999999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75.35445</v>
      </c>
    </row>
    <row r="11" spans="1:3" ht="32.25" customHeight="1" x14ac:dyDescent="0.25">
      <c r="A11" s="11">
        <v>7</v>
      </c>
      <c r="B11" s="52" t="s">
        <v>22</v>
      </c>
      <c r="C11" s="20" t="s">
        <v>318</v>
      </c>
    </row>
    <row r="12" spans="1:3" ht="43.5" customHeight="1" x14ac:dyDescent="0.25">
      <c r="A12" s="11">
        <v>8</v>
      </c>
      <c r="B12" s="52" t="s">
        <v>23</v>
      </c>
      <c r="C12" s="20" t="s">
        <v>251</v>
      </c>
    </row>
    <row r="13" spans="1:3" ht="43.5" customHeight="1" x14ac:dyDescent="0.25">
      <c r="A13" s="11">
        <v>9</v>
      </c>
      <c r="B13" s="52" t="s">
        <v>24</v>
      </c>
      <c r="C13" s="20" t="s">
        <v>252</v>
      </c>
    </row>
    <row r="14" spans="1:3" ht="38.25" customHeight="1" x14ac:dyDescent="0.25">
      <c r="A14" s="11">
        <v>10</v>
      </c>
      <c r="B14" s="52" t="s">
        <v>25</v>
      </c>
      <c r="C14" s="20" t="s">
        <v>253</v>
      </c>
    </row>
    <row r="15" spans="1:3" ht="25.5" customHeight="1" x14ac:dyDescent="0.25">
      <c r="A15" s="11">
        <v>11</v>
      </c>
      <c r="B15" s="52" t="s">
        <v>26</v>
      </c>
      <c r="C15" s="22" t="s">
        <v>254</v>
      </c>
    </row>
    <row r="16" spans="1:3" ht="37.5" customHeight="1" x14ac:dyDescent="0.25">
      <c r="A16" s="11">
        <v>12</v>
      </c>
      <c r="B16" s="52" t="s">
        <v>27</v>
      </c>
      <c r="C16" s="22" t="s">
        <v>255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319</v>
      </c>
    </row>
    <row r="19" spans="1:3" ht="30.75" customHeight="1" x14ac:dyDescent="0.25">
      <c r="A19" s="57"/>
      <c r="B19" s="58"/>
      <c r="C19" s="22" t="s">
        <v>320</v>
      </c>
    </row>
    <row r="20" spans="1:3" ht="30.75" customHeight="1" x14ac:dyDescent="0.25">
      <c r="A20" s="57"/>
      <c r="B20" s="58"/>
      <c r="C20" s="23" t="s">
        <v>256</v>
      </c>
    </row>
    <row r="21" spans="1:3" ht="36" customHeight="1" x14ac:dyDescent="0.25">
      <c r="A21" s="11">
        <v>15</v>
      </c>
      <c r="B21" s="52" t="s">
        <v>31</v>
      </c>
      <c r="C21" s="22" t="s">
        <v>257</v>
      </c>
    </row>
    <row r="22" spans="1:3" ht="54.75" customHeight="1" x14ac:dyDescent="0.25">
      <c r="A22" s="11">
        <v>16</v>
      </c>
      <c r="B22" s="52" t="s">
        <v>32</v>
      </c>
      <c r="C22" s="22" t="s">
        <v>321</v>
      </c>
    </row>
    <row r="23" spans="1:3" ht="15.75" x14ac:dyDescent="0.25">
      <c r="A23" s="11">
        <v>17</v>
      </c>
      <c r="B23" s="52" t="s">
        <v>220</v>
      </c>
      <c r="C23" s="22" t="s">
        <v>258</v>
      </c>
    </row>
    <row r="24" spans="1:3" ht="35.25" customHeight="1" x14ac:dyDescent="0.25">
      <c r="A24" s="11">
        <v>18</v>
      </c>
      <c r="B24" s="52" t="s">
        <v>33</v>
      </c>
      <c r="C24" s="22" t="s">
        <v>259</v>
      </c>
    </row>
    <row r="25" spans="1:3" ht="72.75" customHeight="1" x14ac:dyDescent="0.25">
      <c r="A25" s="11">
        <v>19</v>
      </c>
      <c r="B25" s="52" t="s">
        <v>34</v>
      </c>
      <c r="C25" s="22" t="s">
        <v>260</v>
      </c>
    </row>
    <row r="26" spans="1:3" ht="30" customHeight="1" x14ac:dyDescent="0.25">
      <c r="A26" s="11">
        <v>20</v>
      </c>
      <c r="B26" s="52" t="s">
        <v>35</v>
      </c>
      <c r="C26" s="23" t="s">
        <v>261</v>
      </c>
    </row>
    <row r="27" spans="1:3" ht="30" customHeight="1" x14ac:dyDescent="0.25">
      <c r="A27" s="11">
        <v>21</v>
      </c>
      <c r="B27" s="52" t="s">
        <v>36</v>
      </c>
      <c r="C27" s="22" t="s">
        <v>262</v>
      </c>
    </row>
    <row r="28" spans="1:3" ht="30" customHeight="1" x14ac:dyDescent="0.25">
      <c r="A28" s="11">
        <v>22</v>
      </c>
      <c r="B28" s="52" t="s">
        <v>37</v>
      </c>
      <c r="C28" s="22" t="s">
        <v>263</v>
      </c>
    </row>
    <row r="29" spans="1:3" ht="32.25" customHeight="1" x14ac:dyDescent="0.25">
      <c r="A29" s="11">
        <v>23</v>
      </c>
      <c r="B29" s="52" t="s">
        <v>38</v>
      </c>
      <c r="C29" s="22" t="s">
        <v>263</v>
      </c>
    </row>
    <row r="30" spans="1:3" ht="62.25" customHeight="1" x14ac:dyDescent="0.25">
      <c r="A30" s="11">
        <v>24</v>
      </c>
      <c r="B30" s="52" t="s">
        <v>39</v>
      </c>
      <c r="C30" s="22" t="s">
        <v>285</v>
      </c>
    </row>
    <row r="31" spans="1:3" ht="72.75" customHeight="1" x14ac:dyDescent="0.25">
      <c r="A31" s="11">
        <v>25</v>
      </c>
      <c r="B31" s="52" t="s">
        <v>40</v>
      </c>
      <c r="C31" s="22" t="s">
        <v>285</v>
      </c>
    </row>
    <row r="32" spans="1:3" ht="60" customHeight="1" x14ac:dyDescent="0.25">
      <c r="A32" s="11">
        <v>26</v>
      </c>
      <c r="B32" s="52" t="s">
        <v>41</v>
      </c>
      <c r="C32" s="22" t="s">
        <v>285</v>
      </c>
    </row>
    <row r="33" spans="1:3" ht="60" customHeight="1" x14ac:dyDescent="0.25">
      <c r="A33" s="11">
        <v>27</v>
      </c>
      <c r="B33" s="52" t="s">
        <v>42</v>
      </c>
      <c r="C33" s="20" t="s">
        <v>264</v>
      </c>
    </row>
    <row r="34" spans="1:3" ht="57.75" customHeight="1" x14ac:dyDescent="0.25">
      <c r="A34" s="11">
        <v>28</v>
      </c>
      <c r="B34" s="52" t="s">
        <v>43</v>
      </c>
      <c r="C34" s="22" t="s">
        <v>285</v>
      </c>
    </row>
    <row r="35" spans="1:3" ht="59.25" customHeight="1" x14ac:dyDescent="0.25">
      <c r="A35" s="11">
        <v>29</v>
      </c>
      <c r="B35" s="52" t="s">
        <v>44</v>
      </c>
      <c r="C35" s="22" t="s">
        <v>285</v>
      </c>
    </row>
    <row r="36" spans="1:3" ht="66" customHeight="1" x14ac:dyDescent="0.25">
      <c r="A36" s="11">
        <v>30</v>
      </c>
      <c r="B36" s="52" t="s">
        <v>223</v>
      </c>
      <c r="C36" s="22" t="s">
        <v>265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view="pageBreakPreview" topLeftCell="A10" zoomScale="60" zoomScaleNormal="70" workbookViewId="0">
      <selection activeCell="N38" sqref="N3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266</v>
      </c>
      <c r="C12" s="24"/>
      <c r="D12" s="24">
        <v>44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10.5</v>
      </c>
      <c r="L12" s="24">
        <v>4</v>
      </c>
      <c r="M12" s="24">
        <v>2</v>
      </c>
      <c r="N12" s="24"/>
      <c r="O12" s="24"/>
      <c r="P12" s="24"/>
      <c r="Q12" s="24"/>
      <c r="R12" s="24">
        <v>4.5</v>
      </c>
      <c r="S12" s="24"/>
      <c r="T12" s="24"/>
    </row>
    <row r="13" spans="1:20" ht="40.5" customHeight="1" x14ac:dyDescent="0.25">
      <c r="A13" s="24">
        <f t="shared" ref="A13:A39" si="0">ROW()-11</f>
        <v>2</v>
      </c>
      <c r="B13" s="24" t="s">
        <v>266</v>
      </c>
      <c r="C13" s="24"/>
      <c r="D13" s="24">
        <v>79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39" si="1">L13+M13+R13</f>
        <v>13.5</v>
      </c>
      <c r="L13" s="24">
        <v>5</v>
      </c>
      <c r="M13" s="24">
        <v>3</v>
      </c>
      <c r="N13" s="24"/>
      <c r="O13" s="24"/>
      <c r="P13" s="24"/>
      <c r="Q13" s="24"/>
      <c r="R13" s="24">
        <v>5.5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267</v>
      </c>
      <c r="C14" s="24"/>
      <c r="D14" s="24">
        <v>172</v>
      </c>
      <c r="E14" s="24"/>
      <c r="F14" s="24"/>
      <c r="G14" s="24"/>
      <c r="H14" s="24"/>
      <c r="I14" s="24">
        <v>6</v>
      </c>
      <c r="J14" s="24">
        <v>7</v>
      </c>
      <c r="K14" s="24">
        <f t="shared" si="1"/>
        <v>14</v>
      </c>
      <c r="L14" s="24">
        <v>3</v>
      </c>
      <c r="M14" s="24">
        <v>3</v>
      </c>
      <c r="N14" s="24"/>
      <c r="O14" s="24"/>
      <c r="P14" s="24"/>
      <c r="Q14" s="24"/>
      <c r="R14" s="24">
        <v>8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268</v>
      </c>
      <c r="C15" s="24"/>
      <c r="D15" s="24">
        <v>34</v>
      </c>
      <c r="E15" s="24"/>
      <c r="F15" s="24"/>
      <c r="G15" s="24"/>
      <c r="H15" s="24"/>
      <c r="I15" s="24">
        <v>4</v>
      </c>
      <c r="J15" s="24">
        <v>3</v>
      </c>
      <c r="K15" s="24">
        <f t="shared" si="1"/>
        <v>9</v>
      </c>
      <c r="L15" s="24">
        <v>3</v>
      </c>
      <c r="M15" s="24">
        <v>2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269</v>
      </c>
      <c r="C16" s="24"/>
      <c r="D16" s="24">
        <v>117</v>
      </c>
      <c r="E16" s="24"/>
      <c r="F16" s="24"/>
      <c r="G16" s="24"/>
      <c r="H16" s="24"/>
      <c r="I16" s="24">
        <v>7</v>
      </c>
      <c r="J16" s="24">
        <v>5</v>
      </c>
      <c r="K16" s="24">
        <f t="shared" si="1"/>
        <v>16.5</v>
      </c>
      <c r="L16" s="24">
        <v>4.5</v>
      </c>
      <c r="M16" s="24">
        <v>3</v>
      </c>
      <c r="N16" s="24"/>
      <c r="O16" s="24"/>
      <c r="P16" s="24"/>
      <c r="Q16" s="24"/>
      <c r="R16" s="24">
        <v>9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270</v>
      </c>
      <c r="C17" s="24"/>
      <c r="D17" s="24">
        <v>48</v>
      </c>
      <c r="E17" s="24"/>
      <c r="F17" s="24"/>
      <c r="G17" s="24"/>
      <c r="H17" s="24"/>
      <c r="I17" s="24">
        <v>4</v>
      </c>
      <c r="J17" s="24">
        <v>4.5</v>
      </c>
      <c r="K17" s="24">
        <f t="shared" si="1"/>
        <v>10</v>
      </c>
      <c r="L17" s="24">
        <v>3</v>
      </c>
      <c r="M17" s="24">
        <v>3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270</v>
      </c>
      <c r="C18" s="24"/>
      <c r="D18" s="24">
        <v>74</v>
      </c>
      <c r="E18" s="24"/>
      <c r="F18" s="24"/>
      <c r="G18" s="24"/>
      <c r="H18" s="24"/>
      <c r="I18" s="24">
        <v>5</v>
      </c>
      <c r="J18" s="24">
        <v>4.5</v>
      </c>
      <c r="K18" s="24">
        <f t="shared" si="1"/>
        <v>12</v>
      </c>
      <c r="L18" s="24">
        <v>4</v>
      </c>
      <c r="M18" s="24">
        <v>3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270</v>
      </c>
      <c r="C19" s="24"/>
      <c r="D19" s="24">
        <v>71</v>
      </c>
      <c r="E19" s="24"/>
      <c r="F19" s="24"/>
      <c r="G19" s="24"/>
      <c r="H19" s="24"/>
      <c r="I19" s="24">
        <v>4</v>
      </c>
      <c r="J19" s="24">
        <v>4.5</v>
      </c>
      <c r="K19" s="24">
        <f t="shared" si="1"/>
        <v>13</v>
      </c>
      <c r="L19" s="24">
        <v>4</v>
      </c>
      <c r="M19" s="24">
        <v>3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270</v>
      </c>
      <c r="C20" s="24"/>
      <c r="D20" s="24">
        <v>63</v>
      </c>
      <c r="E20" s="24"/>
      <c r="F20" s="24"/>
      <c r="G20" s="24"/>
      <c r="H20" s="24"/>
      <c r="I20" s="24">
        <v>5</v>
      </c>
      <c r="J20" s="24">
        <v>6</v>
      </c>
      <c r="K20" s="24">
        <f t="shared" si="1"/>
        <v>10.5</v>
      </c>
      <c r="L20" s="24">
        <v>4</v>
      </c>
      <c r="M20" s="24">
        <v>2.5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271</v>
      </c>
      <c r="C21" s="24"/>
      <c r="D21" s="24">
        <v>180</v>
      </c>
      <c r="E21" s="24"/>
      <c r="F21" s="24"/>
      <c r="G21" s="24"/>
      <c r="H21" s="24"/>
      <c r="I21" s="24">
        <v>6</v>
      </c>
      <c r="J21" s="24">
        <v>6</v>
      </c>
      <c r="K21" s="24">
        <f t="shared" si="1"/>
        <v>17</v>
      </c>
      <c r="L21" s="24">
        <v>5</v>
      </c>
      <c r="M21" s="24">
        <v>7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266</v>
      </c>
      <c r="C22" s="24"/>
      <c r="D22" s="24">
        <v>40</v>
      </c>
      <c r="E22" s="24"/>
      <c r="F22" s="24"/>
      <c r="G22" s="24"/>
      <c r="H22" s="24"/>
      <c r="I22" s="24">
        <v>5</v>
      </c>
      <c r="J22" s="24">
        <v>4</v>
      </c>
      <c r="K22" s="24">
        <f t="shared" si="1"/>
        <v>13.5</v>
      </c>
      <c r="L22" s="24">
        <v>6</v>
      </c>
      <c r="M22" s="24">
        <v>2.5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266</v>
      </c>
      <c r="C23" s="24"/>
      <c r="D23" s="24">
        <v>37</v>
      </c>
      <c r="E23" s="24"/>
      <c r="F23" s="24"/>
      <c r="G23" s="24"/>
      <c r="H23" s="24"/>
      <c r="I23" s="24">
        <v>3</v>
      </c>
      <c r="J23" s="24">
        <v>4.5</v>
      </c>
      <c r="K23" s="24">
        <f t="shared" si="1"/>
        <v>11</v>
      </c>
      <c r="L23" s="24">
        <v>2</v>
      </c>
      <c r="M23" s="24">
        <v>1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266</v>
      </c>
      <c r="C24" s="24"/>
      <c r="D24" s="24">
        <v>63</v>
      </c>
      <c r="E24" s="24"/>
      <c r="F24" s="24"/>
      <c r="G24" s="24"/>
      <c r="H24" s="24"/>
      <c r="I24" s="24">
        <v>6</v>
      </c>
      <c r="J24" s="24">
        <v>5</v>
      </c>
      <c r="K24" s="24">
        <f t="shared" si="1"/>
        <v>14</v>
      </c>
      <c r="L24" s="24">
        <v>2</v>
      </c>
      <c r="M24" s="24">
        <v>3</v>
      </c>
      <c r="N24" s="24"/>
      <c r="O24" s="24"/>
      <c r="P24" s="24"/>
      <c r="Q24" s="24"/>
      <c r="R24" s="24">
        <v>9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266</v>
      </c>
      <c r="C25" s="24"/>
      <c r="D25" s="24">
        <v>71</v>
      </c>
      <c r="E25" s="24"/>
      <c r="F25" s="24"/>
      <c r="G25" s="24"/>
      <c r="H25" s="24"/>
      <c r="I25" s="24">
        <v>4</v>
      </c>
      <c r="J25" s="24">
        <v>5</v>
      </c>
      <c r="K25" s="24">
        <f t="shared" si="1"/>
        <v>16.5</v>
      </c>
      <c r="L25" s="24">
        <v>2.5</v>
      </c>
      <c r="M25" s="24">
        <v>3</v>
      </c>
      <c r="N25" s="24"/>
      <c r="O25" s="24"/>
      <c r="P25" s="24"/>
      <c r="Q25" s="24"/>
      <c r="R25" s="24">
        <v>11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272</v>
      </c>
      <c r="C26" s="24"/>
      <c r="D26" s="24">
        <v>97</v>
      </c>
      <c r="E26" s="24"/>
      <c r="F26" s="24"/>
      <c r="G26" s="24"/>
      <c r="H26" s="24"/>
      <c r="I26" s="24">
        <v>7</v>
      </c>
      <c r="J26" s="24">
        <v>6</v>
      </c>
      <c r="K26" s="24">
        <f t="shared" si="1"/>
        <v>13</v>
      </c>
      <c r="L26" s="24">
        <v>4</v>
      </c>
      <c r="M26" s="24">
        <v>4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266</v>
      </c>
      <c r="C27" s="24"/>
      <c r="D27" s="24">
        <v>61</v>
      </c>
      <c r="E27" s="24"/>
      <c r="F27" s="24"/>
      <c r="G27" s="24"/>
      <c r="H27" s="24"/>
      <c r="I27" s="24">
        <v>4</v>
      </c>
      <c r="J27" s="24">
        <v>4.5</v>
      </c>
      <c r="K27" s="24">
        <f t="shared" si="1"/>
        <v>14</v>
      </c>
      <c r="L27" s="24">
        <v>4</v>
      </c>
      <c r="M27" s="24">
        <v>3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273</v>
      </c>
      <c r="C28" s="24"/>
      <c r="D28" s="24">
        <v>193</v>
      </c>
      <c r="E28" s="24"/>
      <c r="F28" s="24"/>
      <c r="G28" s="24"/>
      <c r="H28" s="24"/>
      <c r="I28" s="24">
        <v>8</v>
      </c>
      <c r="J28" s="24">
        <v>7</v>
      </c>
      <c r="K28" s="24">
        <f t="shared" si="1"/>
        <v>17</v>
      </c>
      <c r="L28" s="24">
        <v>5</v>
      </c>
      <c r="M28" s="24">
        <v>4</v>
      </c>
      <c r="N28" s="24"/>
      <c r="O28" s="24"/>
      <c r="P28" s="24"/>
      <c r="Q28" s="24"/>
      <c r="R28" s="24">
        <v>8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274</v>
      </c>
      <c r="C29" s="24"/>
      <c r="D29" s="24">
        <v>52</v>
      </c>
      <c r="E29" s="24"/>
      <c r="F29" s="24"/>
      <c r="G29" s="24"/>
      <c r="H29" s="24"/>
      <c r="I29" s="24">
        <v>4</v>
      </c>
      <c r="J29" s="24">
        <v>4.5</v>
      </c>
      <c r="K29" s="24">
        <f t="shared" si="1"/>
        <v>12</v>
      </c>
      <c r="L29" s="24">
        <v>4</v>
      </c>
      <c r="M29" s="24">
        <v>2.5</v>
      </c>
      <c r="N29" s="24"/>
      <c r="O29" s="24"/>
      <c r="P29" s="24"/>
      <c r="Q29" s="24"/>
      <c r="R29" s="24">
        <v>5.5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267</v>
      </c>
      <c r="C30" s="24"/>
      <c r="D30" s="24">
        <v>122</v>
      </c>
      <c r="E30" s="24"/>
      <c r="F30" s="24"/>
      <c r="G30" s="24"/>
      <c r="H30" s="24"/>
      <c r="I30" s="24">
        <v>8</v>
      </c>
      <c r="J30" s="24">
        <v>8.5</v>
      </c>
      <c r="K30" s="24">
        <f t="shared" si="1"/>
        <v>15</v>
      </c>
      <c r="L30" s="24">
        <v>7</v>
      </c>
      <c r="M30" s="24">
        <v>3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275</v>
      </c>
      <c r="C31" s="24"/>
      <c r="D31" s="24">
        <v>58</v>
      </c>
      <c r="E31" s="24"/>
      <c r="F31" s="24"/>
      <c r="G31" s="24"/>
      <c r="H31" s="24"/>
      <c r="I31" s="24">
        <v>5</v>
      </c>
      <c r="J31" s="24">
        <v>6.5</v>
      </c>
      <c r="K31" s="24">
        <f t="shared" si="1"/>
        <v>16</v>
      </c>
      <c r="L31" s="24">
        <v>4</v>
      </c>
      <c r="M31" s="24">
        <v>4</v>
      </c>
      <c r="N31" s="24"/>
      <c r="O31" s="24"/>
      <c r="P31" s="24"/>
      <c r="Q31" s="24"/>
      <c r="R31" s="24">
        <v>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273</v>
      </c>
      <c r="C32" s="24"/>
      <c r="D32" s="24">
        <v>147</v>
      </c>
      <c r="E32" s="24"/>
      <c r="F32" s="24"/>
      <c r="G32" s="24"/>
      <c r="H32" s="24"/>
      <c r="I32" s="24">
        <v>8</v>
      </c>
      <c r="J32" s="24">
        <v>7</v>
      </c>
      <c r="K32" s="24">
        <f t="shared" si="1"/>
        <v>20</v>
      </c>
      <c r="L32" s="24">
        <v>4</v>
      </c>
      <c r="M32" s="24">
        <v>4</v>
      </c>
      <c r="N32" s="24"/>
      <c r="O32" s="24"/>
      <c r="P32" s="24"/>
      <c r="Q32" s="24"/>
      <c r="R32" s="24">
        <v>12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276</v>
      </c>
      <c r="C33" s="24"/>
      <c r="D33" s="24">
        <v>39</v>
      </c>
      <c r="E33" s="24"/>
      <c r="F33" s="24"/>
      <c r="G33" s="24"/>
      <c r="H33" s="24"/>
      <c r="I33" s="24">
        <v>2.5</v>
      </c>
      <c r="J33" s="24">
        <v>2.5</v>
      </c>
      <c r="K33" s="24">
        <f t="shared" si="1"/>
        <v>8</v>
      </c>
      <c r="L33" s="24">
        <v>3</v>
      </c>
      <c r="M33" s="24">
        <v>2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277</v>
      </c>
      <c r="C34" s="24"/>
      <c r="D34" s="24">
        <v>38</v>
      </c>
      <c r="E34" s="24"/>
      <c r="F34" s="24"/>
      <c r="G34" s="24"/>
      <c r="H34" s="24"/>
      <c r="I34" s="24">
        <v>12</v>
      </c>
      <c r="J34" s="24">
        <v>5</v>
      </c>
      <c r="K34" s="24">
        <f t="shared" si="1"/>
        <v>13.5</v>
      </c>
      <c r="L34" s="24">
        <v>5</v>
      </c>
      <c r="M34" s="24">
        <v>4</v>
      </c>
      <c r="N34" s="24"/>
      <c r="O34" s="24"/>
      <c r="P34" s="24"/>
      <c r="Q34" s="24"/>
      <c r="R34" s="24">
        <v>4.5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266</v>
      </c>
      <c r="C35" s="24"/>
      <c r="D35" s="24">
        <v>76</v>
      </c>
      <c r="E35" s="24"/>
      <c r="F35" s="24"/>
      <c r="G35" s="24"/>
      <c r="H35" s="24"/>
      <c r="I35" s="24">
        <v>3.5</v>
      </c>
      <c r="J35" s="24">
        <v>4</v>
      </c>
      <c r="K35" s="24">
        <f t="shared" si="1"/>
        <v>14</v>
      </c>
      <c r="L35" s="24">
        <v>6</v>
      </c>
      <c r="M35" s="24">
        <v>4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278</v>
      </c>
      <c r="C36" s="24"/>
      <c r="D36" s="24">
        <v>75</v>
      </c>
      <c r="E36" s="24"/>
      <c r="F36" s="24"/>
      <c r="G36" s="24"/>
      <c r="H36" s="24"/>
      <c r="I36" s="24">
        <v>5</v>
      </c>
      <c r="J36" s="24">
        <v>6</v>
      </c>
      <c r="K36" s="24">
        <f t="shared" si="1"/>
        <v>18</v>
      </c>
      <c r="L36" s="24">
        <v>4</v>
      </c>
      <c r="M36" s="24">
        <v>4</v>
      </c>
      <c r="N36" s="24"/>
      <c r="O36" s="24"/>
      <c r="P36" s="24"/>
      <c r="Q36" s="24"/>
      <c r="R36" s="24">
        <v>10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269</v>
      </c>
      <c r="C37" s="24"/>
      <c r="D37" s="24">
        <v>129</v>
      </c>
      <c r="E37" s="24"/>
      <c r="F37" s="24"/>
      <c r="G37" s="24"/>
      <c r="H37" s="24"/>
      <c r="I37" s="24">
        <v>5</v>
      </c>
      <c r="J37" s="24">
        <v>8</v>
      </c>
      <c r="K37" s="24">
        <f t="shared" si="1"/>
        <v>17</v>
      </c>
      <c r="L37" s="24">
        <v>5</v>
      </c>
      <c r="M37" s="24">
        <v>4</v>
      </c>
      <c r="N37" s="24"/>
      <c r="O37" s="24"/>
      <c r="P37" s="24"/>
      <c r="Q37" s="24"/>
      <c r="R37" s="24">
        <v>8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267</v>
      </c>
      <c r="C38" s="24"/>
      <c r="D38" s="24">
        <v>124</v>
      </c>
      <c r="E38" s="24"/>
      <c r="F38" s="24"/>
      <c r="G38" s="24"/>
      <c r="H38" s="24"/>
      <c r="I38" s="24">
        <v>5</v>
      </c>
      <c r="J38" s="24">
        <v>8</v>
      </c>
      <c r="K38" s="24">
        <f t="shared" si="1"/>
        <v>19</v>
      </c>
      <c r="L38" s="24">
        <v>8</v>
      </c>
      <c r="M38" s="24">
        <v>4</v>
      </c>
      <c r="N38" s="24"/>
      <c r="O38" s="24"/>
      <c r="P38" s="24"/>
      <c r="Q38" s="24"/>
      <c r="R38" s="24">
        <v>7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307</v>
      </c>
      <c r="C39" s="24"/>
      <c r="D39" s="24">
        <v>90</v>
      </c>
      <c r="E39" s="24" t="s">
        <v>279</v>
      </c>
      <c r="F39" s="24"/>
      <c r="G39" s="24"/>
      <c r="H39" s="24"/>
      <c r="I39" s="24">
        <v>0</v>
      </c>
      <c r="J39" s="24">
        <v>0</v>
      </c>
      <c r="K39" s="24">
        <f t="shared" si="1"/>
        <v>4.5</v>
      </c>
      <c r="L39" s="24">
        <v>0</v>
      </c>
      <c r="M39" s="24">
        <v>0</v>
      </c>
      <c r="N39" s="24"/>
      <c r="O39" s="24"/>
      <c r="P39" s="24"/>
      <c r="Q39" s="24"/>
      <c r="R39" s="24">
        <v>4.5</v>
      </c>
      <c r="S39" s="24"/>
      <c r="T39" s="24"/>
    </row>
    <row r="40" spans="1:20" ht="40.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5" zoomScaleSheetLayoutView="100" workbookViewId="0">
      <selection activeCell="F104" sqref="F104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345</v>
      </c>
      <c r="H4" s="74"/>
    </row>
    <row r="5" spans="1:8" ht="29.25" customHeight="1" x14ac:dyDescent="0.25">
      <c r="A5" s="11">
        <v>1</v>
      </c>
      <c r="B5" s="12" t="s">
        <v>274</v>
      </c>
      <c r="C5" s="12" t="s">
        <v>323</v>
      </c>
      <c r="D5" s="12">
        <v>3</v>
      </c>
      <c r="E5" s="12">
        <v>2</v>
      </c>
      <c r="F5" s="12"/>
      <c r="G5" s="12">
        <f>D5*E5</f>
        <v>6</v>
      </c>
      <c r="H5" s="12"/>
    </row>
    <row r="6" spans="1:8" ht="29.25" customHeight="1" x14ac:dyDescent="0.25">
      <c r="A6" s="11">
        <v>2</v>
      </c>
      <c r="B6" s="12" t="s">
        <v>274</v>
      </c>
      <c r="C6" s="12" t="s">
        <v>323</v>
      </c>
      <c r="D6" s="12">
        <v>4</v>
      </c>
      <c r="E6" s="12">
        <v>2.1</v>
      </c>
      <c r="F6" s="12" t="s">
        <v>341</v>
      </c>
      <c r="G6" s="12">
        <f t="shared" ref="G6:G7" si="0">D6*E6</f>
        <v>8.4</v>
      </c>
      <c r="H6" s="12"/>
    </row>
    <row r="7" spans="1:8" ht="29.25" customHeight="1" x14ac:dyDescent="0.25">
      <c r="A7" s="11">
        <v>3</v>
      </c>
      <c r="B7" s="12" t="s">
        <v>274</v>
      </c>
      <c r="C7" s="12" t="s">
        <v>323</v>
      </c>
      <c r="D7" s="12">
        <v>4.5</v>
      </c>
      <c r="E7" s="12">
        <v>2.5</v>
      </c>
      <c r="F7" s="12"/>
      <c r="G7" s="12">
        <f t="shared" si="0"/>
        <v>11.25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304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305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306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271</v>
      </c>
      <c r="C38" s="18" t="s">
        <v>324</v>
      </c>
      <c r="D38" s="18">
        <v>3</v>
      </c>
      <c r="E38" s="18">
        <v>3.1</v>
      </c>
      <c r="F38" s="88" t="s">
        <v>346</v>
      </c>
      <c r="G38" s="12">
        <f t="shared" ref="G38:G40" si="1">D38*E38</f>
        <v>9.3000000000000007</v>
      </c>
      <c r="H38" s="18"/>
    </row>
    <row r="39" spans="1:8" ht="36" customHeight="1" x14ac:dyDescent="0.25">
      <c r="A39" s="11">
        <v>2</v>
      </c>
      <c r="B39" s="18" t="s">
        <v>281</v>
      </c>
      <c r="C39" s="18" t="s">
        <v>325</v>
      </c>
      <c r="D39" s="18">
        <v>2.5</v>
      </c>
      <c r="E39" s="18">
        <v>2.5</v>
      </c>
      <c r="F39" s="88" t="s">
        <v>342</v>
      </c>
      <c r="G39" s="12">
        <f t="shared" si="1"/>
        <v>6.25</v>
      </c>
      <c r="H39" s="18"/>
    </row>
    <row r="40" spans="1:8" ht="36" customHeight="1" x14ac:dyDescent="0.25">
      <c r="A40" s="11">
        <v>3</v>
      </c>
      <c r="B40" s="18" t="s">
        <v>282</v>
      </c>
      <c r="C40" s="18" t="s">
        <v>326</v>
      </c>
      <c r="D40" s="18">
        <v>2</v>
      </c>
      <c r="E40" s="18">
        <v>3</v>
      </c>
      <c r="F40" s="18" t="s">
        <v>347</v>
      </c>
      <c r="G40" s="12">
        <f t="shared" si="1"/>
        <v>6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301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302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283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285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266</v>
      </c>
      <c r="C96" s="11" t="s">
        <v>327</v>
      </c>
      <c r="D96" s="41">
        <v>2.5</v>
      </c>
      <c r="E96" s="42">
        <v>3</v>
      </c>
      <c r="F96" s="88" t="s">
        <v>348</v>
      </c>
      <c r="G96" s="12">
        <f t="shared" ref="G96:G103" si="2">D96*E96</f>
        <v>7.5</v>
      </c>
      <c r="H96" s="23"/>
    </row>
    <row r="97" spans="1:8" s="28" customFormat="1" ht="39" customHeight="1" x14ac:dyDescent="0.25">
      <c r="A97" s="41">
        <v>2</v>
      </c>
      <c r="B97" s="40" t="s">
        <v>282</v>
      </c>
      <c r="C97" s="11" t="s">
        <v>326</v>
      </c>
      <c r="D97" s="41">
        <v>4.5</v>
      </c>
      <c r="E97" s="42">
        <v>2.5</v>
      </c>
      <c r="F97" s="23" t="s">
        <v>347</v>
      </c>
      <c r="G97" s="12">
        <f t="shared" si="2"/>
        <v>11.25</v>
      </c>
      <c r="H97" s="23"/>
    </row>
    <row r="98" spans="1:8" s="28" customFormat="1" ht="39" customHeight="1" x14ac:dyDescent="0.25">
      <c r="A98" s="41">
        <v>3</v>
      </c>
      <c r="B98" s="40" t="s">
        <v>282</v>
      </c>
      <c r="C98" s="11" t="s">
        <v>326</v>
      </c>
      <c r="D98" s="41">
        <v>4</v>
      </c>
      <c r="E98" s="42">
        <v>2</v>
      </c>
      <c r="F98" s="23"/>
      <c r="G98" s="12">
        <f t="shared" si="2"/>
        <v>8</v>
      </c>
      <c r="H98" s="23"/>
    </row>
    <row r="99" spans="1:8" s="28" customFormat="1" ht="39" customHeight="1" x14ac:dyDescent="0.25">
      <c r="A99" s="41">
        <v>4</v>
      </c>
      <c r="B99" s="40" t="s">
        <v>268</v>
      </c>
      <c r="C99" s="11" t="s">
        <v>328</v>
      </c>
      <c r="D99" s="41">
        <v>5</v>
      </c>
      <c r="E99" s="42">
        <v>2.5</v>
      </c>
      <c r="F99" s="88" t="s">
        <v>349</v>
      </c>
      <c r="G99" s="12">
        <f t="shared" si="2"/>
        <v>12.5</v>
      </c>
      <c r="H99" s="23"/>
    </row>
    <row r="100" spans="1:8" s="28" customFormat="1" ht="39" customHeight="1" x14ac:dyDescent="0.25">
      <c r="A100" s="41">
        <v>5</v>
      </c>
      <c r="B100" s="40" t="s">
        <v>286</v>
      </c>
      <c r="C100" s="11" t="s">
        <v>329</v>
      </c>
      <c r="D100" s="41">
        <v>8</v>
      </c>
      <c r="E100" s="42">
        <v>5</v>
      </c>
      <c r="F100" s="23" t="s">
        <v>350</v>
      </c>
      <c r="G100" s="12">
        <f t="shared" si="2"/>
        <v>40</v>
      </c>
      <c r="H100" s="23"/>
    </row>
    <row r="101" spans="1:8" s="28" customFormat="1" ht="39" customHeight="1" x14ac:dyDescent="0.25">
      <c r="A101" s="41">
        <v>6</v>
      </c>
      <c r="B101" s="40" t="s">
        <v>274</v>
      </c>
      <c r="C101" s="11" t="s">
        <v>323</v>
      </c>
      <c r="D101" s="41">
        <v>6.5</v>
      </c>
      <c r="E101" s="42">
        <v>3.5</v>
      </c>
      <c r="F101" s="23" t="s">
        <v>351</v>
      </c>
      <c r="G101" s="12">
        <f t="shared" si="2"/>
        <v>22.75</v>
      </c>
      <c r="H101" s="23"/>
    </row>
    <row r="102" spans="1:8" s="28" customFormat="1" ht="39" customHeight="1" x14ac:dyDescent="0.25">
      <c r="A102" s="41">
        <v>7</v>
      </c>
      <c r="B102" s="40" t="s">
        <v>287</v>
      </c>
      <c r="C102" s="11" t="s">
        <v>330</v>
      </c>
      <c r="D102" s="41">
        <v>3</v>
      </c>
      <c r="E102" s="42">
        <v>3</v>
      </c>
      <c r="F102" s="23"/>
      <c r="G102" s="12">
        <f t="shared" si="2"/>
        <v>9</v>
      </c>
      <c r="H102" s="23"/>
    </row>
    <row r="103" spans="1:8" s="28" customFormat="1" ht="39" customHeight="1" x14ac:dyDescent="0.25">
      <c r="A103" s="41">
        <v>8</v>
      </c>
      <c r="B103" s="40" t="s">
        <v>272</v>
      </c>
      <c r="C103" s="11" t="s">
        <v>331</v>
      </c>
      <c r="D103" s="41">
        <v>6</v>
      </c>
      <c r="E103" s="42">
        <v>4</v>
      </c>
      <c r="F103" s="23" t="s">
        <v>341</v>
      </c>
      <c r="G103" s="12">
        <f t="shared" si="2"/>
        <v>24</v>
      </c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" zoomScale="85" zoomScaleNormal="85" zoomScaleSheetLayoutView="85" workbookViewId="0">
      <selection activeCell="D10" sqref="D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288</v>
      </c>
      <c r="C6" s="45" t="s">
        <v>332</v>
      </c>
      <c r="D6" s="18">
        <v>63</v>
      </c>
      <c r="E6" s="18"/>
      <c r="F6" s="18">
        <f>0.05*(D6)*(D6)</f>
        <v>198.45000000000002</v>
      </c>
      <c r="G6" s="18"/>
    </row>
    <row r="7" spans="1:7" ht="45.6" customHeight="1" x14ac:dyDescent="0.25">
      <c r="A7" s="11">
        <v>2</v>
      </c>
      <c r="B7" s="18" t="s">
        <v>288</v>
      </c>
      <c r="C7" s="45" t="s">
        <v>332</v>
      </c>
      <c r="D7" s="18">
        <v>56</v>
      </c>
      <c r="E7" s="18" t="s">
        <v>344</v>
      </c>
      <c r="F7" s="18">
        <f t="shared" ref="F7:F16" si="0">0.05*(D7)*(D7)</f>
        <v>156.80000000000001</v>
      </c>
      <c r="G7" s="18"/>
    </row>
    <row r="8" spans="1:7" ht="45.6" customHeight="1" x14ac:dyDescent="0.25">
      <c r="A8" s="11">
        <v>3</v>
      </c>
      <c r="B8" s="18" t="s">
        <v>288</v>
      </c>
      <c r="C8" s="45" t="s">
        <v>332</v>
      </c>
      <c r="D8" s="18">
        <v>52</v>
      </c>
      <c r="E8" s="18"/>
      <c r="F8" s="18">
        <f t="shared" si="0"/>
        <v>135.20000000000002</v>
      </c>
      <c r="G8" s="18"/>
    </row>
    <row r="9" spans="1:7" ht="45.6" customHeight="1" x14ac:dyDescent="0.25">
      <c r="A9" s="11">
        <v>4</v>
      </c>
      <c r="B9" s="18" t="s">
        <v>288</v>
      </c>
      <c r="C9" s="45" t="s">
        <v>332</v>
      </c>
      <c r="D9" s="18">
        <v>51</v>
      </c>
      <c r="E9" s="18"/>
      <c r="F9" s="18">
        <f t="shared" si="0"/>
        <v>130.05000000000001</v>
      </c>
      <c r="G9" s="18"/>
    </row>
    <row r="10" spans="1:7" ht="45.6" customHeight="1" x14ac:dyDescent="0.25">
      <c r="A10" s="11">
        <v>5</v>
      </c>
      <c r="B10" s="18" t="s">
        <v>289</v>
      </c>
      <c r="C10" s="45"/>
      <c r="D10" s="18">
        <v>45</v>
      </c>
      <c r="E10" s="18"/>
      <c r="F10" s="18">
        <f t="shared" si="0"/>
        <v>101.25</v>
      </c>
      <c r="G10" s="18"/>
    </row>
    <row r="11" spans="1:7" ht="45.6" customHeight="1" x14ac:dyDescent="0.25">
      <c r="A11" s="11">
        <v>6</v>
      </c>
      <c r="B11" s="18" t="s">
        <v>272</v>
      </c>
      <c r="C11" s="45" t="s">
        <v>331</v>
      </c>
      <c r="D11" s="18">
        <v>31</v>
      </c>
      <c r="E11" s="18" t="s">
        <v>341</v>
      </c>
      <c r="F11" s="18">
        <f t="shared" si="0"/>
        <v>48.050000000000004</v>
      </c>
      <c r="G11" s="18"/>
    </row>
    <row r="12" spans="1:7" ht="45.6" customHeight="1" x14ac:dyDescent="0.25">
      <c r="A12" s="11">
        <v>7</v>
      </c>
      <c r="B12" s="18" t="s">
        <v>281</v>
      </c>
      <c r="C12" s="45" t="s">
        <v>325</v>
      </c>
      <c r="D12" s="18">
        <v>23</v>
      </c>
      <c r="E12" s="88" t="s">
        <v>342</v>
      </c>
      <c r="F12" s="18">
        <f t="shared" si="0"/>
        <v>26.450000000000003</v>
      </c>
      <c r="G12" s="18"/>
    </row>
    <row r="13" spans="1:7" ht="45.6" customHeight="1" x14ac:dyDescent="0.25">
      <c r="A13" s="11">
        <v>8</v>
      </c>
      <c r="B13" s="18" t="s">
        <v>290</v>
      </c>
      <c r="C13" s="45" t="s">
        <v>333</v>
      </c>
      <c r="D13" s="18">
        <v>27</v>
      </c>
      <c r="E13" s="88" t="s">
        <v>340</v>
      </c>
      <c r="F13" s="18">
        <f t="shared" si="0"/>
        <v>36.450000000000003</v>
      </c>
      <c r="G13" s="18"/>
    </row>
    <row r="14" spans="1:7" ht="45.6" customHeight="1" x14ac:dyDescent="0.25">
      <c r="A14" s="11">
        <v>9</v>
      </c>
      <c r="B14" s="18" t="s">
        <v>291</v>
      </c>
      <c r="C14" s="45"/>
      <c r="D14" s="18">
        <v>30</v>
      </c>
      <c r="E14" s="88" t="s">
        <v>342</v>
      </c>
      <c r="F14" s="18">
        <f t="shared" si="0"/>
        <v>45</v>
      </c>
      <c r="G14" s="18"/>
    </row>
    <row r="15" spans="1:7" ht="45.6" customHeight="1" x14ac:dyDescent="0.25">
      <c r="A15" s="11">
        <v>10</v>
      </c>
      <c r="B15" s="18" t="s">
        <v>292</v>
      </c>
      <c r="C15" s="45" t="s">
        <v>334</v>
      </c>
      <c r="D15" s="18">
        <v>33</v>
      </c>
      <c r="E15" s="88" t="s">
        <v>343</v>
      </c>
      <c r="F15" s="18">
        <f t="shared" si="0"/>
        <v>54.45</v>
      </c>
      <c r="G15" s="18"/>
    </row>
    <row r="16" spans="1:7" ht="45.6" customHeight="1" x14ac:dyDescent="0.25">
      <c r="A16" s="11">
        <v>11</v>
      </c>
      <c r="B16" s="18" t="s">
        <v>293</v>
      </c>
      <c r="C16" s="45" t="s">
        <v>335</v>
      </c>
      <c r="D16" s="18">
        <v>61</v>
      </c>
      <c r="E16" s="18"/>
      <c r="F16" s="18">
        <f t="shared" si="0"/>
        <v>186.05</v>
      </c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294</v>
      </c>
      <c r="C39" s="48" t="s">
        <v>336</v>
      </c>
      <c r="D39" s="41">
        <v>61</v>
      </c>
      <c r="E39" s="23" t="s">
        <v>338</v>
      </c>
      <c r="F39" s="18">
        <f t="shared" ref="F39:F42" si="1">0.05*(D39)*(D39)</f>
        <v>186.05</v>
      </c>
      <c r="G39" s="23"/>
    </row>
    <row r="40" spans="1:7" s="28" customFormat="1" ht="45.6" customHeight="1" x14ac:dyDescent="0.25">
      <c r="A40" s="41">
        <v>2</v>
      </c>
      <c r="B40" s="23" t="s">
        <v>295</v>
      </c>
      <c r="C40" s="48" t="s">
        <v>337</v>
      </c>
      <c r="D40" s="41">
        <v>50</v>
      </c>
      <c r="E40" s="23"/>
      <c r="F40" s="18">
        <f t="shared" si="1"/>
        <v>125</v>
      </c>
      <c r="G40" s="23"/>
    </row>
    <row r="41" spans="1:7" s="28" customFormat="1" ht="45.6" customHeight="1" x14ac:dyDescent="0.25">
      <c r="A41" s="41">
        <v>3</v>
      </c>
      <c r="B41" s="23" t="s">
        <v>296</v>
      </c>
      <c r="C41" s="48"/>
      <c r="D41" s="41">
        <v>52</v>
      </c>
      <c r="E41" s="88" t="s">
        <v>339</v>
      </c>
      <c r="F41" s="18">
        <f t="shared" si="1"/>
        <v>135.20000000000002</v>
      </c>
      <c r="G41" s="23"/>
    </row>
    <row r="42" spans="1:7" s="28" customFormat="1" ht="45.6" customHeight="1" x14ac:dyDescent="0.25">
      <c r="A42" s="41">
        <v>4</v>
      </c>
      <c r="B42" s="23" t="s">
        <v>297</v>
      </c>
      <c r="C42" s="48"/>
      <c r="D42" s="41">
        <v>55</v>
      </c>
      <c r="E42" s="23"/>
      <c r="F42" s="18">
        <f t="shared" si="1"/>
        <v>151.25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F15" sqref="F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299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 t="s">
        <v>300</v>
      </c>
      <c r="C12" s="24" t="s">
        <v>279</v>
      </c>
      <c r="D12" s="24">
        <v>80</v>
      </c>
      <c r="E12" s="24">
        <v>42</v>
      </c>
      <c r="F12" s="24"/>
      <c r="G12" s="24"/>
      <c r="H12" s="24"/>
    </row>
    <row r="13" spans="1:11" ht="39.75" customHeight="1" x14ac:dyDescent="0.25">
      <c r="A13" s="24"/>
      <c r="B13" s="24" t="s">
        <v>300</v>
      </c>
      <c r="C13" s="24" t="s">
        <v>279</v>
      </c>
      <c r="D13" s="24">
        <v>122</v>
      </c>
      <c r="E13" s="24">
        <v>76</v>
      </c>
      <c r="F13" s="24"/>
      <c r="G13" s="24"/>
      <c r="H13" s="24"/>
    </row>
    <row r="14" spans="1:11" ht="39.75" customHeight="1" x14ac:dyDescent="0.25">
      <c r="A14" s="24"/>
      <c r="B14" s="24" t="s">
        <v>267</v>
      </c>
      <c r="C14" s="24" t="s">
        <v>279</v>
      </c>
      <c r="D14" s="24"/>
      <c r="E14" s="24"/>
      <c r="F14" s="24"/>
      <c r="G14" s="24">
        <v>85</v>
      </c>
      <c r="H14" s="24">
        <v>10</v>
      </c>
    </row>
    <row r="15" spans="1:11" ht="39.75" customHeight="1" x14ac:dyDescent="0.25">
      <c r="A15" s="24"/>
      <c r="B15" s="24" t="s">
        <v>298</v>
      </c>
      <c r="C15" s="24"/>
      <c r="D15" s="24">
        <v>39</v>
      </c>
      <c r="E15" s="24">
        <v>79</v>
      </c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2024-06-15T15:48:41Z</dcterms:modified>
</cp:coreProperties>
</file>