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Belthangady Aranya kshetra  II-41\"/>
    </mc:Choice>
  </mc:AlternateContent>
  <xr:revisionPtr revIDLastSave="0" documentId="13_ncr:1_{B2BAE63B-B716-4C92-8779-69B8A5848A0B}" xr6:coauthVersionLast="47" xr6:coauthVersionMax="47" xr10:uidLastSave="{00000000-0000-0000-0000-000000000000}"/>
  <bookViews>
    <workbookView xWindow="2340" yWindow="2340" windowWidth="22140" windowHeight="13110" firstSheet="4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9" l="1"/>
  <c r="F41" i="9"/>
  <c r="F39" i="9"/>
  <c r="F9" i="9"/>
  <c r="F10" i="9"/>
  <c r="F7" i="9"/>
  <c r="F8" i="9"/>
  <c r="F6" i="9"/>
  <c r="G71" i="8"/>
  <c r="G70" i="8"/>
  <c r="G69" i="8"/>
  <c r="G41" i="8"/>
  <c r="G40" i="8"/>
  <c r="G39" i="8"/>
  <c r="G38" i="8"/>
  <c r="G6" i="8"/>
  <c r="G7" i="8"/>
  <c r="G5" i="8"/>
  <c r="C5" i="5"/>
  <c r="C7" i="5"/>
  <c r="C8" i="5"/>
  <c r="C9" i="5"/>
  <c r="C10" i="5"/>
  <c r="K13" i="6"/>
  <c r="K14" i="6"/>
  <c r="K15" i="6"/>
  <c r="K16" i="6"/>
  <c r="K17" i="6"/>
  <c r="K12" i="6"/>
  <c r="B93" i="8"/>
  <c r="B66" i="8"/>
  <c r="B35" i="8"/>
</calcChain>
</file>

<file path=xl/sharedStrings.xml><?xml version="1.0" encoding="utf-8"?>
<sst xmlns="http://schemas.openxmlformats.org/spreadsheetml/2006/main" count="451" uniqueCount="325">
  <si>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</si>
  <si>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</si>
  <si>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</si>
  <si>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</si>
  <si>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</si>
  <si>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</si>
  <si>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</si>
  <si>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</si>
  <si>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</si>
  <si>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</si>
  <si>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</si>
  <si>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</si>
  <si>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</si>
  <si>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</si>
  <si>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</si>
  <si>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</si>
  <si>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</si>
  <si>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</si>
  <si>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</si>
  <si>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</si>
  <si>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</si>
  <si>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</si>
  <si>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</si>
  <si>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</si>
  <si>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</si>
  <si>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</si>
  <si>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</si>
  <si>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</si>
  <si>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</si>
  <si>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</si>
  <si>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</si>
  <si>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</si>
  <si>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</si>
  <si>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</si>
  <si>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</si>
  <si>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</si>
  <si>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</si>
  <si>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</si>
  <si>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</si>
  <si>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</si>
  <si>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</si>
  <si>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</si>
  <si>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</si>
  <si>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</si>
  <si>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</si>
  <si>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</si>
  <si>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</si>
  <si>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</si>
  <si>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</si>
  <si>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</si>
  <si>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</si>
  <si>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</si>
  <si>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</si>
  <si>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</si>
  <si>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</si>
  <si>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</si>
  <si>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</si>
  <si>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</si>
  <si>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</si>
  <si>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</si>
  <si>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</si>
  <si>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</si>
  <si>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</si>
  <si>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</si>
  <si>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</si>
  <si>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</si>
  <si>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</si>
  <si>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</si>
  <si>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</si>
  <si>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</si>
  <si>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</si>
  <si>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</si>
  <si>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</si>
  <si>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</si>
  <si>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</si>
  <si>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</si>
  <si>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</si>
  <si>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</si>
  <si>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</si>
  <si>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</si>
  <si>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</si>
  <si>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</si>
  <si>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</si>
  <si>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</si>
  <si>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</si>
  <si>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</si>
  <si>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</si>
  <si>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</si>
  <si>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</si>
  <si>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</si>
  <si>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</si>
  <si>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</si>
  <si>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</si>
  <si>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</si>
  <si>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</si>
  <si>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</si>
  <si>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</si>
  <si>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</si>
  <si>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</si>
  <si>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</si>
  <si>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</si>
  <si>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</si>
  <si>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</si>
  <si>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</si>
  <si>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</si>
  <si>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</si>
  <si>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</si>
  <si>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</si>
  <si>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</si>
  <si>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</si>
  <si>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</si>
  <si>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</si>
  <si>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</si>
  <si>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</si>
  <si>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</si>
  <si>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</si>
  <si>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</si>
  <si>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</si>
  <si>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</si>
  <si>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</si>
  <si>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</si>
  <si>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</si>
  <si>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</si>
  <si>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</si>
  <si>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</si>
  <si>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</si>
  <si>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</si>
  <si>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</si>
  <si>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</si>
  <si>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</si>
  <si>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</si>
  <si>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</si>
  <si>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</si>
  <si>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</si>
  <si>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</si>
  <si>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</si>
  <si>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</si>
  <si>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</si>
  <si>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</si>
  <si>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</si>
  <si>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</si>
  <si>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</si>
  <si>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</si>
  <si>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</si>
  <si>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</si>
  <si>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</si>
  <si>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</si>
  <si>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</si>
  <si>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</si>
  <si>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</si>
  <si>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</si>
  <si>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</si>
  <si>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</si>
  <si>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</si>
  <si>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</si>
  <si>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</si>
  <si>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</si>
  <si>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</si>
  <si>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</si>
  <si>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</si>
  <si>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</si>
  <si>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</si>
  <si>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</si>
  <si>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</si>
  <si>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</si>
  <si>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</si>
  <si>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</si>
  <si>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</si>
  <si>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</si>
  <si>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</si>
  <si>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</si>
  <si>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</si>
  <si>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</si>
  <si>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</si>
  <si>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</si>
  <si>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</si>
  <si>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</si>
  <si>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</si>
  <si>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</si>
  <si>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</si>
  <si>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</si>
  <si>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</si>
  <si>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</si>
  <si>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</si>
  <si>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</si>
  <si>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</si>
  <si>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</si>
  <si>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</si>
  <si>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</si>
  <si>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</si>
  <si>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</si>
  <si>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</si>
  <si>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</si>
  <si>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</si>
  <si>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</si>
  <si>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</si>
  <si>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</si>
  <si>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</si>
  <si>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</si>
  <si>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</si>
  <si>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</si>
  <si>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</si>
  <si>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</si>
  <si>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</si>
  <si>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</si>
  <si>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</si>
  <si>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</si>
  <si>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</si>
  <si>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</si>
  <si>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</si>
  <si>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</si>
  <si>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</si>
  <si>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</si>
  <si>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</si>
  <si>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</si>
  <si>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</si>
  <si>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</si>
  <si>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</si>
  <si>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</si>
  <si>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</si>
  <si>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</si>
  <si>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</si>
  <si>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</si>
  <si>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</si>
  <si>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</si>
  <si>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</si>
  <si>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</si>
  <si>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</si>
  <si>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</si>
  <si>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</si>
  <si>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</si>
  <si>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</si>
  <si>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</si>
  <si>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</si>
  <si>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</si>
  <si>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</si>
  <si>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</si>
  <si>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</si>
  <si>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</si>
  <si>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</si>
  <si>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</si>
  <si>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</si>
  <si>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</si>
  <si>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6173B</t>
  </si>
  <si>
    <t>Belthangady</t>
  </si>
  <si>
    <t>Trvel from Ujire  to Belthangady  upto N 12.967610    E 75.281942    by vehicle then travel in the bearing of   250 degree upto a distance of   200 m  to reach the grid.</t>
  </si>
  <si>
    <t xml:space="preserve">Acacia auriculiformis , Aporosa lindleyana , Xylia xylocarpa , Macaranga peltata </t>
  </si>
  <si>
    <t xml:space="preserve">Tract - Hilly </t>
  </si>
  <si>
    <t>Aspect - NW</t>
  </si>
  <si>
    <t>Canopy Dencity - 0.35</t>
  </si>
  <si>
    <t>Soil - Red latterite</t>
  </si>
  <si>
    <t>Grasses - Arundinella sp</t>
  </si>
  <si>
    <t xml:space="preserve">Weeds - Chromolaena odorata , </t>
  </si>
  <si>
    <t xml:space="preserve">Bamboos - Bambusa bambos </t>
  </si>
  <si>
    <t>Herbs - Ixora coccinia chinensis</t>
  </si>
  <si>
    <t xml:space="preserve">Shrubs - Ziziphus oenoplia </t>
  </si>
  <si>
    <t xml:space="preserve">Underwood species – Callicarpa tomentosa , Terminalia paniculata </t>
  </si>
  <si>
    <t xml:space="preserve">Climbers - Acacia concinna , Jasminum malabaricum </t>
  </si>
  <si>
    <t>Rattans – NIL</t>
  </si>
  <si>
    <t xml:space="preserve">NTFP yieding sps –Acacia concinna </t>
  </si>
  <si>
    <t>Enchroachment nearby</t>
  </si>
  <si>
    <t xml:space="preserve"> Heavy</t>
  </si>
  <si>
    <t>3.5m</t>
  </si>
  <si>
    <t>378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</si>
  <si>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</si>
  <si>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>Open Forest</t>
    </r>
    <r>
      <rPr>
        <sz val="12"/>
        <rFont val="Times New Roman"/>
        <family val="1"/>
      </rPr>
      <t xml:space="preserve">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</si>
  <si>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</si>
  <si>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</si>
  <si>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</si>
  <si>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Texture-  Gravelly</t>
  </si>
  <si>
    <t>Depth-  Shallow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</si>
  <si>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</si>
  <si>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</si>
  <si>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</si>
  <si>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</si>
  <si>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</si>
  <si>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</si>
  <si>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</si>
  <si>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</si>
  <si>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 xml:space="preserve">Xylia xylocarpa , Macaranga peltata , Aporosa lindleyana </t>
  </si>
  <si>
    <t>Human activities</t>
  </si>
  <si>
    <t>NIL</t>
  </si>
  <si>
    <t>&lt;0.5</t>
  </si>
  <si>
    <t xml:space="preserve">Xylia xylocarpa </t>
  </si>
  <si>
    <t>Maddalasu</t>
  </si>
  <si>
    <t xml:space="preserve">Aporosa lindleyana </t>
  </si>
  <si>
    <t xml:space="preserve">Macaranga peltata </t>
  </si>
  <si>
    <t xml:space="preserve">Cyclea peltata </t>
  </si>
  <si>
    <t>Arundinella sp</t>
  </si>
  <si>
    <t xml:space="preserve">Pothos scandens </t>
  </si>
  <si>
    <t xml:space="preserve">Smilax spinosa </t>
  </si>
  <si>
    <t xml:space="preserve">Mussaenda frondosa </t>
  </si>
  <si>
    <t>430g</t>
  </si>
  <si>
    <t>280g</t>
  </si>
  <si>
    <t>6Kg</t>
  </si>
  <si>
    <t xml:space="preserve">Leea indica </t>
  </si>
  <si>
    <t xml:space="preserve">Callicarpa tomentosa </t>
  </si>
  <si>
    <t>30g</t>
  </si>
  <si>
    <t>140g</t>
  </si>
  <si>
    <t>7Kg</t>
  </si>
  <si>
    <t>8Kg</t>
  </si>
  <si>
    <t xml:space="preserve">Getonia floribunda </t>
  </si>
  <si>
    <t xml:space="preserve">Ziziphus oenoplia </t>
  </si>
  <si>
    <t>Enchroachment</t>
  </si>
  <si>
    <t xml:space="preserve">Belthangady Aranya kshetra  </t>
  </si>
  <si>
    <t>II-41</t>
  </si>
  <si>
    <t>Mangalore Division</t>
  </si>
  <si>
    <t>Salle</t>
  </si>
  <si>
    <t>Jambe</t>
  </si>
  <si>
    <t>Battala Chandalike</t>
  </si>
  <si>
    <t>Nertige</t>
  </si>
  <si>
    <t>Kumsa</t>
  </si>
  <si>
    <t>Paragi</t>
  </si>
  <si>
    <t>Pandavara batti</t>
  </si>
  <si>
    <t>Apache Balli</t>
  </si>
  <si>
    <t>Bellatte</t>
  </si>
  <si>
    <t>Aadeballi</t>
  </si>
  <si>
    <t>Roots , seeds</t>
  </si>
  <si>
    <t>seeds</t>
  </si>
  <si>
    <t>Tubers and roots</t>
  </si>
  <si>
    <t xml:space="preserve">Tubers </t>
  </si>
  <si>
    <t>Edible fruits, Fiber</t>
  </si>
  <si>
    <t xml:space="preserve">Fruits, Fiber </t>
  </si>
  <si>
    <t>Flowers and leaves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</si>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</sst>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306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244</v>
      </c>
    </row>
    <row r="6" spans="1:3" ht="39" customHeight="1" x14ac:dyDescent="0.25">
      <c r="A6" s="4">
        <v>2</v>
      </c>
      <c r="B6" s="50" t="s">
        <v>7</v>
      </c>
      <c r="C6" s="8" t="s">
        <v>304</v>
      </c>
    </row>
    <row r="7" spans="1:3" ht="39" customHeight="1" x14ac:dyDescent="0.25">
      <c r="A7" s="4">
        <v>3</v>
      </c>
      <c r="B7" s="50" t="s">
        <v>8</v>
      </c>
      <c r="C7" s="8" t="s">
        <v>305</v>
      </c>
    </row>
    <row r="8" spans="1:3" ht="39" customHeight="1" x14ac:dyDescent="0.25">
      <c r="A8" s="4">
        <v>4</v>
      </c>
      <c r="B8" s="50" t="s">
        <v>9</v>
      </c>
      <c r="C8" s="8" t="s">
        <v>243</v>
      </c>
    </row>
    <row r="9" spans="1:3" ht="39" customHeight="1" x14ac:dyDescent="0.25">
      <c r="A9" s="4">
        <v>5</v>
      </c>
      <c r="B9" s="50" t="s">
        <v>10</v>
      </c>
      <c r="C9" s="9">
        <v>12.967142000000001</v>
      </c>
    </row>
    <row r="10" spans="1:3" ht="39" customHeight="1" x14ac:dyDescent="0.25">
      <c r="A10" s="4">
        <v>6</v>
      </c>
      <c r="B10" s="50" t="s">
        <v>11</v>
      </c>
      <c r="C10" s="9">
        <v>75.280134000000004</v>
      </c>
    </row>
    <row r="11" spans="1:3" ht="141.75" customHeight="1" x14ac:dyDescent="0.25">
      <c r="A11" s="4">
        <v>7</v>
      </c>
      <c r="B11" s="50" t="s">
        <v>12</v>
      </c>
      <c r="C11" s="8" t="s">
        <v>245</v>
      </c>
    </row>
    <row r="12" spans="1:3" ht="98.25" customHeight="1" x14ac:dyDescent="0.25">
      <c r="A12" s="4">
        <v>8</v>
      </c>
      <c r="B12" s="50" t="s">
        <v>13</v>
      </c>
      <c r="C12" s="10" t="s">
        <v>246</v>
      </c>
    </row>
    <row r="13" spans="1:3" ht="32.25" customHeight="1" x14ac:dyDescent="0.25">
      <c r="A13" s="54">
        <v>9</v>
      </c>
      <c r="B13" s="55" t="s">
        <v>14</v>
      </c>
      <c r="C13" s="6" t="s">
        <v>247</v>
      </c>
    </row>
    <row r="14" spans="1:3" ht="32.25" customHeight="1" x14ac:dyDescent="0.25">
      <c r="A14" s="54"/>
      <c r="B14" s="55"/>
      <c r="C14" s="6" t="s">
        <v>248</v>
      </c>
    </row>
    <row r="15" spans="1:3" ht="32.25" customHeight="1" x14ac:dyDescent="0.25">
      <c r="A15" s="54"/>
      <c r="B15" s="55"/>
      <c r="C15" s="6" t="s">
        <v>249</v>
      </c>
    </row>
    <row r="16" spans="1:3" ht="32.25" customHeight="1" x14ac:dyDescent="0.25">
      <c r="A16" s="54"/>
      <c r="B16" s="55"/>
      <c r="C16" s="6" t="s">
        <v>250</v>
      </c>
    </row>
    <row r="17" spans="1:3" ht="32.25" customHeight="1" x14ac:dyDescent="0.25">
      <c r="A17" s="54"/>
      <c r="B17" s="55"/>
      <c r="C17" s="6" t="s">
        <v>251</v>
      </c>
    </row>
    <row r="18" spans="1:3" ht="32.25" customHeight="1" x14ac:dyDescent="0.25">
      <c r="A18" s="54"/>
      <c r="B18" s="55"/>
      <c r="C18" s="6" t="s">
        <v>252</v>
      </c>
    </row>
    <row r="19" spans="1:3" ht="32.25" customHeight="1" x14ac:dyDescent="0.25">
      <c r="A19" s="54"/>
      <c r="B19" s="55"/>
      <c r="C19" s="6" t="s">
        <v>253</v>
      </c>
    </row>
    <row r="20" spans="1:3" ht="57.75" customHeight="1" x14ac:dyDescent="0.25">
      <c r="A20" s="54"/>
      <c r="B20" s="55"/>
      <c r="C20" s="6" t="s">
        <v>254</v>
      </c>
    </row>
    <row r="21" spans="1:3" ht="63" customHeight="1" x14ac:dyDescent="0.25">
      <c r="A21" s="54"/>
      <c r="B21" s="55"/>
      <c r="C21" s="6" t="s">
        <v>255</v>
      </c>
    </row>
    <row r="22" spans="1:3" ht="63" customHeight="1" x14ac:dyDescent="0.25">
      <c r="A22" s="54"/>
      <c r="B22" s="55"/>
      <c r="C22" s="6" t="s">
        <v>256</v>
      </c>
    </row>
    <row r="23" spans="1:3" ht="63" customHeight="1" x14ac:dyDescent="0.25">
      <c r="A23" s="54"/>
      <c r="B23" s="55"/>
      <c r="C23" s="6" t="s">
        <v>257</v>
      </c>
    </row>
    <row r="24" spans="1:3" ht="63" customHeight="1" x14ac:dyDescent="0.25">
      <c r="A24" s="54"/>
      <c r="B24" s="55"/>
      <c r="C24" s="6" t="s">
        <v>258</v>
      </c>
    </row>
    <row r="25" spans="1:3" ht="63" customHeight="1" x14ac:dyDescent="0.25">
      <c r="A25" s="54"/>
      <c r="B25" s="55"/>
      <c r="C25" s="6" t="s">
        <v>259</v>
      </c>
    </row>
    <row r="26" spans="1:3" ht="49.5" customHeight="1" x14ac:dyDescent="0.25">
      <c r="A26" s="4">
        <v>10</v>
      </c>
      <c r="B26" s="50" t="s">
        <v>15</v>
      </c>
      <c r="C26" s="6" t="s">
        <v>260</v>
      </c>
    </row>
    <row r="27" spans="1:3" ht="53.25" customHeight="1" x14ac:dyDescent="0.25">
      <c r="A27" s="4">
        <v>11</v>
      </c>
      <c r="B27" s="50" t="s">
        <v>16</v>
      </c>
      <c r="C27" s="6" t="s">
        <v>261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15" sqref="C15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306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Belthangady Aranya kshetra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6173B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12.967142000000001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75.280134000000004</v>
      </c>
    </row>
    <row r="11" spans="1:3" ht="32.25" customHeight="1" x14ac:dyDescent="0.25">
      <c r="A11" s="11">
        <v>7</v>
      </c>
      <c r="B11" s="51" t="s">
        <v>22</v>
      </c>
      <c r="C11" s="19" t="s">
        <v>263</v>
      </c>
    </row>
    <row r="12" spans="1:3" ht="43.5" customHeight="1" x14ac:dyDescent="0.25">
      <c r="A12" s="11">
        <v>8</v>
      </c>
      <c r="B12" s="51" t="s">
        <v>23</v>
      </c>
      <c r="C12" s="19" t="s">
        <v>264</v>
      </c>
    </row>
    <row r="13" spans="1:3" ht="43.5" customHeight="1" x14ac:dyDescent="0.25">
      <c r="A13" s="11">
        <v>9</v>
      </c>
      <c r="B13" s="51" t="s">
        <v>24</v>
      </c>
      <c r="C13" s="19" t="s">
        <v>265</v>
      </c>
    </row>
    <row r="14" spans="1:3" ht="38.25" customHeight="1" x14ac:dyDescent="0.25">
      <c r="A14" s="11">
        <v>10</v>
      </c>
      <c r="B14" s="51" t="s">
        <v>25</v>
      </c>
      <c r="C14" s="19" t="s">
        <v>266</v>
      </c>
    </row>
    <row r="15" spans="1:3" ht="25.5" customHeight="1" x14ac:dyDescent="0.25">
      <c r="A15" s="11">
        <v>11</v>
      </c>
      <c r="B15" s="51" t="s">
        <v>26</v>
      </c>
      <c r="C15" s="21" t="s">
        <v>267</v>
      </c>
    </row>
    <row r="16" spans="1:3" ht="37.5" customHeight="1" x14ac:dyDescent="0.25">
      <c r="A16" s="11">
        <v>12</v>
      </c>
      <c r="B16" s="51" t="s">
        <v>27</v>
      </c>
      <c r="C16" s="21" t="s">
        <v>268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269</v>
      </c>
    </row>
    <row r="19" spans="1:3" ht="30.75" customHeight="1" x14ac:dyDescent="0.25">
      <c r="A19" s="57"/>
      <c r="B19" s="58"/>
      <c r="C19" s="21" t="s">
        <v>270</v>
      </c>
    </row>
    <row r="20" spans="1:3" ht="30.75" customHeight="1" x14ac:dyDescent="0.25">
      <c r="A20" s="57"/>
      <c r="B20" s="58"/>
      <c r="C20" s="22" t="s">
        <v>271</v>
      </c>
    </row>
    <row r="21" spans="1:3" ht="36" customHeight="1" x14ac:dyDescent="0.25">
      <c r="A21" s="11">
        <v>15</v>
      </c>
      <c r="B21" s="51" t="s">
        <v>31</v>
      </c>
      <c r="C21" s="21" t="s">
        <v>272</v>
      </c>
    </row>
    <row r="22" spans="1:3" ht="54.75" customHeight="1" x14ac:dyDescent="0.25">
      <c r="A22" s="11">
        <v>16</v>
      </c>
      <c r="B22" s="51" t="s">
        <v>32</v>
      </c>
      <c r="C22" s="21" t="s">
        <v>279</v>
      </c>
    </row>
    <row r="23" spans="1:3" ht="15.75" x14ac:dyDescent="0.25">
      <c r="A23" s="11">
        <v>17</v>
      </c>
      <c r="B23" s="51" t="s">
        <v>221</v>
      </c>
      <c r="C23" s="21" t="s">
        <v>273</v>
      </c>
    </row>
    <row r="24" spans="1:3" ht="35.25" customHeight="1" x14ac:dyDescent="0.25">
      <c r="A24" s="11">
        <v>18</v>
      </c>
      <c r="B24" s="51" t="s">
        <v>33</v>
      </c>
      <c r="C24" s="21" t="s">
        <v>274</v>
      </c>
    </row>
    <row r="25" spans="1:3" ht="72.75" customHeight="1" x14ac:dyDescent="0.25">
      <c r="A25" s="11">
        <v>19</v>
      </c>
      <c r="B25" s="51" t="s">
        <v>34</v>
      </c>
      <c r="C25" s="21" t="s">
        <v>280</v>
      </c>
    </row>
    <row r="26" spans="1:3" ht="30" customHeight="1" x14ac:dyDescent="0.25">
      <c r="A26" s="11">
        <v>20</v>
      </c>
      <c r="B26" s="51" t="s">
        <v>35</v>
      </c>
      <c r="C26" s="22" t="s">
        <v>275</v>
      </c>
    </row>
    <row r="27" spans="1:3" ht="30" customHeight="1" x14ac:dyDescent="0.25">
      <c r="A27" s="11">
        <v>21</v>
      </c>
      <c r="B27" s="51" t="s">
        <v>36</v>
      </c>
      <c r="C27" s="21" t="s">
        <v>276</v>
      </c>
    </row>
    <row r="28" spans="1:3" ht="30" customHeight="1" x14ac:dyDescent="0.25">
      <c r="A28" s="11">
        <v>22</v>
      </c>
      <c r="B28" s="51" t="s">
        <v>37</v>
      </c>
      <c r="C28" s="21" t="s">
        <v>277</v>
      </c>
    </row>
    <row r="29" spans="1:3" ht="32.25" customHeight="1" x14ac:dyDescent="0.25">
      <c r="A29" s="11">
        <v>23</v>
      </c>
      <c r="B29" s="51" t="s">
        <v>38</v>
      </c>
      <c r="C29" s="21" t="s">
        <v>277</v>
      </c>
    </row>
    <row r="30" spans="1:3" ht="62.25" customHeight="1" x14ac:dyDescent="0.25">
      <c r="A30" s="11">
        <v>24</v>
      </c>
      <c r="B30" s="51" t="s">
        <v>39</v>
      </c>
      <c r="C30" s="21" t="s">
        <v>281</v>
      </c>
    </row>
    <row r="31" spans="1:3" ht="72.75" customHeight="1" x14ac:dyDescent="0.25">
      <c r="A31" s="11">
        <v>25</v>
      </c>
      <c r="B31" s="51" t="s">
        <v>40</v>
      </c>
      <c r="C31" s="21" t="s">
        <v>281</v>
      </c>
    </row>
    <row r="32" spans="1:3" ht="60" customHeight="1" x14ac:dyDescent="0.25">
      <c r="A32" s="11">
        <v>26</v>
      </c>
      <c r="B32" s="51" t="s">
        <v>41</v>
      </c>
      <c r="C32" s="21" t="s">
        <v>281</v>
      </c>
    </row>
    <row r="33" spans="1:3" ht="60" customHeight="1" x14ac:dyDescent="0.25">
      <c r="A33" s="11">
        <v>27</v>
      </c>
      <c r="B33" s="51" t="s">
        <v>42</v>
      </c>
      <c r="C33" s="19" t="s">
        <v>278</v>
      </c>
    </row>
    <row r="34" spans="1:3" ht="57.75" customHeight="1" x14ac:dyDescent="0.25">
      <c r="A34" s="11">
        <v>28</v>
      </c>
      <c r="B34" s="51" t="s">
        <v>43</v>
      </c>
      <c r="C34" s="21" t="s">
        <v>281</v>
      </c>
    </row>
    <row r="35" spans="1:3" ht="59.25" customHeight="1" x14ac:dyDescent="0.25">
      <c r="A35" s="11">
        <v>29</v>
      </c>
      <c r="B35" s="51" t="s">
        <v>44</v>
      </c>
      <c r="C35" s="21" t="s">
        <v>281</v>
      </c>
    </row>
    <row r="36" spans="1:3" ht="66" customHeight="1" x14ac:dyDescent="0.25">
      <c r="A36" s="11">
        <v>30</v>
      </c>
      <c r="B36" s="51" t="s">
        <v>225</v>
      </c>
      <c r="C36" s="21" t="s">
        <v>282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10" zoomScale="60" zoomScaleNormal="70" workbookViewId="0">
      <selection activeCell="H23" sqref="H23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283</v>
      </c>
      <c r="C12" s="23"/>
      <c r="D12" s="23">
        <v>31</v>
      </c>
      <c r="E12" s="23"/>
      <c r="F12" s="23"/>
      <c r="G12" s="23"/>
      <c r="H12" s="23"/>
      <c r="I12" s="23">
        <v>3</v>
      </c>
      <c r="J12" s="23">
        <v>3.5</v>
      </c>
      <c r="K12" s="23">
        <f>L12+M12+R12</f>
        <v>5.5</v>
      </c>
      <c r="L12" s="23">
        <v>3</v>
      </c>
      <c r="M12" s="23">
        <v>1</v>
      </c>
      <c r="N12" s="23"/>
      <c r="O12" s="23"/>
      <c r="P12" s="23"/>
      <c r="Q12" s="23"/>
      <c r="R12" s="23">
        <v>1.5</v>
      </c>
      <c r="S12" s="23"/>
      <c r="T12" s="23"/>
    </row>
    <row r="13" spans="1:20" ht="40.5" customHeight="1" x14ac:dyDescent="0.25">
      <c r="A13" s="23">
        <v>2</v>
      </c>
      <c r="B13" s="23" t="s">
        <v>284</v>
      </c>
      <c r="C13" s="23"/>
      <c r="D13" s="23">
        <v>55</v>
      </c>
      <c r="E13" s="23"/>
      <c r="F13" s="23"/>
      <c r="G13" s="23"/>
      <c r="H13" s="23"/>
      <c r="I13" s="23">
        <v>3</v>
      </c>
      <c r="J13" s="23">
        <v>3.5</v>
      </c>
      <c r="K13" s="23">
        <f t="shared" ref="K13:K17" si="0">L13+M13+R13</f>
        <v>6.8</v>
      </c>
      <c r="L13" s="23">
        <v>3</v>
      </c>
      <c r="M13" s="23">
        <v>2.5</v>
      </c>
      <c r="N13" s="23"/>
      <c r="O13" s="23"/>
      <c r="P13" s="23"/>
      <c r="Q13" s="23"/>
      <c r="R13" s="23">
        <v>1.3</v>
      </c>
      <c r="S13" s="23"/>
      <c r="T13" s="23"/>
    </row>
    <row r="14" spans="1:20" ht="40.5" customHeight="1" x14ac:dyDescent="0.25">
      <c r="A14" s="23">
        <v>3</v>
      </c>
      <c r="B14" s="23" t="s">
        <v>285</v>
      </c>
      <c r="C14" s="23"/>
      <c r="D14" s="23">
        <v>34</v>
      </c>
      <c r="E14" s="23"/>
      <c r="F14" s="23"/>
      <c r="G14" s="23"/>
      <c r="H14" s="23"/>
      <c r="I14" s="23">
        <v>3</v>
      </c>
      <c r="J14" s="23">
        <v>2</v>
      </c>
      <c r="K14" s="23">
        <f t="shared" si="0"/>
        <v>7</v>
      </c>
      <c r="L14" s="23">
        <v>4</v>
      </c>
      <c r="M14" s="23">
        <v>2.5</v>
      </c>
      <c r="N14" s="23"/>
      <c r="O14" s="23"/>
      <c r="P14" s="23"/>
      <c r="Q14" s="23"/>
      <c r="R14" s="23">
        <v>0.5</v>
      </c>
      <c r="S14" s="23"/>
      <c r="T14" s="23"/>
    </row>
    <row r="15" spans="1:20" ht="40.5" customHeight="1" x14ac:dyDescent="0.25">
      <c r="A15" s="23">
        <v>4</v>
      </c>
      <c r="B15" s="23" t="s">
        <v>285</v>
      </c>
      <c r="C15" s="23"/>
      <c r="D15" s="23">
        <v>33</v>
      </c>
      <c r="E15" s="23"/>
      <c r="F15" s="23"/>
      <c r="G15" s="23"/>
      <c r="H15" s="23"/>
      <c r="I15" s="23">
        <v>4</v>
      </c>
      <c r="J15" s="23">
        <v>3.5</v>
      </c>
      <c r="K15" s="23">
        <f t="shared" si="0"/>
        <v>7</v>
      </c>
      <c r="L15" s="23">
        <v>2.5</v>
      </c>
      <c r="M15" s="23">
        <v>4</v>
      </c>
      <c r="N15" s="23"/>
      <c r="O15" s="23"/>
      <c r="P15" s="23"/>
      <c r="Q15" s="23"/>
      <c r="R15" s="23">
        <v>0.5</v>
      </c>
      <c r="S15" s="23"/>
      <c r="T15" s="23"/>
    </row>
    <row r="16" spans="1:20" ht="40.5" customHeight="1" x14ac:dyDescent="0.25">
      <c r="A16" s="23">
        <v>5</v>
      </c>
      <c r="B16" s="23" t="s">
        <v>286</v>
      </c>
      <c r="C16" s="23"/>
      <c r="D16" s="23">
        <v>100</v>
      </c>
      <c r="E16" s="23"/>
      <c r="F16" s="23"/>
      <c r="G16" s="23"/>
      <c r="H16" s="23"/>
      <c r="I16" s="23">
        <v>6</v>
      </c>
      <c r="J16" s="23">
        <v>3.7</v>
      </c>
      <c r="K16" s="23">
        <f t="shared" si="0"/>
        <v>10.5</v>
      </c>
      <c r="L16" s="23">
        <v>2.5</v>
      </c>
      <c r="M16" s="23">
        <v>4</v>
      </c>
      <c r="N16" s="23"/>
      <c r="O16" s="23"/>
      <c r="P16" s="23"/>
      <c r="Q16" s="23"/>
      <c r="R16" s="23">
        <v>4</v>
      </c>
      <c r="S16" s="23"/>
      <c r="T16" s="23"/>
    </row>
    <row r="17" spans="1:20" ht="40.5" customHeight="1" x14ac:dyDescent="0.25">
      <c r="A17" s="23">
        <v>6</v>
      </c>
      <c r="B17" s="23" t="s">
        <v>286</v>
      </c>
      <c r="C17" s="23"/>
      <c r="D17" s="23">
        <v>74</v>
      </c>
      <c r="E17" s="23"/>
      <c r="F17" s="23"/>
      <c r="G17" s="23"/>
      <c r="H17" s="23"/>
      <c r="I17" s="23">
        <v>5</v>
      </c>
      <c r="J17" s="23">
        <v>4</v>
      </c>
      <c r="K17" s="23">
        <f t="shared" si="0"/>
        <v>7</v>
      </c>
      <c r="L17" s="23">
        <v>3</v>
      </c>
      <c r="M17" s="23">
        <v>2</v>
      </c>
      <c r="N17" s="23"/>
      <c r="O17" s="23"/>
      <c r="P17" s="23"/>
      <c r="Q17" s="23"/>
      <c r="R17" s="23">
        <v>2</v>
      </c>
      <c r="S17" s="23"/>
      <c r="T17" s="23"/>
    </row>
    <row r="18" spans="1:20" ht="40.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ht="40.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 ht="40.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ht="40.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 ht="40.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40.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ht="40.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40.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40.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8" zoomScaleSheetLayoutView="100" workbookViewId="0">
      <selection activeCell="G131" activeCellId="1" sqref="G72 G131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25">
      <c r="A5" s="11">
        <v>1</v>
      </c>
      <c r="B5" s="12" t="s">
        <v>285</v>
      </c>
      <c r="C5" s="12" t="s">
        <v>307</v>
      </c>
      <c r="D5" s="12">
        <v>2.5</v>
      </c>
      <c r="E5" s="12">
        <v>2</v>
      </c>
      <c r="F5" s="12" t="s">
        <v>318</v>
      </c>
      <c r="G5" s="12">
        <f>D5*E5</f>
        <v>5</v>
      </c>
      <c r="H5" s="12"/>
    </row>
    <row r="6" spans="1:8" ht="29.25" customHeight="1" x14ac:dyDescent="0.25">
      <c r="A6" s="11">
        <v>2</v>
      </c>
      <c r="B6" s="12" t="s">
        <v>283</v>
      </c>
      <c r="C6" s="12" t="s">
        <v>308</v>
      </c>
      <c r="D6" s="12">
        <v>3.5</v>
      </c>
      <c r="E6" s="12">
        <v>1.5</v>
      </c>
      <c r="F6" s="12" t="s">
        <v>318</v>
      </c>
      <c r="G6" s="12">
        <f t="shared" ref="G6:G7" si="0">D6*E6</f>
        <v>5.25</v>
      </c>
      <c r="H6" s="12"/>
    </row>
    <row r="7" spans="1:8" ht="29.25" customHeight="1" x14ac:dyDescent="0.25">
      <c r="A7" s="11">
        <v>3</v>
      </c>
      <c r="B7" s="12" t="s">
        <v>286</v>
      </c>
      <c r="C7" s="12" t="s">
        <v>309</v>
      </c>
      <c r="D7" s="12">
        <v>3</v>
      </c>
      <c r="E7" s="12">
        <v>2</v>
      </c>
      <c r="F7" s="88" t="s">
        <v>321</v>
      </c>
      <c r="G7" s="12">
        <f t="shared" si="0"/>
        <v>6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4">
        <v>0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292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293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294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25">
      <c r="A38" s="11">
        <v>1</v>
      </c>
      <c r="B38" s="17" t="s">
        <v>286</v>
      </c>
      <c r="C38" s="17" t="s">
        <v>309</v>
      </c>
      <c r="D38" s="17">
        <v>2.5</v>
      </c>
      <c r="E38" s="17">
        <v>2</v>
      </c>
      <c r="F38" s="88" t="s">
        <v>321</v>
      </c>
      <c r="G38" s="12">
        <f t="shared" ref="G38:G41" si="1">D38*E38</f>
        <v>5</v>
      </c>
      <c r="H38" s="17"/>
    </row>
    <row r="39" spans="1:8" ht="36" customHeight="1" x14ac:dyDescent="0.25">
      <c r="A39" s="11">
        <v>2</v>
      </c>
      <c r="B39" s="17" t="s">
        <v>286</v>
      </c>
      <c r="C39" s="17" t="s">
        <v>309</v>
      </c>
      <c r="D39" s="17">
        <v>2.2000000000000002</v>
      </c>
      <c r="E39" s="17">
        <v>2</v>
      </c>
      <c r="F39" s="17"/>
      <c r="G39" s="12">
        <f t="shared" si="1"/>
        <v>4.4000000000000004</v>
      </c>
      <c r="H39" s="17"/>
    </row>
    <row r="40" spans="1:8" ht="36" customHeight="1" x14ac:dyDescent="0.25">
      <c r="A40" s="11">
        <v>3</v>
      </c>
      <c r="B40" s="17" t="s">
        <v>295</v>
      </c>
      <c r="C40" s="17" t="s">
        <v>310</v>
      </c>
      <c r="D40" s="17">
        <v>3</v>
      </c>
      <c r="E40" s="17">
        <v>3</v>
      </c>
      <c r="F40" s="88" t="s">
        <v>322</v>
      </c>
      <c r="G40" s="12">
        <f t="shared" si="1"/>
        <v>9</v>
      </c>
      <c r="H40" s="17"/>
    </row>
    <row r="41" spans="1:8" ht="36" customHeight="1" x14ac:dyDescent="0.25">
      <c r="A41" s="11">
        <v>4</v>
      </c>
      <c r="B41" s="17" t="s">
        <v>296</v>
      </c>
      <c r="C41" s="17" t="s">
        <v>313</v>
      </c>
      <c r="D41" s="17">
        <v>2.5</v>
      </c>
      <c r="E41" s="17">
        <v>1.5</v>
      </c>
      <c r="F41" s="17"/>
      <c r="G41" s="12">
        <f t="shared" si="1"/>
        <v>3.75</v>
      </c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297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298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299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298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25">
      <c r="A69" s="11">
        <v>1</v>
      </c>
      <c r="B69" s="39" t="s">
        <v>301</v>
      </c>
      <c r="C69" s="39" t="s">
        <v>311</v>
      </c>
      <c r="D69" s="11">
        <v>4</v>
      </c>
      <c r="E69" s="11">
        <v>8</v>
      </c>
      <c r="F69" s="88" t="s">
        <v>323</v>
      </c>
      <c r="G69" s="12">
        <f t="shared" ref="G69:G71" si="2">D69*E69</f>
        <v>32</v>
      </c>
      <c r="H69" s="11"/>
    </row>
    <row r="70" spans="1:8" s="27" customFormat="1" ht="41.25" customHeight="1" x14ac:dyDescent="0.25">
      <c r="A70" s="11">
        <v>2</v>
      </c>
      <c r="B70" s="39" t="s">
        <v>302</v>
      </c>
      <c r="C70" s="39" t="s">
        <v>312</v>
      </c>
      <c r="D70" s="11">
        <v>2.5</v>
      </c>
      <c r="E70" s="11">
        <v>4</v>
      </c>
      <c r="F70" s="88" t="s">
        <v>324</v>
      </c>
      <c r="G70" s="12">
        <f t="shared" si="2"/>
        <v>10</v>
      </c>
      <c r="H70" s="11"/>
    </row>
    <row r="71" spans="1:8" s="27" customFormat="1" ht="41.25" customHeight="1" x14ac:dyDescent="0.25">
      <c r="A71" s="11">
        <v>3</v>
      </c>
      <c r="B71" s="39" t="s">
        <v>286</v>
      </c>
      <c r="C71" s="39" t="s">
        <v>309</v>
      </c>
      <c r="D71" s="11">
        <v>3.5</v>
      </c>
      <c r="E71" s="11">
        <v>2</v>
      </c>
      <c r="F71" s="88" t="s">
        <v>321</v>
      </c>
      <c r="G71" s="12">
        <f t="shared" si="2"/>
        <v>7</v>
      </c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25">
      <c r="A96" s="40">
        <v>1</v>
      </c>
      <c r="B96" s="39"/>
      <c r="C96" s="11"/>
      <c r="D96" s="40"/>
      <c r="E96" s="41"/>
      <c r="F96" s="22"/>
      <c r="G96" s="22"/>
      <c r="H96" s="22"/>
    </row>
    <row r="97" spans="1:8" s="27" customFormat="1" ht="39" customHeight="1" x14ac:dyDescent="0.25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 t="s">
        <v>303</v>
      </c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8" zoomScale="85" zoomScaleNormal="85" zoomScaleSheetLayoutView="85" workbookViewId="0">
      <selection activeCell="E42" sqref="E4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25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25">
      <c r="A6" s="11">
        <v>1</v>
      </c>
      <c r="B6" s="17" t="s">
        <v>287</v>
      </c>
      <c r="C6" s="44" t="s">
        <v>316</v>
      </c>
      <c r="D6" s="17">
        <v>40</v>
      </c>
      <c r="E6" s="88" t="s">
        <v>317</v>
      </c>
      <c r="F6" s="17">
        <f>0.05*(D6)*(D6)</f>
        <v>80</v>
      </c>
      <c r="G6" s="17"/>
    </row>
    <row r="7" spans="1:7" ht="45.6" customHeight="1" x14ac:dyDescent="0.25">
      <c r="A7" s="11">
        <v>2</v>
      </c>
      <c r="B7" s="17" t="s">
        <v>288</v>
      </c>
      <c r="C7" s="44"/>
      <c r="D7" s="17">
        <v>52</v>
      </c>
      <c r="E7" s="17"/>
      <c r="F7" s="17">
        <f t="shared" ref="F7:F10" si="0">0.05*(D7)*(D7)</f>
        <v>135.20000000000002</v>
      </c>
      <c r="G7" s="17"/>
    </row>
    <row r="8" spans="1:7" ht="45.6" customHeight="1" x14ac:dyDescent="0.25">
      <c r="A8" s="11">
        <v>3</v>
      </c>
      <c r="B8" s="17" t="s">
        <v>288</v>
      </c>
      <c r="C8" s="44"/>
      <c r="D8" s="17">
        <v>40</v>
      </c>
      <c r="E8" s="17"/>
      <c r="F8" s="17">
        <f t="shared" si="0"/>
        <v>80</v>
      </c>
      <c r="G8" s="17"/>
    </row>
    <row r="9" spans="1:7" ht="45.6" customHeight="1" x14ac:dyDescent="0.25">
      <c r="A9" s="11">
        <v>4</v>
      </c>
      <c r="B9" s="17" t="s">
        <v>288</v>
      </c>
      <c r="C9" s="44"/>
      <c r="D9" s="17">
        <v>40</v>
      </c>
      <c r="E9" s="17"/>
      <c r="F9" s="17">
        <f>0.05*(D9)*(D9)</f>
        <v>80</v>
      </c>
      <c r="G9" s="17"/>
    </row>
    <row r="10" spans="1:7" ht="45.6" customHeight="1" x14ac:dyDescent="0.25">
      <c r="A10" s="11">
        <v>5</v>
      </c>
      <c r="B10" s="17" t="s">
        <v>283</v>
      </c>
      <c r="C10" s="44" t="s">
        <v>308</v>
      </c>
      <c r="D10" s="17">
        <v>30</v>
      </c>
      <c r="E10" s="17" t="s">
        <v>318</v>
      </c>
      <c r="F10" s="17">
        <f t="shared" si="0"/>
        <v>45</v>
      </c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25">
      <c r="A39" s="40">
        <v>1</v>
      </c>
      <c r="B39" s="22" t="s">
        <v>289</v>
      </c>
      <c r="C39" s="22" t="s">
        <v>314</v>
      </c>
      <c r="D39" s="40">
        <v>30</v>
      </c>
      <c r="E39" s="88" t="s">
        <v>319</v>
      </c>
      <c r="F39" s="17">
        <f t="shared" ref="F39:F41" si="1">0.05*(D39)*(D39)</f>
        <v>45</v>
      </c>
      <c r="G39" s="22"/>
    </row>
    <row r="40" spans="1:7" s="27" customFormat="1" ht="45.6" customHeight="1" x14ac:dyDescent="0.25">
      <c r="A40" s="40">
        <v>2</v>
      </c>
      <c r="B40" s="22" t="s">
        <v>290</v>
      </c>
      <c r="C40" s="22"/>
      <c r="D40" s="40">
        <v>25</v>
      </c>
      <c r="E40" s="88" t="s">
        <v>320</v>
      </c>
      <c r="F40" s="17">
        <f t="shared" si="1"/>
        <v>31.25</v>
      </c>
      <c r="G40" s="22"/>
    </row>
    <row r="41" spans="1:7" s="27" customFormat="1" ht="45.6" customHeight="1" x14ac:dyDescent="0.25">
      <c r="A41" s="40">
        <v>3</v>
      </c>
      <c r="B41" s="22" t="s">
        <v>291</v>
      </c>
      <c r="C41" s="22" t="s">
        <v>315</v>
      </c>
      <c r="D41" s="40">
        <v>60</v>
      </c>
      <c r="E41" s="88" t="s">
        <v>321</v>
      </c>
      <c r="F41" s="17">
        <f t="shared" si="1"/>
        <v>180</v>
      </c>
      <c r="G41" s="22"/>
    </row>
    <row r="42" spans="1:7" s="27" customFormat="1" ht="45.6" customHeight="1" x14ac:dyDescent="0.25">
      <c r="A42" s="40">
        <v>4</v>
      </c>
      <c r="B42" s="22"/>
      <c r="C42" s="47"/>
      <c r="D42" s="40"/>
      <c r="E42" s="22"/>
      <c r="F42" s="22"/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2024-06-15T15:25:06Z</dcterms:modified>
</cp:coreProperties>
</file>