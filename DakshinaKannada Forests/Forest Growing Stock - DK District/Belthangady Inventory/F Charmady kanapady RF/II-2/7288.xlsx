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2 #\"/>
    </mc:Choice>
  </mc:AlternateContent>
  <xr:revisionPtr revIDLastSave="0" documentId="13_ncr:1_{F6A8AF15-091F-482F-9ECF-4DC724506CA7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<sst xmlns="http://schemas.openxmlformats.org/spreadsheetml/2006/main" count="476" uniqueCount="328">
  <si>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</si>
  <si>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</si>
  <si>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</si>
  <si>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</si>
  <si>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</si>
  <si>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</si>
  <si>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</si>
  <si>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</si>
  <si>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</si>
  <si>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</si>
  <si>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</si>
  <si>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</si>
  <si>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</si>
  <si>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</si>
  <si>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</si>
  <si>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</si>
  <si>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</si>
  <si>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</si>
  <si>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</si>
  <si>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</si>
  <si>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</si>
  <si>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</si>
  <si>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</si>
  <si>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</si>
  <si>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</si>
  <si>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</si>
  <si>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</si>
  <si>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</si>
  <si>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</si>
  <si>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</si>
  <si>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</si>
  <si>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</si>
  <si>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</si>
  <si>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</si>
  <si>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</si>
  <si>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</si>
  <si>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</si>
  <si>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</si>
  <si>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</si>
  <si>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</si>
  <si>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</si>
  <si>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</si>
  <si>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</si>
  <si>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</si>
  <si>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</si>
  <si>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</si>
  <si>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</si>
  <si>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</si>
  <si>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</si>
  <si>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</si>
  <si>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</si>
  <si>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</si>
  <si>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</si>
  <si>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</si>
  <si>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</si>
  <si>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</si>
  <si>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</si>
  <si>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</si>
  <si>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</si>
  <si>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</si>
  <si>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</si>
  <si>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</si>
  <si>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</si>
  <si>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</si>
  <si>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</si>
  <si>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</si>
  <si>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</si>
  <si>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</si>
  <si>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</si>
  <si>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</si>
  <si>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</si>
  <si>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</si>
  <si>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</si>
  <si>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</si>
  <si>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</si>
  <si>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</si>
  <si>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</si>
  <si>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</si>
  <si>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</si>
  <si>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</si>
  <si>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</si>
  <si>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</si>
  <si>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</si>
  <si>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</si>
  <si>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</si>
  <si>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</si>
  <si>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</si>
  <si>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</si>
  <si>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</si>
  <si>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</si>
  <si>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</si>
  <si>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</si>
  <si>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</si>
  <si>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</si>
  <si>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</si>
  <si>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</si>
  <si>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</si>
  <si>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</si>
  <si>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</si>
  <si>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</si>
  <si>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</si>
  <si>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</si>
  <si>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</si>
  <si>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</si>
  <si>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</si>
  <si>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</si>
  <si>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</si>
  <si>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</si>
  <si>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</si>
  <si>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</si>
  <si>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</si>
  <si>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</si>
  <si>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</si>
  <si>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</si>
  <si>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</si>
  <si>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</si>
  <si>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</si>
  <si>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</si>
  <si>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</si>
  <si>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</si>
  <si>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</si>
  <si>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</si>
  <si>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</si>
  <si>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</si>
  <si>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</si>
  <si>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</si>
  <si>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</si>
  <si>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</si>
  <si>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</si>
  <si>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</si>
  <si>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</si>
  <si>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</si>
  <si>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</si>
  <si>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</si>
  <si>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</si>
  <si>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</si>
  <si>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</si>
  <si>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</si>
  <si>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</si>
  <si>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</si>
  <si>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</si>
  <si>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</si>
  <si>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</si>
  <si>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</si>
  <si>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</si>
  <si>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</si>
  <si>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</si>
  <si>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</si>
  <si>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</si>
  <si>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</si>
  <si>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</si>
  <si>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</si>
  <si>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</si>
  <si>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</si>
  <si>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</si>
  <si>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</si>
  <si>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</si>
  <si>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</si>
  <si>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</si>
  <si>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</si>
  <si>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</si>
  <si>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</si>
  <si>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</si>
  <si>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</si>
  <si>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</si>
  <si>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</si>
  <si>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</si>
  <si>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</si>
  <si>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</si>
  <si>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</si>
  <si>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</si>
  <si>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</si>
  <si>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</si>
  <si>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</si>
  <si>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</si>
  <si>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</si>
  <si>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</si>
  <si>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</si>
  <si>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</si>
  <si>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</si>
  <si>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</si>
  <si>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</si>
  <si>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</si>
  <si>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</si>
  <si>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</si>
  <si>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</si>
  <si>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</si>
  <si>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</si>
  <si>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</si>
  <si>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</si>
  <si>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</si>
  <si>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</si>
  <si>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</si>
  <si>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</si>
  <si>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</si>
  <si>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</si>
  <si>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</si>
  <si>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</si>
  <si>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</si>
  <si>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</si>
  <si>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</si>
  <si>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</si>
  <si>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</si>
  <si>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</si>
  <si>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</si>
  <si>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</si>
  <si>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</si>
  <si>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</si>
  <si>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</si>
  <si>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</si>
  <si>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</si>
  <si>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</si>
  <si>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</si>
  <si>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</si>
  <si>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</si>
  <si>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</si>
  <si>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</si>
  <si>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</si>
  <si>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</si>
  <si>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</si>
  <si>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</si>
  <si>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</si>
  <si>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</si>
  <si>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</si>
  <si>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</si>
  <si>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</si>
  <si>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</si>
  <si>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</si>
  <si>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</si>
  <si>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</si>
  <si>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</si>
  <si>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</si>
  <si>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</si>
  <si>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</si>
  <si>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</si>
  <si>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</si>
  <si>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</si>
  <si>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</si>
  <si>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</si>
  <si>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</si>
  <si>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</si>
  <si>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</si>
  <si>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</si>
  <si>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Tract -Hilly</t>
  </si>
  <si>
    <t xml:space="preserve">Aspect - No fixed aspect </t>
  </si>
  <si>
    <t>Canopy Dencity -0.8</t>
  </si>
  <si>
    <t xml:space="preserve">Soil - Humus rich loamy </t>
  </si>
  <si>
    <t xml:space="preserve">Grasses -Opplessima sp </t>
  </si>
  <si>
    <t xml:space="preserve">Weeds - Strobilanthus sp </t>
  </si>
  <si>
    <t xml:space="preserve">Bamboos -Ochlandra sp </t>
  </si>
  <si>
    <t xml:space="preserve">Herbs - Mimosa pudica , Asparagus recmosus </t>
  </si>
  <si>
    <t>Shrubs - Clerodendrum infortunatum , Terrigota alata</t>
  </si>
  <si>
    <t>Underwood species – Ficus hispida , Lamarkina cadambe</t>
  </si>
  <si>
    <t xml:space="preserve">Climbers - Getonia floribunda , Acacia concinna </t>
  </si>
  <si>
    <t xml:space="preserve">Rattans –Calamus rotung , Calamus thwiitesii </t>
  </si>
  <si>
    <t xml:space="preserve">NTFP yieding sps – Garcinia morella , Calamus thwiitesii 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</si>
  <si>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</si>
  <si>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</t>
    </r>
    <r>
      <rPr>
        <b/>
        <sz val="12"/>
        <rFont val="Times New Roman"/>
        <family val="1"/>
      </rPr>
      <t xml:space="preserve"> /Dense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</si>
  <si>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</t>
    </r>
    <r>
      <rPr>
        <b/>
        <sz val="12"/>
        <rFont val="Times New Roman"/>
        <family val="1"/>
      </rPr>
      <t>/ Hilly</t>
    </r>
    <r>
      <rPr>
        <sz val="12"/>
        <rFont val="Times New Roman"/>
        <family val="1"/>
      </rPr>
      <t xml:space="preserve"> /Very Hilly</t>
    </r>
  </si>
  <si>
    <r>
      <t>Upto 3° /4°-15°/</t>
    </r>
    <r>
      <rPr>
        <b/>
        <sz val="12"/>
        <rFont val="Times New Roman"/>
        <family val="1"/>
      </rPr>
      <t xml:space="preserve"> 16°-40°</t>
    </r>
    <r>
      <rPr>
        <sz val="12"/>
        <rFont val="Times New Roman"/>
        <family val="1"/>
      </rPr>
      <t xml:space="preserve"> /41° and Above</t>
    </r>
  </si>
  <si>
    <r>
      <t>Northern / NE/Eastern / SE /</t>
    </r>
    <r>
      <rPr>
        <b/>
        <sz val="12"/>
        <rFont val="Times New Roman"/>
        <family val="1"/>
      </rPr>
      <t>Southern</t>
    </r>
    <r>
      <rPr>
        <sz val="12"/>
        <rFont val="Times New Roman"/>
        <family val="1"/>
      </rPr>
      <t xml:space="preserve"> /SW /Western/ NW /No aspect</t>
    </r>
  </si>
  <si>
    <t>Texture- Humus rich loam</t>
  </si>
  <si>
    <t>Depth-  Good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</si>
  <si>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</si>
  <si>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</si>
  <si>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Vitex altissima , Hopea ponga , Lopopetalum vitianum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</si>
  <si>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</si>
  <si>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>Top drying / Lopping / Girdling / Scarring /</t>
    </r>
    <r>
      <rPr>
        <b/>
        <sz val="12"/>
        <rFont val="Times New Roman"/>
        <family val="1"/>
      </rPr>
      <t xml:space="preserve"> Damage by natural calamities</t>
    </r>
    <r>
      <rPr>
        <sz val="12"/>
        <rFont val="Times New Roman"/>
        <family val="1"/>
      </rPr>
      <t xml:space="preserve"> / None</t>
    </r>
  </si>
  <si>
    <t>Elephant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</si>
  <si>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</si>
  <si>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</si>
  <si>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</si>
  <si>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t>NIL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</si>
  <si>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</si>
  <si>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Elephant trails</t>
  </si>
  <si>
    <t>0.5-0.75</t>
  </si>
  <si>
    <t xml:space="preserve">Myristica malabarica </t>
  </si>
  <si>
    <t xml:space="preserve">Madhuca neriifolia </t>
  </si>
  <si>
    <t xml:space="preserve">Artocarpus hirusts </t>
  </si>
  <si>
    <t xml:space="preserve">Pterospermum diversifolum </t>
  </si>
  <si>
    <t xml:space="preserve">Garcinia morella </t>
  </si>
  <si>
    <t xml:space="preserve">Hopea ponga </t>
  </si>
  <si>
    <t xml:space="preserve">Calophyllum polyanthum </t>
  </si>
  <si>
    <t xml:space="preserve">Diospyros candolleana </t>
  </si>
  <si>
    <t xml:space="preserve">Veteria indica </t>
  </si>
  <si>
    <t xml:space="preserve">Lopopetalum whitianum </t>
  </si>
  <si>
    <t xml:space="preserve">Mangifera indica </t>
  </si>
  <si>
    <t xml:space="preserve">Vitex altissima </t>
  </si>
  <si>
    <t>Hamboltiana burnomis</t>
  </si>
  <si>
    <t>Litsea ghatia</t>
  </si>
  <si>
    <t>ventilago spp</t>
  </si>
  <si>
    <t xml:space="preserve">Psychotria flavida </t>
  </si>
  <si>
    <t xml:space="preserve">Psychotria dalzelli </t>
  </si>
  <si>
    <t>65g</t>
  </si>
  <si>
    <t>400g</t>
  </si>
  <si>
    <t>4kg</t>
  </si>
  <si>
    <t>220g</t>
  </si>
  <si>
    <t>2.1kg</t>
  </si>
  <si>
    <t>92g</t>
  </si>
  <si>
    <t>630g</t>
  </si>
  <si>
    <t>3.5kg</t>
  </si>
  <si>
    <t>360g</t>
  </si>
  <si>
    <t xml:space="preserve">2.5kg </t>
  </si>
  <si>
    <t xml:space="preserve">Hamboltiana burnomis </t>
  </si>
  <si>
    <t>976 ft</t>
  </si>
  <si>
    <t xml:space="preserve">Travel from Ujire to Charmadi electric power plant  upto N 13.078377 E 75.434330 and then walk 550m in the NW direction for grid </t>
  </si>
  <si>
    <t xml:space="preserve">Hopea ponga , Diospyros candolleana , Garcinia morella </t>
  </si>
  <si>
    <t>River nearby</t>
  </si>
  <si>
    <t>3.5m</t>
  </si>
  <si>
    <t>Belthangady</t>
  </si>
  <si>
    <t xml:space="preserve">Charmady kanapady RF </t>
  </si>
  <si>
    <t>Mangalore Division</t>
  </si>
  <si>
    <t>Konana kivi</t>
  </si>
  <si>
    <t>Mango</t>
  </si>
  <si>
    <t>Ponpuli</t>
  </si>
  <si>
    <t>Hole Hippe</t>
  </si>
  <si>
    <t>Hebbalasu</t>
  </si>
  <si>
    <t>Kaadu ashoka</t>
  </si>
  <si>
    <t>Arishina gurige</t>
  </si>
  <si>
    <t>Kaadu coffee</t>
  </si>
  <si>
    <t>Ghati gida</t>
  </si>
  <si>
    <t>Haruge</t>
  </si>
  <si>
    <t>II-2</t>
  </si>
  <si>
    <t>Leaves</t>
  </si>
  <si>
    <t>Fruit</t>
  </si>
  <si>
    <t>Pod</t>
  </si>
  <si>
    <t>Flower</t>
  </si>
  <si>
    <t>Bark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</si>
</sst>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8" sqref="C8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311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309</v>
      </c>
    </row>
    <row r="6" spans="1:3" ht="39" customHeight="1" x14ac:dyDescent="0.3">
      <c r="A6" s="4">
        <v>2</v>
      </c>
      <c r="B6" s="50" t="s">
        <v>7</v>
      </c>
      <c r="C6" s="8" t="s">
        <v>310</v>
      </c>
    </row>
    <row r="7" spans="1:3" ht="39" customHeight="1" x14ac:dyDescent="0.3">
      <c r="A7" s="4">
        <v>3</v>
      </c>
      <c r="B7" s="50" t="s">
        <v>8</v>
      </c>
      <c r="C7" s="8" t="s">
        <v>322</v>
      </c>
    </row>
    <row r="8" spans="1:3" ht="39" customHeight="1" x14ac:dyDescent="0.3">
      <c r="A8" s="4">
        <v>4</v>
      </c>
      <c r="B8" s="50" t="s">
        <v>9</v>
      </c>
      <c r="C8" s="8">
        <v>7288</v>
      </c>
    </row>
    <row r="9" spans="1:3" ht="39" customHeight="1" x14ac:dyDescent="0.3">
      <c r="A9" s="4">
        <v>5</v>
      </c>
      <c r="B9" s="50" t="s">
        <v>10</v>
      </c>
      <c r="C9" s="9">
        <v>13.087301999999999</v>
      </c>
    </row>
    <row r="10" spans="1:3" ht="39" customHeight="1" x14ac:dyDescent="0.3">
      <c r="A10" s="4">
        <v>6</v>
      </c>
      <c r="B10" s="50" t="s">
        <v>11</v>
      </c>
      <c r="C10" s="9">
        <v>75.437594000000004</v>
      </c>
    </row>
    <row r="11" spans="1:3" ht="141.75" customHeight="1" x14ac:dyDescent="0.3">
      <c r="A11" s="4">
        <v>7</v>
      </c>
      <c r="B11" s="50" t="s">
        <v>12</v>
      </c>
      <c r="C11" s="10" t="s">
        <v>305</v>
      </c>
    </row>
    <row r="12" spans="1:3" ht="98.25" customHeight="1" x14ac:dyDescent="0.3">
      <c r="A12" s="4">
        <v>8</v>
      </c>
      <c r="B12" s="50" t="s">
        <v>13</v>
      </c>
      <c r="C12" s="10" t="s">
        <v>306</v>
      </c>
    </row>
    <row r="13" spans="1:3" ht="32.25" customHeight="1" x14ac:dyDescent="0.3">
      <c r="A13" s="54">
        <v>9</v>
      </c>
      <c r="B13" s="55" t="s">
        <v>14</v>
      </c>
      <c r="C13" s="6" t="s">
        <v>243</v>
      </c>
    </row>
    <row r="14" spans="1:3" ht="32.25" customHeight="1" x14ac:dyDescent="0.3">
      <c r="A14" s="54"/>
      <c r="B14" s="55"/>
      <c r="C14" s="6" t="s">
        <v>244</v>
      </c>
    </row>
    <row r="15" spans="1:3" ht="32.25" customHeight="1" x14ac:dyDescent="0.3">
      <c r="A15" s="54"/>
      <c r="B15" s="55"/>
      <c r="C15" s="6" t="s">
        <v>245</v>
      </c>
    </row>
    <row r="16" spans="1:3" ht="32.25" customHeight="1" x14ac:dyDescent="0.3">
      <c r="A16" s="54"/>
      <c r="B16" s="55"/>
      <c r="C16" s="6" t="s">
        <v>246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250</v>
      </c>
    </row>
    <row r="21" spans="1:3" ht="63" customHeight="1" x14ac:dyDescent="0.3">
      <c r="A21" s="54"/>
      <c r="B21" s="55"/>
      <c r="C21" s="6" t="s">
        <v>251</v>
      </c>
    </row>
    <row r="22" spans="1:3" ht="63" customHeight="1" x14ac:dyDescent="0.3">
      <c r="A22" s="54"/>
      <c r="B22" s="55"/>
      <c r="C22" s="6" t="s">
        <v>252</v>
      </c>
    </row>
    <row r="23" spans="1:3" ht="63" customHeight="1" x14ac:dyDescent="0.3">
      <c r="A23" s="54"/>
      <c r="B23" s="55"/>
      <c r="C23" s="6" t="s">
        <v>253</v>
      </c>
    </row>
    <row r="24" spans="1:3" ht="63" customHeight="1" x14ac:dyDescent="0.3">
      <c r="A24" s="54"/>
      <c r="B24" s="55"/>
      <c r="C24" s="6" t="s">
        <v>254</v>
      </c>
    </row>
    <row r="25" spans="1:3" ht="63" customHeight="1" x14ac:dyDescent="0.3">
      <c r="A25" s="54"/>
      <c r="B25" s="55"/>
      <c r="C25" s="6" t="s">
        <v>255</v>
      </c>
    </row>
    <row r="26" spans="1:3" ht="49.5" customHeight="1" x14ac:dyDescent="0.3">
      <c r="A26" s="4">
        <v>10</v>
      </c>
      <c r="B26" s="50" t="s">
        <v>15</v>
      </c>
      <c r="C26" s="6" t="s">
        <v>307</v>
      </c>
    </row>
    <row r="27" spans="1:3" ht="53.25" customHeight="1" x14ac:dyDescent="0.3">
      <c r="A27" s="4">
        <v>11</v>
      </c>
      <c r="B27" s="50" t="s">
        <v>16</v>
      </c>
      <c r="C27" s="6" t="s">
        <v>272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2" t="s">
        <v>308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1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311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7288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13.087301999999999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75.437594000000004</v>
      </c>
    </row>
    <row r="11" spans="1:3" ht="32.25" customHeight="1" x14ac:dyDescent="0.3">
      <c r="A11" s="11">
        <v>7</v>
      </c>
      <c r="B11" s="51" t="s">
        <v>22</v>
      </c>
      <c r="C11" s="19" t="s">
        <v>304</v>
      </c>
    </row>
    <row r="12" spans="1:3" ht="43.5" customHeight="1" x14ac:dyDescent="0.3">
      <c r="A12" s="11">
        <v>8</v>
      </c>
      <c r="B12" s="51" t="s">
        <v>23</v>
      </c>
      <c r="C12" s="19" t="s">
        <v>256</v>
      </c>
    </row>
    <row r="13" spans="1:3" ht="43.5" customHeight="1" x14ac:dyDescent="0.3">
      <c r="A13" s="11">
        <v>9</v>
      </c>
      <c r="B13" s="51" t="s">
        <v>24</v>
      </c>
      <c r="C13" s="19" t="s">
        <v>257</v>
      </c>
    </row>
    <row r="14" spans="1:3" ht="38.25" customHeight="1" x14ac:dyDescent="0.3">
      <c r="A14" s="11">
        <v>10</v>
      </c>
      <c r="B14" s="51" t="s">
        <v>25</v>
      </c>
      <c r="C14" s="19" t="s">
        <v>258</v>
      </c>
    </row>
    <row r="15" spans="1:3" ht="25.5" customHeight="1" x14ac:dyDescent="0.3">
      <c r="A15" s="11">
        <v>11</v>
      </c>
      <c r="B15" s="51" t="s">
        <v>26</v>
      </c>
      <c r="C15" s="21" t="s">
        <v>259</v>
      </c>
    </row>
    <row r="16" spans="1:3" ht="37.5" customHeight="1" x14ac:dyDescent="0.3">
      <c r="A16" s="11">
        <v>12</v>
      </c>
      <c r="B16" s="51" t="s">
        <v>27</v>
      </c>
      <c r="C16" s="21" t="s">
        <v>260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261</v>
      </c>
    </row>
    <row r="19" spans="1:3" ht="30.75" customHeight="1" x14ac:dyDescent="0.3">
      <c r="A19" s="57"/>
      <c r="B19" s="58"/>
      <c r="C19" s="21" t="s">
        <v>262</v>
      </c>
    </row>
    <row r="20" spans="1:3" ht="30.75" customHeight="1" x14ac:dyDescent="0.3">
      <c r="A20" s="57"/>
      <c r="B20" s="58"/>
      <c r="C20" s="22" t="s">
        <v>263</v>
      </c>
    </row>
    <row r="21" spans="1:3" ht="36" customHeight="1" x14ac:dyDescent="0.3">
      <c r="A21" s="11">
        <v>15</v>
      </c>
      <c r="B21" s="51" t="s">
        <v>31</v>
      </c>
      <c r="C21" s="21" t="s">
        <v>264</v>
      </c>
    </row>
    <row r="22" spans="1:3" ht="54.75" customHeight="1" x14ac:dyDescent="0.3">
      <c r="A22" s="11">
        <v>16</v>
      </c>
      <c r="B22" s="51" t="s">
        <v>32</v>
      </c>
      <c r="C22" s="21" t="s">
        <v>265</v>
      </c>
    </row>
    <row r="23" spans="1:3" ht="15.6" x14ac:dyDescent="0.3">
      <c r="A23" s="11">
        <v>17</v>
      </c>
      <c r="B23" s="51" t="s">
        <v>221</v>
      </c>
      <c r="C23" s="21" t="s">
        <v>266</v>
      </c>
    </row>
    <row r="24" spans="1:3" ht="35.25" customHeight="1" x14ac:dyDescent="0.3">
      <c r="A24" s="11">
        <v>18</v>
      </c>
      <c r="B24" s="51" t="s">
        <v>33</v>
      </c>
      <c r="C24" s="21" t="s">
        <v>267</v>
      </c>
    </row>
    <row r="25" spans="1:3" ht="72.75" customHeight="1" x14ac:dyDescent="0.3">
      <c r="A25" s="11">
        <v>19</v>
      </c>
      <c r="B25" s="51" t="s">
        <v>34</v>
      </c>
      <c r="C25" s="21" t="s">
        <v>268</v>
      </c>
    </row>
    <row r="26" spans="1:3" ht="30" customHeight="1" x14ac:dyDescent="0.3">
      <c r="A26" s="11">
        <v>20</v>
      </c>
      <c r="B26" s="51" t="s">
        <v>35</v>
      </c>
      <c r="C26" s="22" t="s">
        <v>269</v>
      </c>
    </row>
    <row r="27" spans="1:3" ht="30" customHeight="1" x14ac:dyDescent="0.3">
      <c r="A27" s="11">
        <v>21</v>
      </c>
      <c r="B27" s="51" t="s">
        <v>36</v>
      </c>
      <c r="C27" s="21" t="s">
        <v>270</v>
      </c>
    </row>
    <row r="28" spans="1:3" ht="30" customHeight="1" x14ac:dyDescent="0.3">
      <c r="A28" s="11">
        <v>22</v>
      </c>
      <c r="B28" s="51" t="s">
        <v>37</v>
      </c>
      <c r="C28" s="21" t="s">
        <v>271</v>
      </c>
    </row>
    <row r="29" spans="1:3" ht="32.25" customHeight="1" x14ac:dyDescent="0.3">
      <c r="A29" s="11">
        <v>23</v>
      </c>
      <c r="B29" s="51" t="s">
        <v>38</v>
      </c>
      <c r="C29" s="21" t="s">
        <v>271</v>
      </c>
    </row>
    <row r="30" spans="1:3" ht="62.25" customHeight="1" x14ac:dyDescent="0.3">
      <c r="A30" s="11">
        <v>24</v>
      </c>
      <c r="B30" s="51" t="s">
        <v>39</v>
      </c>
      <c r="C30" s="21" t="s">
        <v>272</v>
      </c>
    </row>
    <row r="31" spans="1:3" ht="72.75" customHeight="1" x14ac:dyDescent="0.3">
      <c r="A31" s="11">
        <v>25</v>
      </c>
      <c r="B31" s="51" t="s">
        <v>40</v>
      </c>
      <c r="C31" s="21" t="s">
        <v>272</v>
      </c>
    </row>
    <row r="32" spans="1:3" ht="60" customHeight="1" x14ac:dyDescent="0.3">
      <c r="A32" s="11">
        <v>26</v>
      </c>
      <c r="B32" s="51" t="s">
        <v>41</v>
      </c>
      <c r="C32" s="21" t="s">
        <v>272</v>
      </c>
    </row>
    <row r="33" spans="1:3" ht="60" customHeight="1" x14ac:dyDescent="0.3">
      <c r="A33" s="11">
        <v>27</v>
      </c>
      <c r="B33" s="51" t="s">
        <v>42</v>
      </c>
      <c r="C33" s="19" t="s">
        <v>273</v>
      </c>
    </row>
    <row r="34" spans="1:3" ht="57.75" customHeight="1" x14ac:dyDescent="0.3">
      <c r="A34" s="11">
        <v>28</v>
      </c>
      <c r="B34" s="51" t="s">
        <v>43</v>
      </c>
      <c r="C34" s="21" t="s">
        <v>272</v>
      </c>
    </row>
    <row r="35" spans="1:3" ht="59.25" customHeight="1" x14ac:dyDescent="0.3">
      <c r="A35" s="11">
        <v>29</v>
      </c>
      <c r="B35" s="51" t="s">
        <v>44</v>
      </c>
      <c r="C35" s="21" t="s">
        <v>274</v>
      </c>
    </row>
    <row r="36" spans="1:3" ht="66" customHeight="1" x14ac:dyDescent="0.3">
      <c r="A36" s="11">
        <v>30</v>
      </c>
      <c r="B36" s="51" t="s">
        <v>225</v>
      </c>
      <c r="C36" s="21" t="s">
        <v>275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9"/>
  <sheetViews>
    <sheetView view="pageBreakPreview" topLeftCell="A24" zoomScale="60" zoomScaleNormal="70" workbookViewId="0">
      <selection activeCell="K35" sqref="K35:K71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276</v>
      </c>
      <c r="C12" s="23"/>
      <c r="D12" s="23">
        <v>78</v>
      </c>
      <c r="E12" s="23"/>
      <c r="F12" s="23"/>
      <c r="G12" s="23"/>
      <c r="H12" s="23"/>
      <c r="I12" s="23">
        <v>7</v>
      </c>
      <c r="J12" s="23">
        <v>6.5</v>
      </c>
      <c r="K12" s="23">
        <f>L12+M12+R12</f>
        <v>16</v>
      </c>
      <c r="L12" s="23">
        <v>3</v>
      </c>
      <c r="M12" s="23">
        <v>5</v>
      </c>
      <c r="N12" s="23"/>
      <c r="O12" s="23"/>
      <c r="P12" s="23"/>
      <c r="Q12" s="23"/>
      <c r="R12" s="23">
        <v>8</v>
      </c>
      <c r="S12" s="23"/>
      <c r="T12" s="23"/>
    </row>
    <row r="13" spans="1:20" ht="40.5" customHeight="1" x14ac:dyDescent="0.3">
      <c r="A13" s="23">
        <v>2</v>
      </c>
      <c r="B13" s="23" t="s">
        <v>276</v>
      </c>
      <c r="C13" s="23"/>
      <c r="D13" s="23">
        <v>96</v>
      </c>
      <c r="E13" s="23"/>
      <c r="F13" s="23"/>
      <c r="G13" s="23"/>
      <c r="H13" s="23"/>
      <c r="I13" s="23">
        <v>6</v>
      </c>
      <c r="J13" s="23">
        <v>7.5</v>
      </c>
      <c r="K13" s="23">
        <f t="shared" ref="K13:K76" si="0">L13+M13+R13</f>
        <v>17</v>
      </c>
      <c r="L13" s="23">
        <v>3</v>
      </c>
      <c r="M13" s="23">
        <v>5</v>
      </c>
      <c r="N13" s="23"/>
      <c r="O13" s="23"/>
      <c r="P13" s="23"/>
      <c r="Q13" s="23"/>
      <c r="R13" s="23">
        <v>9</v>
      </c>
      <c r="S13" s="23"/>
      <c r="T13" s="23"/>
    </row>
    <row r="14" spans="1:20" ht="40.5" customHeight="1" x14ac:dyDescent="0.3">
      <c r="A14" s="23">
        <v>3</v>
      </c>
      <c r="B14" s="23" t="s">
        <v>277</v>
      </c>
      <c r="C14" s="23"/>
      <c r="D14" s="23">
        <v>146</v>
      </c>
      <c r="E14" s="23"/>
      <c r="F14" s="23"/>
      <c r="G14" s="23"/>
      <c r="H14" s="23"/>
      <c r="I14" s="23">
        <v>8</v>
      </c>
      <c r="J14" s="23">
        <v>4.5</v>
      </c>
      <c r="K14" s="23">
        <f t="shared" si="0"/>
        <v>17</v>
      </c>
      <c r="L14" s="23">
        <v>3</v>
      </c>
      <c r="M14" s="23">
        <v>5</v>
      </c>
      <c r="N14" s="23"/>
      <c r="O14" s="23"/>
      <c r="P14" s="23"/>
      <c r="Q14" s="23"/>
      <c r="R14" s="23">
        <v>9</v>
      </c>
      <c r="S14" s="23"/>
      <c r="T14" s="23"/>
    </row>
    <row r="15" spans="1:20" ht="40.5" customHeight="1" x14ac:dyDescent="0.3">
      <c r="A15" s="23">
        <v>4</v>
      </c>
      <c r="B15" s="23" t="s">
        <v>278</v>
      </c>
      <c r="C15" s="23"/>
      <c r="D15" s="23">
        <v>173</v>
      </c>
      <c r="E15" s="23"/>
      <c r="F15" s="23"/>
      <c r="G15" s="23"/>
      <c r="H15" s="23"/>
      <c r="I15" s="23">
        <v>8</v>
      </c>
      <c r="J15" s="23">
        <v>8.5</v>
      </c>
      <c r="K15" s="23">
        <f t="shared" si="0"/>
        <v>16</v>
      </c>
      <c r="L15" s="23">
        <v>3</v>
      </c>
      <c r="M15" s="23">
        <v>4</v>
      </c>
      <c r="N15" s="23"/>
      <c r="O15" s="23"/>
      <c r="P15" s="23"/>
      <c r="Q15" s="23"/>
      <c r="R15" s="23">
        <v>9</v>
      </c>
      <c r="S15" s="23"/>
      <c r="T15" s="23"/>
    </row>
    <row r="16" spans="1:20" ht="40.5" customHeight="1" x14ac:dyDescent="0.3">
      <c r="A16" s="23">
        <v>5</v>
      </c>
      <c r="B16" s="23" t="s">
        <v>279</v>
      </c>
      <c r="C16" s="23"/>
      <c r="D16" s="23">
        <v>84</v>
      </c>
      <c r="E16" s="23"/>
      <c r="F16" s="23"/>
      <c r="G16" s="23"/>
      <c r="H16" s="23"/>
      <c r="I16" s="23">
        <v>5</v>
      </c>
      <c r="J16" s="23">
        <v>6.5</v>
      </c>
      <c r="K16" s="23">
        <f t="shared" si="0"/>
        <v>8</v>
      </c>
      <c r="L16" s="23">
        <v>2</v>
      </c>
      <c r="M16" s="23">
        <v>1</v>
      </c>
      <c r="N16" s="23"/>
      <c r="O16" s="23"/>
      <c r="P16" s="23"/>
      <c r="Q16" s="23"/>
      <c r="R16" s="23">
        <v>5</v>
      </c>
      <c r="S16" s="23"/>
      <c r="T16" s="23"/>
    </row>
    <row r="17" spans="1:21" ht="40.5" customHeight="1" x14ac:dyDescent="0.3">
      <c r="A17" s="23">
        <v>6</v>
      </c>
      <c r="B17" s="23" t="s">
        <v>280</v>
      </c>
      <c r="C17" s="23"/>
      <c r="D17" s="23">
        <v>48</v>
      </c>
      <c r="E17" s="23"/>
      <c r="F17" s="23"/>
      <c r="G17" s="23"/>
      <c r="H17" s="23"/>
      <c r="I17" s="23">
        <v>4</v>
      </c>
      <c r="J17" s="23">
        <v>0.5</v>
      </c>
      <c r="K17" s="23">
        <f t="shared" si="0"/>
        <v>7</v>
      </c>
      <c r="L17" s="23">
        <v>2</v>
      </c>
      <c r="M17" s="23">
        <v>2</v>
      </c>
      <c r="N17" s="23"/>
      <c r="O17" s="23"/>
      <c r="P17" s="23"/>
      <c r="Q17" s="23"/>
      <c r="R17" s="23">
        <v>3</v>
      </c>
      <c r="S17" s="23"/>
      <c r="T17" s="23"/>
    </row>
    <row r="18" spans="1:21" ht="40.5" customHeight="1" x14ac:dyDescent="0.3">
      <c r="A18" s="23">
        <v>7</v>
      </c>
      <c r="B18" s="23" t="s">
        <v>281</v>
      </c>
      <c r="C18" s="23"/>
      <c r="D18" s="23">
        <v>53</v>
      </c>
      <c r="E18" s="23"/>
      <c r="F18" s="23"/>
      <c r="G18" s="23"/>
      <c r="H18" s="23"/>
      <c r="I18" s="23">
        <v>3</v>
      </c>
      <c r="J18" s="23">
        <v>3.5</v>
      </c>
      <c r="K18" s="23">
        <f t="shared" si="0"/>
        <v>11</v>
      </c>
      <c r="L18" s="23">
        <v>1</v>
      </c>
      <c r="M18" s="23">
        <v>2</v>
      </c>
      <c r="N18" s="23"/>
      <c r="O18" s="23"/>
      <c r="P18" s="23"/>
      <c r="Q18" s="23"/>
      <c r="R18" s="23">
        <v>8</v>
      </c>
      <c r="S18" s="23"/>
      <c r="T18" s="23"/>
    </row>
    <row r="19" spans="1:21" ht="40.5" customHeight="1" x14ac:dyDescent="0.3">
      <c r="A19" s="23">
        <v>8</v>
      </c>
      <c r="B19" s="23" t="s">
        <v>280</v>
      </c>
      <c r="C19" s="23"/>
      <c r="D19" s="23">
        <v>63</v>
      </c>
      <c r="E19" s="23"/>
      <c r="F19" s="23"/>
      <c r="G19" s="23"/>
      <c r="H19" s="23"/>
      <c r="I19" s="23">
        <v>4</v>
      </c>
      <c r="J19" s="23">
        <v>4.5</v>
      </c>
      <c r="K19" s="23">
        <f t="shared" si="0"/>
        <v>13</v>
      </c>
      <c r="L19" s="23">
        <v>3</v>
      </c>
      <c r="M19" s="23">
        <v>2</v>
      </c>
      <c r="N19" s="23"/>
      <c r="O19" s="23"/>
      <c r="P19" s="23"/>
      <c r="Q19" s="23"/>
      <c r="R19" s="23">
        <v>8</v>
      </c>
      <c r="S19" s="23"/>
      <c r="T19" s="23"/>
    </row>
    <row r="20" spans="1:21" ht="40.5" customHeight="1" x14ac:dyDescent="0.3">
      <c r="A20" s="23">
        <v>9</v>
      </c>
      <c r="B20" s="23" t="s">
        <v>282</v>
      </c>
      <c r="C20" s="23"/>
      <c r="D20" s="23">
        <v>182</v>
      </c>
      <c r="E20" s="23"/>
      <c r="F20" s="23"/>
      <c r="G20" s="23"/>
      <c r="H20" s="23"/>
      <c r="I20" s="23">
        <v>8</v>
      </c>
      <c r="J20" s="23">
        <v>6.5</v>
      </c>
      <c r="K20" s="23">
        <f t="shared" si="0"/>
        <v>17</v>
      </c>
      <c r="L20" s="23">
        <v>4</v>
      </c>
      <c r="M20" s="23">
        <v>3</v>
      </c>
      <c r="N20" s="23"/>
      <c r="O20" s="23"/>
      <c r="P20" s="23"/>
      <c r="Q20" s="23"/>
      <c r="R20" s="23">
        <v>10</v>
      </c>
      <c r="S20" s="23"/>
      <c r="T20" s="23"/>
    </row>
    <row r="21" spans="1:21" ht="40.5" customHeight="1" x14ac:dyDescent="0.3">
      <c r="A21" s="23">
        <v>10</v>
      </c>
      <c r="B21" s="23" t="s">
        <v>281</v>
      </c>
      <c r="C21" s="23"/>
      <c r="D21" s="23">
        <v>78</v>
      </c>
      <c r="E21" s="23"/>
      <c r="F21" s="23"/>
      <c r="G21" s="23"/>
      <c r="H21" s="23"/>
      <c r="I21" s="23">
        <v>6</v>
      </c>
      <c r="J21" s="23">
        <v>4.5</v>
      </c>
      <c r="K21" s="23">
        <f t="shared" si="0"/>
        <v>13</v>
      </c>
      <c r="L21" s="23">
        <v>1</v>
      </c>
      <c r="M21" s="23">
        <v>3</v>
      </c>
      <c r="N21" s="23"/>
      <c r="O21" s="23"/>
      <c r="P21" s="23"/>
      <c r="Q21" s="23"/>
      <c r="R21" s="23">
        <v>9</v>
      </c>
      <c r="S21" s="23"/>
      <c r="T21" s="23"/>
    </row>
    <row r="22" spans="1:21" ht="40.5" customHeight="1" x14ac:dyDescent="0.3">
      <c r="A22" s="23">
        <v>11</v>
      </c>
      <c r="B22" s="23" t="s">
        <v>283</v>
      </c>
      <c r="C22" s="23"/>
      <c r="D22" s="23">
        <v>93</v>
      </c>
      <c r="E22" s="23"/>
      <c r="F22" s="23"/>
      <c r="G22" s="23"/>
      <c r="H22" s="23"/>
      <c r="I22" s="23">
        <v>4</v>
      </c>
      <c r="J22" s="23">
        <v>5.25</v>
      </c>
      <c r="K22" s="23">
        <f t="shared" si="0"/>
        <v>11</v>
      </c>
      <c r="L22" s="23">
        <v>2</v>
      </c>
      <c r="M22" s="23">
        <v>3</v>
      </c>
      <c r="N22" s="23"/>
      <c r="O22" s="23"/>
      <c r="P22" s="23"/>
      <c r="Q22" s="23"/>
      <c r="R22" s="23">
        <v>6</v>
      </c>
      <c r="S22" s="23"/>
      <c r="T22" s="23"/>
    </row>
    <row r="23" spans="1:21" ht="40.5" customHeight="1" x14ac:dyDescent="0.3">
      <c r="A23" s="23">
        <v>12</v>
      </c>
      <c r="B23" s="23" t="s">
        <v>282</v>
      </c>
      <c r="C23" s="23"/>
      <c r="D23" s="23">
        <v>198</v>
      </c>
      <c r="E23" s="23"/>
      <c r="F23" s="23"/>
      <c r="G23" s="23"/>
      <c r="H23" s="23"/>
      <c r="I23" s="23">
        <v>8</v>
      </c>
      <c r="J23" s="23">
        <v>8.5</v>
      </c>
      <c r="K23" s="23">
        <f t="shared" si="0"/>
        <v>17</v>
      </c>
      <c r="L23" s="23">
        <v>3</v>
      </c>
      <c r="M23" s="23">
        <v>4</v>
      </c>
      <c r="N23" s="23"/>
      <c r="O23" s="23"/>
      <c r="P23" s="23"/>
      <c r="Q23" s="23"/>
      <c r="R23" s="23">
        <v>10</v>
      </c>
      <c r="S23" s="23"/>
      <c r="T23" s="23"/>
    </row>
    <row r="24" spans="1:21" ht="40.5" customHeight="1" x14ac:dyDescent="0.3">
      <c r="A24" s="23">
        <v>13</v>
      </c>
      <c r="B24" s="23" t="s">
        <v>283</v>
      </c>
      <c r="C24" s="23"/>
      <c r="D24" s="23">
        <v>107</v>
      </c>
      <c r="E24" s="23"/>
      <c r="F24" s="23"/>
      <c r="G24" s="23"/>
      <c r="H24" s="23"/>
      <c r="I24" s="23">
        <v>6</v>
      </c>
      <c r="J24" s="23">
        <v>7</v>
      </c>
      <c r="K24" s="23">
        <f t="shared" si="0"/>
        <v>14</v>
      </c>
      <c r="L24" s="23">
        <v>3</v>
      </c>
      <c r="M24" s="23">
        <v>2.5</v>
      </c>
      <c r="N24" s="23"/>
      <c r="O24" s="23"/>
      <c r="P24" s="23"/>
      <c r="Q24" s="23"/>
      <c r="R24" s="23">
        <v>8.5</v>
      </c>
      <c r="S24" s="23"/>
      <c r="T24" s="23"/>
    </row>
    <row r="25" spans="1:21" ht="40.5" customHeight="1" x14ac:dyDescent="0.3">
      <c r="A25" s="23">
        <v>14</v>
      </c>
      <c r="B25" s="23" t="s">
        <v>288</v>
      </c>
      <c r="C25" s="23"/>
      <c r="D25" s="23">
        <v>38</v>
      </c>
      <c r="E25" s="23"/>
      <c r="F25" s="23"/>
      <c r="G25" s="23"/>
      <c r="H25" s="23"/>
      <c r="I25" s="23">
        <v>4</v>
      </c>
      <c r="J25" s="23">
        <v>3.25</v>
      </c>
      <c r="K25" s="23">
        <f t="shared" si="0"/>
        <v>6</v>
      </c>
      <c r="L25" s="23">
        <v>2</v>
      </c>
      <c r="M25" s="23">
        <v>1</v>
      </c>
      <c r="N25" s="23"/>
      <c r="O25" s="23"/>
      <c r="P25" s="23"/>
      <c r="Q25" s="23"/>
      <c r="R25" s="23">
        <v>3</v>
      </c>
      <c r="S25" s="23"/>
      <c r="T25" s="23"/>
    </row>
    <row r="26" spans="1:21" ht="40.5" customHeight="1" x14ac:dyDescent="0.3">
      <c r="A26" s="23">
        <v>15</v>
      </c>
      <c r="B26" s="23" t="s">
        <v>284</v>
      </c>
      <c r="C26" s="23"/>
      <c r="D26" s="23">
        <v>198</v>
      </c>
      <c r="E26" s="23"/>
      <c r="F26" s="23"/>
      <c r="G26" s="23"/>
      <c r="H26" s="23"/>
      <c r="I26" s="23">
        <v>6</v>
      </c>
      <c r="J26" s="23">
        <v>7.5</v>
      </c>
      <c r="K26" s="23">
        <f t="shared" si="0"/>
        <v>17</v>
      </c>
      <c r="L26" s="23">
        <v>3</v>
      </c>
      <c r="M26" s="23">
        <v>4</v>
      </c>
      <c r="N26" s="23"/>
      <c r="O26" s="23"/>
      <c r="P26" s="23"/>
      <c r="Q26" s="23"/>
      <c r="R26" s="23">
        <v>10</v>
      </c>
      <c r="S26" s="23"/>
      <c r="T26" s="23"/>
      <c r="U26" s="23"/>
    </row>
    <row r="27" spans="1:21" ht="40.5" customHeight="1" x14ac:dyDescent="0.3">
      <c r="A27" s="23">
        <v>16</v>
      </c>
      <c r="B27" s="23" t="s">
        <v>284</v>
      </c>
      <c r="C27" s="23"/>
      <c r="D27" s="23">
        <v>98</v>
      </c>
      <c r="E27" s="23"/>
      <c r="F27" s="23"/>
      <c r="G27" s="23"/>
      <c r="H27" s="23"/>
      <c r="I27" s="23">
        <v>5</v>
      </c>
      <c r="J27" s="23">
        <v>5.5</v>
      </c>
      <c r="K27" s="23">
        <f t="shared" si="0"/>
        <v>14</v>
      </c>
      <c r="L27" s="23">
        <v>3</v>
      </c>
      <c r="M27" s="23">
        <v>2</v>
      </c>
      <c r="N27" s="23"/>
      <c r="O27" s="23"/>
      <c r="P27" s="23"/>
      <c r="Q27" s="23"/>
      <c r="R27" s="23">
        <v>9</v>
      </c>
      <c r="S27" s="23"/>
      <c r="T27" s="23"/>
      <c r="U27" s="23"/>
    </row>
    <row r="28" spans="1:21" ht="40.5" customHeight="1" x14ac:dyDescent="0.3">
      <c r="A28" s="23">
        <v>17</v>
      </c>
      <c r="B28" s="23" t="s">
        <v>285</v>
      </c>
      <c r="C28" s="23"/>
      <c r="D28" s="23">
        <v>167</v>
      </c>
      <c r="E28" s="23"/>
      <c r="F28" s="23"/>
      <c r="G28" s="23"/>
      <c r="H28" s="23"/>
      <c r="I28" s="23">
        <v>7</v>
      </c>
      <c r="J28" s="23">
        <v>7.5</v>
      </c>
      <c r="K28" s="23">
        <f t="shared" si="0"/>
        <v>16</v>
      </c>
      <c r="L28" s="23">
        <v>3</v>
      </c>
      <c r="M28" s="23">
        <v>3</v>
      </c>
      <c r="N28" s="23"/>
      <c r="O28" s="23"/>
      <c r="P28" s="23"/>
      <c r="Q28" s="23"/>
      <c r="R28" s="23">
        <v>10</v>
      </c>
      <c r="S28" s="23"/>
      <c r="T28" s="23"/>
      <c r="U28" s="23"/>
    </row>
    <row r="29" spans="1:21" ht="40.5" customHeight="1" x14ac:dyDescent="0.3">
      <c r="A29" s="23">
        <v>18</v>
      </c>
      <c r="B29" s="23" t="s">
        <v>285</v>
      </c>
      <c r="C29" s="23"/>
      <c r="D29" s="23">
        <v>108</v>
      </c>
      <c r="E29" s="23"/>
      <c r="F29" s="23"/>
      <c r="G29" s="23"/>
      <c r="H29" s="23"/>
      <c r="I29" s="23">
        <v>6</v>
      </c>
      <c r="J29" s="23">
        <v>7.5</v>
      </c>
      <c r="K29" s="23">
        <f t="shared" si="0"/>
        <v>13</v>
      </c>
      <c r="L29" s="23">
        <v>4</v>
      </c>
      <c r="M29" s="23">
        <v>3</v>
      </c>
      <c r="N29" s="23"/>
      <c r="O29" s="23"/>
      <c r="P29" s="23"/>
      <c r="Q29" s="23"/>
      <c r="R29" s="23">
        <v>6</v>
      </c>
      <c r="S29" s="23"/>
      <c r="T29" s="23"/>
      <c r="U29" s="23"/>
    </row>
    <row r="30" spans="1:21" ht="40.5" customHeight="1" x14ac:dyDescent="0.3">
      <c r="A30" s="23">
        <v>19</v>
      </c>
      <c r="B30" s="23" t="s">
        <v>286</v>
      </c>
      <c r="C30" s="23"/>
      <c r="D30" s="23">
        <v>172</v>
      </c>
      <c r="E30" s="23"/>
      <c r="F30" s="23"/>
      <c r="G30" s="23"/>
      <c r="H30" s="23"/>
      <c r="I30" s="23">
        <v>7</v>
      </c>
      <c r="J30" s="23">
        <v>7.5</v>
      </c>
      <c r="K30" s="23">
        <f t="shared" si="0"/>
        <v>14</v>
      </c>
      <c r="L30" s="23">
        <v>3</v>
      </c>
      <c r="M30" s="23">
        <v>4</v>
      </c>
      <c r="N30" s="23"/>
      <c r="O30" s="23"/>
      <c r="P30" s="23"/>
      <c r="Q30" s="23"/>
      <c r="R30" s="23">
        <v>7</v>
      </c>
      <c r="S30" s="23"/>
      <c r="T30" s="23"/>
      <c r="U30" s="23"/>
    </row>
    <row r="31" spans="1:21" ht="40.5" customHeight="1" x14ac:dyDescent="0.3">
      <c r="A31" s="23">
        <v>20</v>
      </c>
      <c r="B31" s="23" t="s">
        <v>277</v>
      </c>
      <c r="C31" s="23"/>
      <c r="D31" s="23">
        <v>151</v>
      </c>
      <c r="E31" s="23"/>
      <c r="F31" s="23"/>
      <c r="G31" s="23"/>
      <c r="H31" s="23"/>
      <c r="I31" s="23">
        <v>8</v>
      </c>
      <c r="J31" s="23">
        <v>6.5</v>
      </c>
      <c r="K31" s="23">
        <f t="shared" si="0"/>
        <v>14</v>
      </c>
      <c r="L31" s="23">
        <v>4</v>
      </c>
      <c r="M31" s="23">
        <v>2</v>
      </c>
      <c r="N31" s="23"/>
      <c r="O31" s="23"/>
      <c r="P31" s="23"/>
      <c r="Q31" s="23"/>
      <c r="R31" s="23">
        <v>8</v>
      </c>
      <c r="S31" s="23"/>
      <c r="T31" s="23"/>
      <c r="U31" s="23"/>
    </row>
    <row r="32" spans="1:21" ht="40.5" customHeight="1" x14ac:dyDescent="0.3">
      <c r="A32" s="23">
        <v>21</v>
      </c>
      <c r="B32" s="23" t="s">
        <v>287</v>
      </c>
      <c r="C32" s="23"/>
      <c r="D32" s="23">
        <v>161</v>
      </c>
      <c r="E32" s="23"/>
      <c r="F32" s="23"/>
      <c r="G32" s="23"/>
      <c r="H32" s="23"/>
      <c r="I32" s="23">
        <v>7</v>
      </c>
      <c r="J32" s="23">
        <v>7.5</v>
      </c>
      <c r="K32" s="23">
        <f t="shared" si="0"/>
        <v>12</v>
      </c>
      <c r="L32" s="23">
        <v>2</v>
      </c>
      <c r="M32" s="23">
        <v>3.5</v>
      </c>
      <c r="N32" s="23"/>
      <c r="O32" s="23"/>
      <c r="P32" s="23"/>
      <c r="Q32" s="23"/>
      <c r="R32" s="23">
        <v>6.5</v>
      </c>
      <c r="S32" s="23"/>
      <c r="T32" s="23"/>
      <c r="U32" s="23"/>
    </row>
    <row r="33" spans="1:21" ht="40.5" customHeight="1" x14ac:dyDescent="0.3">
      <c r="A33" s="23">
        <v>22</v>
      </c>
      <c r="B33" s="23" t="s">
        <v>288</v>
      </c>
      <c r="C33" s="23"/>
      <c r="D33" s="23">
        <v>36</v>
      </c>
      <c r="E33" s="23"/>
      <c r="F33" s="23"/>
      <c r="G33" s="23"/>
      <c r="H33" s="23"/>
      <c r="I33" s="23">
        <v>4</v>
      </c>
      <c r="J33" s="23">
        <v>3.5</v>
      </c>
      <c r="K33" s="23">
        <f t="shared" si="0"/>
        <v>7</v>
      </c>
      <c r="L33" s="23">
        <v>2</v>
      </c>
      <c r="M33" s="23">
        <v>2</v>
      </c>
      <c r="N33" s="23"/>
      <c r="O33" s="23"/>
      <c r="P33" s="23"/>
      <c r="Q33" s="23"/>
      <c r="R33" s="23">
        <v>3</v>
      </c>
      <c r="S33" s="23"/>
      <c r="T33" s="23"/>
      <c r="U33" s="23"/>
    </row>
    <row r="34" spans="1:21" ht="40.5" customHeight="1" x14ac:dyDescent="0.3">
      <c r="A34" s="23">
        <v>23</v>
      </c>
      <c r="B34" s="23" t="s">
        <v>288</v>
      </c>
      <c r="C34" s="23"/>
      <c r="D34" s="23">
        <v>43</v>
      </c>
      <c r="E34" s="23"/>
      <c r="F34" s="23"/>
      <c r="G34" s="23"/>
      <c r="H34" s="23"/>
      <c r="I34" s="23">
        <v>2</v>
      </c>
      <c r="J34" s="23">
        <v>3.5</v>
      </c>
      <c r="K34" s="23">
        <f t="shared" si="0"/>
        <v>9</v>
      </c>
      <c r="L34" s="23">
        <v>3</v>
      </c>
      <c r="M34" s="23">
        <v>2</v>
      </c>
      <c r="N34" s="23"/>
      <c r="O34" s="23"/>
      <c r="P34" s="23"/>
      <c r="Q34" s="23"/>
      <c r="R34" s="23">
        <v>4</v>
      </c>
      <c r="S34" s="23"/>
      <c r="T34" s="23"/>
      <c r="U34" s="23"/>
    </row>
    <row r="35" spans="1:21" ht="40.5" customHeight="1" x14ac:dyDescent="0.3">
      <c r="A35" s="23">
        <v>24</v>
      </c>
      <c r="K35" s="23"/>
    </row>
    <row r="36" spans="1:21" ht="40.5" customHeight="1" x14ac:dyDescent="0.3">
      <c r="A36" s="23">
        <v>25</v>
      </c>
      <c r="K36" s="23"/>
    </row>
    <row r="37" spans="1:21" ht="40.5" customHeight="1" x14ac:dyDescent="0.3">
      <c r="A37" s="23">
        <v>26</v>
      </c>
      <c r="K37" s="23"/>
    </row>
    <row r="38" spans="1:21" ht="40.5" customHeight="1" x14ac:dyDescent="0.3">
      <c r="A38" s="23">
        <v>27</v>
      </c>
      <c r="K38" s="23"/>
    </row>
    <row r="39" spans="1:21" ht="40.5" customHeight="1" x14ac:dyDescent="0.3">
      <c r="A39" s="23">
        <v>28</v>
      </c>
      <c r="K39" s="23"/>
    </row>
    <row r="40" spans="1:21" ht="40.5" customHeight="1" x14ac:dyDescent="0.3">
      <c r="A40" s="23">
        <v>29</v>
      </c>
      <c r="K40" s="23"/>
    </row>
    <row r="41" spans="1:21" ht="40.5" customHeight="1" x14ac:dyDescent="0.3">
      <c r="A41" s="23">
        <v>30</v>
      </c>
      <c r="K41" s="23"/>
    </row>
    <row r="42" spans="1:21" ht="40.5" customHeight="1" x14ac:dyDescent="0.3">
      <c r="A42" s="23">
        <v>31</v>
      </c>
      <c r="K42" s="23"/>
    </row>
    <row r="43" spans="1:21" ht="40.5" customHeight="1" x14ac:dyDescent="0.3">
      <c r="A43" s="23">
        <v>32</v>
      </c>
      <c r="K43" s="23"/>
    </row>
    <row r="44" spans="1:21" ht="40.5" customHeight="1" x14ac:dyDescent="0.3">
      <c r="A44" s="23">
        <v>33</v>
      </c>
      <c r="K44" s="23"/>
    </row>
    <row r="45" spans="1:21" ht="40.5" customHeight="1" x14ac:dyDescent="0.3">
      <c r="A45" s="23">
        <v>34</v>
      </c>
      <c r="K45" s="23"/>
    </row>
    <row r="46" spans="1:21" ht="40.5" customHeight="1" x14ac:dyDescent="0.3">
      <c r="A46" s="23">
        <v>35</v>
      </c>
      <c r="K46" s="23"/>
    </row>
    <row r="47" spans="1:21" ht="40.5" customHeight="1" x14ac:dyDescent="0.3">
      <c r="A47" s="23">
        <v>36</v>
      </c>
      <c r="K47" s="23"/>
    </row>
    <row r="48" spans="1:21" ht="40.5" customHeight="1" x14ac:dyDescent="0.3">
      <c r="A48" s="23">
        <v>37</v>
      </c>
      <c r="K48" s="23"/>
    </row>
    <row r="49" spans="1:11" ht="40.5" customHeight="1" x14ac:dyDescent="0.3">
      <c r="A49" s="23">
        <v>38</v>
      </c>
      <c r="K49" s="23"/>
    </row>
    <row r="50" spans="1:11" ht="40.5" customHeight="1" x14ac:dyDescent="0.3">
      <c r="A50" s="23">
        <v>39</v>
      </c>
      <c r="K50" s="23"/>
    </row>
    <row r="51" spans="1:11" ht="40.5" customHeight="1" x14ac:dyDescent="0.3">
      <c r="A51" s="23">
        <v>40</v>
      </c>
      <c r="K51" s="23"/>
    </row>
    <row r="52" spans="1:11" ht="40.5" customHeight="1" x14ac:dyDescent="0.3">
      <c r="A52" s="23">
        <v>41</v>
      </c>
      <c r="K52" s="23"/>
    </row>
    <row r="53" spans="1:11" ht="40.5" customHeight="1" x14ac:dyDescent="0.3">
      <c r="A53" s="23">
        <v>42</v>
      </c>
      <c r="K53" s="23"/>
    </row>
    <row r="54" spans="1:11" ht="40.5" customHeight="1" x14ac:dyDescent="0.3">
      <c r="A54" s="23">
        <v>43</v>
      </c>
      <c r="K54" s="23"/>
    </row>
    <row r="55" spans="1:11" ht="40.5" customHeight="1" x14ac:dyDescent="0.3">
      <c r="A55" s="23">
        <v>44</v>
      </c>
      <c r="K55" s="23"/>
    </row>
    <row r="56" spans="1:11" ht="40.5" customHeight="1" x14ac:dyDescent="0.3">
      <c r="A56" s="23">
        <v>45</v>
      </c>
      <c r="K56" s="23"/>
    </row>
    <row r="57" spans="1:11" ht="40.5" customHeight="1" x14ac:dyDescent="0.3">
      <c r="A57" s="23">
        <v>46</v>
      </c>
      <c r="K57" s="23"/>
    </row>
    <row r="58" spans="1:11" ht="40.5" customHeight="1" x14ac:dyDescent="0.3">
      <c r="A58" s="23">
        <v>47</v>
      </c>
      <c r="K58" s="23"/>
    </row>
    <row r="59" spans="1:11" ht="40.5" customHeight="1" x14ac:dyDescent="0.3">
      <c r="A59" s="23">
        <v>48</v>
      </c>
      <c r="K59" s="23"/>
    </row>
    <row r="60" spans="1:11" ht="40.5" customHeight="1" x14ac:dyDescent="0.3">
      <c r="A60" s="23">
        <v>49</v>
      </c>
      <c r="K60" s="23"/>
    </row>
    <row r="61" spans="1:11" ht="40.5" customHeight="1" x14ac:dyDescent="0.3">
      <c r="A61" s="23">
        <v>50</v>
      </c>
      <c r="K61" s="23"/>
    </row>
    <row r="62" spans="1:11" ht="40.5" customHeight="1" x14ac:dyDescent="0.3">
      <c r="A62" s="23">
        <v>51</v>
      </c>
      <c r="K62" s="23"/>
    </row>
    <row r="63" spans="1:11" ht="40.5" customHeight="1" x14ac:dyDescent="0.3">
      <c r="A63" s="23">
        <v>52</v>
      </c>
      <c r="K63" s="23"/>
    </row>
    <row r="64" spans="1:11" ht="40.5" customHeight="1" x14ac:dyDescent="0.3">
      <c r="A64" s="23">
        <v>53</v>
      </c>
      <c r="K64" s="23"/>
    </row>
    <row r="65" spans="1:11" ht="40.5" customHeight="1" x14ac:dyDescent="0.3">
      <c r="A65" s="23">
        <v>54</v>
      </c>
      <c r="K65" s="23"/>
    </row>
    <row r="66" spans="1:11" ht="40.5" customHeight="1" x14ac:dyDescent="0.3">
      <c r="A66" s="23">
        <v>55</v>
      </c>
      <c r="K66" s="23"/>
    </row>
    <row r="67" spans="1:11" ht="40.5" customHeight="1" x14ac:dyDescent="0.3">
      <c r="A67" s="23">
        <v>56</v>
      </c>
      <c r="K67" s="23"/>
    </row>
    <row r="68" spans="1:11" ht="40.5" customHeight="1" x14ac:dyDescent="0.3">
      <c r="A68" s="23">
        <v>57</v>
      </c>
      <c r="K68" s="23"/>
    </row>
    <row r="69" spans="1:11" ht="40.5" customHeight="1" x14ac:dyDescent="0.3">
      <c r="A69" s="23">
        <v>58</v>
      </c>
      <c r="K69" s="23"/>
    </row>
    <row r="70" spans="1:11" ht="40.5" customHeight="1" x14ac:dyDescent="0.3">
      <c r="A70" s="23">
        <v>59</v>
      </c>
      <c r="K70" s="23"/>
    </row>
    <row r="71" spans="1:11" ht="40.5" customHeight="1" x14ac:dyDescent="0.3">
      <c r="A71" s="23">
        <v>60</v>
      </c>
      <c r="K71" s="23"/>
    </row>
    <row r="72" spans="1:11" ht="40.5" customHeight="1" x14ac:dyDescent="0.3">
      <c r="A72" s="23">
        <v>61</v>
      </c>
      <c r="K72" s="23">
        <f t="shared" si="0"/>
        <v>0</v>
      </c>
    </row>
    <row r="73" spans="1:11" ht="40.5" customHeight="1" x14ac:dyDescent="0.3">
      <c r="A73" s="23">
        <v>62</v>
      </c>
      <c r="K73" s="23">
        <f t="shared" si="0"/>
        <v>0</v>
      </c>
    </row>
    <row r="74" spans="1:11" ht="40.5" customHeight="1" x14ac:dyDescent="0.3">
      <c r="A74" s="23">
        <v>63</v>
      </c>
      <c r="K74" s="23">
        <f t="shared" si="0"/>
        <v>0</v>
      </c>
    </row>
    <row r="75" spans="1:11" ht="40.5" customHeight="1" x14ac:dyDescent="0.3">
      <c r="A75" s="23">
        <v>64</v>
      </c>
      <c r="K75" s="23">
        <f t="shared" si="0"/>
        <v>0</v>
      </c>
    </row>
    <row r="76" spans="1:11" ht="40.5" customHeight="1" x14ac:dyDescent="0.3">
      <c r="A76" s="23">
        <v>65</v>
      </c>
      <c r="K76" s="23">
        <f t="shared" si="0"/>
        <v>0</v>
      </c>
    </row>
    <row r="77" spans="1:11" ht="40.5" customHeight="1" x14ac:dyDescent="0.3">
      <c r="A77" s="23">
        <v>66</v>
      </c>
      <c r="K77" s="23">
        <f t="shared" ref="K77:K109" si="1">L77+M77+R77</f>
        <v>0</v>
      </c>
    </row>
    <row r="78" spans="1:11" ht="40.5" customHeight="1" x14ac:dyDescent="0.3">
      <c r="A78" s="23">
        <v>67</v>
      </c>
      <c r="K78" s="23">
        <f t="shared" si="1"/>
        <v>0</v>
      </c>
    </row>
    <row r="79" spans="1:11" ht="40.5" customHeight="1" x14ac:dyDescent="0.3">
      <c r="A79" s="23">
        <v>68</v>
      </c>
      <c r="K79" s="23">
        <f t="shared" si="1"/>
        <v>0</v>
      </c>
    </row>
    <row r="80" spans="1:11" ht="40.5" customHeight="1" x14ac:dyDescent="0.3">
      <c r="A80" s="23">
        <v>69</v>
      </c>
      <c r="K80" s="23">
        <f t="shared" si="1"/>
        <v>0</v>
      </c>
    </row>
    <row r="81" spans="1:11" ht="40.5" customHeight="1" x14ac:dyDescent="0.3">
      <c r="A81" s="23">
        <v>70</v>
      </c>
      <c r="K81" s="23">
        <f t="shared" si="1"/>
        <v>0</v>
      </c>
    </row>
    <row r="82" spans="1:11" ht="40.5" customHeight="1" x14ac:dyDescent="0.3">
      <c r="A82" s="23">
        <v>71</v>
      </c>
      <c r="K82" s="23">
        <f t="shared" si="1"/>
        <v>0</v>
      </c>
    </row>
    <row r="83" spans="1:11" ht="40.5" customHeight="1" x14ac:dyDescent="0.3">
      <c r="A83" s="23">
        <v>72</v>
      </c>
      <c r="K83" s="23">
        <f t="shared" si="1"/>
        <v>0</v>
      </c>
    </row>
    <row r="84" spans="1:11" ht="40.5" customHeight="1" x14ac:dyDescent="0.3">
      <c r="A84" s="23">
        <v>73</v>
      </c>
      <c r="K84" s="23">
        <f t="shared" si="1"/>
        <v>0</v>
      </c>
    </row>
    <row r="85" spans="1:11" ht="40.5" customHeight="1" x14ac:dyDescent="0.3">
      <c r="A85" s="23">
        <v>74</v>
      </c>
      <c r="K85" s="23">
        <f t="shared" si="1"/>
        <v>0</v>
      </c>
    </row>
    <row r="86" spans="1:11" ht="40.5" customHeight="1" x14ac:dyDescent="0.3">
      <c r="A86" s="23">
        <v>75</v>
      </c>
      <c r="K86" s="23">
        <f t="shared" si="1"/>
        <v>0</v>
      </c>
    </row>
    <row r="87" spans="1:11" ht="40.5" customHeight="1" x14ac:dyDescent="0.3">
      <c r="A87" s="23">
        <v>76</v>
      </c>
      <c r="K87" s="23">
        <f t="shared" si="1"/>
        <v>0</v>
      </c>
    </row>
    <row r="88" spans="1:11" ht="40.5" customHeight="1" x14ac:dyDescent="0.3">
      <c r="A88" s="23">
        <v>77</v>
      </c>
      <c r="K88" s="23">
        <f t="shared" si="1"/>
        <v>0</v>
      </c>
    </row>
    <row r="89" spans="1:11" ht="40.5" customHeight="1" x14ac:dyDescent="0.3">
      <c r="A89" s="23">
        <v>78</v>
      </c>
      <c r="K89" s="23">
        <f t="shared" si="1"/>
        <v>0</v>
      </c>
    </row>
    <row r="90" spans="1:11" ht="40.5" customHeight="1" x14ac:dyDescent="0.3">
      <c r="A90" s="23">
        <v>79</v>
      </c>
      <c r="K90" s="23">
        <f t="shared" si="1"/>
        <v>0</v>
      </c>
    </row>
    <row r="91" spans="1:11" ht="40.5" customHeight="1" x14ac:dyDescent="0.3">
      <c r="A91" s="23">
        <v>80</v>
      </c>
      <c r="K91" s="23">
        <f t="shared" si="1"/>
        <v>0</v>
      </c>
    </row>
    <row r="92" spans="1:11" ht="40.5" customHeight="1" x14ac:dyDescent="0.3">
      <c r="A92" s="23">
        <v>81</v>
      </c>
      <c r="K92" s="23">
        <f t="shared" si="1"/>
        <v>0</v>
      </c>
    </row>
    <row r="93" spans="1:11" ht="40.5" customHeight="1" x14ac:dyDescent="0.3">
      <c r="A93" s="23">
        <v>82</v>
      </c>
      <c r="K93" s="23">
        <f t="shared" si="1"/>
        <v>0</v>
      </c>
    </row>
    <row r="94" spans="1:11" ht="40.5" customHeight="1" x14ac:dyDescent="0.3">
      <c r="A94" s="23">
        <v>83</v>
      </c>
      <c r="K94" s="23">
        <f t="shared" si="1"/>
        <v>0</v>
      </c>
    </row>
    <row r="95" spans="1:11" ht="40.5" customHeight="1" x14ac:dyDescent="0.3">
      <c r="A95" s="23">
        <v>84</v>
      </c>
      <c r="K95" s="23">
        <f t="shared" si="1"/>
        <v>0</v>
      </c>
    </row>
    <row r="96" spans="1:11" ht="40.5" customHeight="1" x14ac:dyDescent="0.3">
      <c r="A96" s="23">
        <v>85</v>
      </c>
      <c r="K96" s="23">
        <f t="shared" si="1"/>
        <v>0</v>
      </c>
    </row>
    <row r="97" spans="1:11" ht="40.5" customHeight="1" x14ac:dyDescent="0.3">
      <c r="A97" s="23">
        <v>86</v>
      </c>
      <c r="K97" s="23">
        <f t="shared" si="1"/>
        <v>0</v>
      </c>
    </row>
    <row r="98" spans="1:11" ht="40.5" customHeight="1" x14ac:dyDescent="0.3">
      <c r="A98" s="23">
        <v>87</v>
      </c>
      <c r="K98" s="23">
        <f t="shared" si="1"/>
        <v>0</v>
      </c>
    </row>
    <row r="99" spans="1:11" ht="40.5" customHeight="1" x14ac:dyDescent="0.3">
      <c r="A99" s="23">
        <v>88</v>
      </c>
      <c r="K99" s="23">
        <f t="shared" si="1"/>
        <v>0</v>
      </c>
    </row>
    <row r="100" spans="1:11" ht="40.5" customHeight="1" x14ac:dyDescent="0.3">
      <c r="A100" s="23">
        <v>89</v>
      </c>
      <c r="K100" s="23">
        <f t="shared" si="1"/>
        <v>0</v>
      </c>
    </row>
    <row r="101" spans="1:11" ht="40.5" customHeight="1" x14ac:dyDescent="0.3">
      <c r="A101" s="23">
        <v>90</v>
      </c>
      <c r="K101" s="23">
        <f t="shared" si="1"/>
        <v>0</v>
      </c>
    </row>
    <row r="102" spans="1:11" ht="40.5" customHeight="1" x14ac:dyDescent="0.3">
      <c r="A102" s="23">
        <v>91</v>
      </c>
      <c r="K102" s="23">
        <f t="shared" si="1"/>
        <v>0</v>
      </c>
    </row>
    <row r="103" spans="1:11" ht="40.5" customHeight="1" x14ac:dyDescent="0.3">
      <c r="A103" s="23">
        <v>92</v>
      </c>
      <c r="K103" s="23">
        <f t="shared" si="1"/>
        <v>0</v>
      </c>
    </row>
    <row r="104" spans="1:11" ht="40.5" customHeight="1" x14ac:dyDescent="0.3">
      <c r="A104" s="23">
        <v>93</v>
      </c>
      <c r="K104" s="23">
        <f t="shared" si="1"/>
        <v>0</v>
      </c>
    </row>
    <row r="105" spans="1:11" ht="40.5" customHeight="1" x14ac:dyDescent="0.3">
      <c r="A105" s="23">
        <v>94</v>
      </c>
      <c r="K105" s="23">
        <f t="shared" si="1"/>
        <v>0</v>
      </c>
    </row>
    <row r="106" spans="1:11" ht="40.5" customHeight="1" x14ac:dyDescent="0.3">
      <c r="A106" s="23">
        <v>95</v>
      </c>
      <c r="K106" s="23">
        <f t="shared" si="1"/>
        <v>0</v>
      </c>
    </row>
    <row r="107" spans="1:11" ht="40.5" customHeight="1" x14ac:dyDescent="0.3">
      <c r="A107" s="23">
        <v>96</v>
      </c>
      <c r="K107" s="23">
        <f t="shared" si="1"/>
        <v>0</v>
      </c>
    </row>
    <row r="108" spans="1:11" ht="40.5" customHeight="1" x14ac:dyDescent="0.3">
      <c r="A108" s="23">
        <v>97</v>
      </c>
      <c r="K108" s="23">
        <f t="shared" si="1"/>
        <v>0</v>
      </c>
    </row>
    <row r="109" spans="1:11" ht="40.5" customHeight="1" x14ac:dyDescent="0.3">
      <c r="A109" s="23">
        <v>98</v>
      </c>
      <c r="K109" s="23">
        <f t="shared" si="1"/>
        <v>0</v>
      </c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15" zoomScaleSheetLayoutView="100" workbookViewId="0">
      <selection activeCell="F97" sqref="F97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74" t="s">
        <v>163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3">
      <c r="B2" s="28" t="s">
        <v>164</v>
      </c>
      <c r="F2" s="75" t="s">
        <v>165</v>
      </c>
      <c r="G2" s="75"/>
      <c r="H2" s="75"/>
    </row>
    <row r="3" spans="1:8" ht="24" customHeight="1" x14ac:dyDescent="0.3">
      <c r="A3" s="76" t="s">
        <v>166</v>
      </c>
      <c r="B3" s="76" t="s">
        <v>167</v>
      </c>
      <c r="C3" s="76" t="s">
        <v>168</v>
      </c>
      <c r="D3" s="76" t="s">
        <v>169</v>
      </c>
      <c r="E3" s="76" t="s">
        <v>170</v>
      </c>
      <c r="F3" s="78" t="s">
        <v>171</v>
      </c>
      <c r="G3" s="78"/>
      <c r="H3" s="76" t="s">
        <v>172</v>
      </c>
    </row>
    <row r="4" spans="1:8" ht="64.5" customHeight="1" x14ac:dyDescent="0.3">
      <c r="A4" s="77"/>
      <c r="B4" s="77"/>
      <c r="C4" s="77"/>
      <c r="D4" s="77"/>
      <c r="E4" s="77"/>
      <c r="F4" s="17" t="s">
        <v>173</v>
      </c>
      <c r="G4" s="17" t="s">
        <v>174</v>
      </c>
      <c r="H4" s="77"/>
    </row>
    <row r="5" spans="1:8" ht="29.25" customHeight="1" x14ac:dyDescent="0.3">
      <c r="A5" s="11">
        <v>1</v>
      </c>
      <c r="B5" s="12" t="s">
        <v>292</v>
      </c>
      <c r="C5" s="12" t="s">
        <v>312</v>
      </c>
      <c r="D5" s="12">
        <v>4.5</v>
      </c>
      <c r="E5" s="12">
        <v>3</v>
      </c>
      <c r="F5" s="12" t="s">
        <v>323</v>
      </c>
      <c r="G5" s="12">
        <v>13</v>
      </c>
      <c r="H5" s="12"/>
    </row>
    <row r="6" spans="1:8" ht="29.25" customHeight="1" x14ac:dyDescent="0.3">
      <c r="A6" s="11">
        <v>2</v>
      </c>
      <c r="B6" s="12" t="s">
        <v>286</v>
      </c>
      <c r="C6" s="12" t="s">
        <v>313</v>
      </c>
      <c r="D6" s="12">
        <v>3</v>
      </c>
      <c r="E6" s="12">
        <v>4</v>
      </c>
      <c r="F6" s="12" t="s">
        <v>324</v>
      </c>
      <c r="G6" s="12">
        <v>12</v>
      </c>
      <c r="H6" s="12"/>
    </row>
    <row r="7" spans="1:8" ht="29.25" customHeight="1" x14ac:dyDescent="0.3">
      <c r="A7" s="11">
        <v>3</v>
      </c>
      <c r="B7" s="12" t="s">
        <v>286</v>
      </c>
      <c r="C7" s="12" t="s">
        <v>313</v>
      </c>
      <c r="D7" s="12">
        <v>6.5</v>
      </c>
      <c r="E7" s="12">
        <v>5.5</v>
      </c>
      <c r="F7" s="12" t="s">
        <v>324</v>
      </c>
      <c r="G7" s="12">
        <v>35</v>
      </c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8" t="s">
        <v>175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3">
      <c r="A29" s="11">
        <v>1</v>
      </c>
      <c r="B29" s="79" t="s">
        <v>176</v>
      </c>
      <c r="C29" s="79"/>
      <c r="D29" s="79"/>
      <c r="E29" s="79"/>
      <c r="F29" s="79"/>
      <c r="G29" s="79"/>
      <c r="H29" s="34" t="s">
        <v>293</v>
      </c>
    </row>
    <row r="30" spans="1:8" ht="31.5" customHeight="1" x14ac:dyDescent="0.3">
      <c r="A30" s="11">
        <v>2</v>
      </c>
      <c r="B30" s="79" t="s">
        <v>177</v>
      </c>
      <c r="C30" s="79"/>
      <c r="D30" s="79"/>
      <c r="E30" s="79"/>
      <c r="F30" s="79"/>
      <c r="G30" s="79"/>
      <c r="H30" s="34" t="s">
        <v>294</v>
      </c>
    </row>
    <row r="31" spans="1:8" ht="24.75" customHeight="1" x14ac:dyDescent="0.3">
      <c r="A31" s="11">
        <v>3</v>
      </c>
      <c r="B31" s="79" t="s">
        <v>178</v>
      </c>
      <c r="C31" s="79"/>
      <c r="D31" s="79"/>
      <c r="E31" s="79"/>
      <c r="F31" s="79"/>
      <c r="G31" s="79"/>
      <c r="H31" s="34" t="s">
        <v>295</v>
      </c>
    </row>
    <row r="32" spans="1:8" ht="24.75" customHeight="1" x14ac:dyDescent="0.3">
      <c r="A32" s="11">
        <v>4</v>
      </c>
      <c r="B32" s="71" t="s">
        <v>179</v>
      </c>
      <c r="C32" s="72"/>
      <c r="D32" s="72"/>
      <c r="E32" s="72"/>
      <c r="F32" s="72"/>
      <c r="G32" s="73"/>
      <c r="H32" s="34" t="s">
        <v>296</v>
      </c>
    </row>
    <row r="33" spans="1:8" ht="24.75" customHeight="1" x14ac:dyDescent="0.3">
      <c r="A33" s="11">
        <v>5</v>
      </c>
      <c r="B33" s="71" t="s">
        <v>180</v>
      </c>
      <c r="C33" s="72"/>
      <c r="D33" s="72"/>
      <c r="E33" s="72"/>
      <c r="F33" s="72"/>
      <c r="G33" s="73"/>
      <c r="H33" s="34" t="s">
        <v>297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8" t="s">
        <v>166</v>
      </c>
      <c r="B36" s="78" t="s">
        <v>167</v>
      </c>
      <c r="C36" s="78" t="s">
        <v>168</v>
      </c>
      <c r="D36" s="76" t="s">
        <v>169</v>
      </c>
      <c r="E36" s="78" t="s">
        <v>170</v>
      </c>
      <c r="F36" s="78" t="s">
        <v>171</v>
      </c>
      <c r="G36" s="78"/>
      <c r="H36" s="78" t="s">
        <v>172</v>
      </c>
    </row>
    <row r="37" spans="1:8" ht="67.2" customHeight="1" x14ac:dyDescent="0.3">
      <c r="A37" s="78"/>
      <c r="B37" s="78"/>
      <c r="C37" s="78"/>
      <c r="D37" s="77"/>
      <c r="E37" s="78"/>
      <c r="F37" s="17" t="s">
        <v>173</v>
      </c>
      <c r="G37" s="17" t="s">
        <v>174</v>
      </c>
      <c r="H37" s="78"/>
    </row>
    <row r="38" spans="1:8" ht="36" customHeight="1" x14ac:dyDescent="0.3">
      <c r="A38" s="11">
        <v>1</v>
      </c>
      <c r="B38" s="17" t="s">
        <v>280</v>
      </c>
      <c r="C38" s="17" t="s">
        <v>314</v>
      </c>
      <c r="D38" s="17">
        <v>6</v>
      </c>
      <c r="E38" s="17">
        <v>4.5</v>
      </c>
      <c r="F38" s="17" t="s">
        <v>324</v>
      </c>
      <c r="G38" s="17">
        <v>25</v>
      </c>
      <c r="H38" s="17"/>
    </row>
    <row r="39" spans="1:8" ht="36" customHeight="1" x14ac:dyDescent="0.3">
      <c r="A39" s="11">
        <v>2</v>
      </c>
      <c r="B39" s="17" t="s">
        <v>279</v>
      </c>
      <c r="C39" s="17"/>
      <c r="D39" s="17">
        <v>3.5</v>
      </c>
      <c r="E39" s="17">
        <v>4</v>
      </c>
      <c r="F39" s="17" t="s">
        <v>325</v>
      </c>
      <c r="G39" s="17">
        <v>13</v>
      </c>
      <c r="H39" s="17"/>
    </row>
    <row r="40" spans="1:8" ht="36" customHeight="1" x14ac:dyDescent="0.3">
      <c r="A40" s="11">
        <v>3</v>
      </c>
      <c r="B40" s="17" t="s">
        <v>280</v>
      </c>
      <c r="C40" s="17" t="s">
        <v>314</v>
      </c>
      <c r="D40" s="17">
        <v>4</v>
      </c>
      <c r="E40" s="17">
        <v>4</v>
      </c>
      <c r="F40" s="17" t="s">
        <v>324</v>
      </c>
      <c r="G40" s="17">
        <v>16</v>
      </c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8" t="s">
        <v>175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3">
      <c r="A60" s="11">
        <v>1</v>
      </c>
      <c r="B60" s="79" t="s">
        <v>176</v>
      </c>
      <c r="C60" s="79"/>
      <c r="D60" s="79"/>
      <c r="E60" s="79"/>
      <c r="F60" s="79"/>
      <c r="G60" s="79"/>
      <c r="H60" s="11" t="s">
        <v>298</v>
      </c>
    </row>
    <row r="61" spans="1:8" ht="38.25" customHeight="1" x14ac:dyDescent="0.3">
      <c r="A61" s="11">
        <v>2</v>
      </c>
      <c r="B61" s="79" t="s">
        <v>177</v>
      </c>
      <c r="C61" s="79"/>
      <c r="D61" s="79"/>
      <c r="E61" s="79"/>
      <c r="F61" s="79"/>
      <c r="G61" s="79"/>
      <c r="H61" s="11" t="s">
        <v>299</v>
      </c>
    </row>
    <row r="62" spans="1:8" ht="25.5" customHeight="1" x14ac:dyDescent="0.3">
      <c r="A62" s="11">
        <v>3</v>
      </c>
      <c r="B62" s="79" t="s">
        <v>178</v>
      </c>
      <c r="C62" s="79"/>
      <c r="D62" s="79"/>
      <c r="E62" s="79"/>
      <c r="F62" s="79"/>
      <c r="G62" s="79"/>
      <c r="H62" s="11" t="s">
        <v>300</v>
      </c>
    </row>
    <row r="63" spans="1:8" ht="25.5" customHeight="1" x14ac:dyDescent="0.3">
      <c r="A63" s="11">
        <v>4</v>
      </c>
      <c r="B63" s="71" t="s">
        <v>182</v>
      </c>
      <c r="C63" s="72"/>
      <c r="D63" s="72"/>
      <c r="E63" s="72"/>
      <c r="F63" s="72"/>
      <c r="G63" s="73"/>
      <c r="H63" s="11" t="s">
        <v>301</v>
      </c>
    </row>
    <row r="64" spans="1:8" ht="24.75" customHeight="1" x14ac:dyDescent="0.3">
      <c r="A64" s="11">
        <v>5</v>
      </c>
      <c r="B64" s="79" t="s">
        <v>183</v>
      </c>
      <c r="C64" s="79"/>
      <c r="D64" s="79"/>
      <c r="E64" s="79"/>
      <c r="F64" s="79"/>
      <c r="G64" s="79"/>
      <c r="H64" s="11" t="s">
        <v>302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8" t="s">
        <v>166</v>
      </c>
      <c r="B67" s="78" t="s">
        <v>167</v>
      </c>
      <c r="C67" s="78" t="s">
        <v>168</v>
      </c>
      <c r="D67" s="76" t="s">
        <v>169</v>
      </c>
      <c r="E67" s="78" t="s">
        <v>170</v>
      </c>
      <c r="F67" s="78" t="s">
        <v>171</v>
      </c>
      <c r="G67" s="78"/>
      <c r="H67" s="78" t="s">
        <v>172</v>
      </c>
    </row>
    <row r="68" spans="1:8" ht="62.4" x14ac:dyDescent="0.3">
      <c r="A68" s="78"/>
      <c r="B68" s="78"/>
      <c r="C68" s="78"/>
      <c r="D68" s="77"/>
      <c r="E68" s="78"/>
      <c r="F68" s="17" t="s">
        <v>173</v>
      </c>
      <c r="G68" s="17" t="s">
        <v>174</v>
      </c>
      <c r="H68" s="78"/>
    </row>
    <row r="69" spans="1:8" s="27" customFormat="1" ht="41.25" customHeight="1" x14ac:dyDescent="0.3">
      <c r="A69" s="11">
        <v>1</v>
      </c>
      <c r="B69" s="39" t="s">
        <v>277</v>
      </c>
      <c r="C69" s="11" t="s">
        <v>315</v>
      </c>
      <c r="D69" s="11">
        <v>4</v>
      </c>
      <c r="E69" s="11">
        <v>3.5</v>
      </c>
      <c r="F69" s="11" t="s">
        <v>326</v>
      </c>
      <c r="G69" s="11">
        <v>13</v>
      </c>
      <c r="H69" s="11"/>
    </row>
    <row r="70" spans="1:8" s="27" customFormat="1" ht="41.25" customHeight="1" x14ac:dyDescent="0.3">
      <c r="A70" s="11">
        <v>2</v>
      </c>
      <c r="B70" s="39" t="s">
        <v>278</v>
      </c>
      <c r="C70" s="11" t="s">
        <v>316</v>
      </c>
      <c r="D70" s="11">
        <v>6</v>
      </c>
      <c r="E70" s="11">
        <v>5</v>
      </c>
      <c r="F70" s="11" t="s">
        <v>324</v>
      </c>
      <c r="G70" s="11">
        <v>30</v>
      </c>
      <c r="H70" s="11"/>
    </row>
    <row r="71" spans="1:8" s="27" customFormat="1" ht="41.25" customHeight="1" x14ac:dyDescent="0.3">
      <c r="A71" s="11">
        <v>3</v>
      </c>
      <c r="B71" s="39"/>
      <c r="C71" s="11"/>
      <c r="D71" s="11"/>
      <c r="E71" s="11"/>
      <c r="F71" s="11"/>
      <c r="G71" s="11"/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80" t="s">
        <v>242</v>
      </c>
      <c r="G93" s="80"/>
      <c r="H93" s="80"/>
    </row>
    <row r="94" spans="1:8" ht="24" customHeight="1" x14ac:dyDescent="0.3">
      <c r="A94" s="76" t="s">
        <v>166</v>
      </c>
      <c r="B94" s="76" t="s">
        <v>167</v>
      </c>
      <c r="C94" s="76" t="s">
        <v>168</v>
      </c>
      <c r="D94" s="76" t="s">
        <v>169</v>
      </c>
      <c r="E94" s="76" t="s">
        <v>170</v>
      </c>
      <c r="F94" s="81" t="s">
        <v>171</v>
      </c>
      <c r="G94" s="82"/>
      <c r="H94" s="76" t="s">
        <v>172</v>
      </c>
    </row>
    <row r="95" spans="1:8" ht="69.599999999999994" customHeight="1" x14ac:dyDescent="0.3">
      <c r="A95" s="77"/>
      <c r="B95" s="77"/>
      <c r="C95" s="77"/>
      <c r="D95" s="77"/>
      <c r="E95" s="77"/>
      <c r="F95" s="17" t="s">
        <v>173</v>
      </c>
      <c r="G95" s="17" t="s">
        <v>174</v>
      </c>
      <c r="H95" s="77"/>
    </row>
    <row r="96" spans="1:8" s="27" customFormat="1" ht="39" customHeight="1" x14ac:dyDescent="0.3">
      <c r="A96" s="40">
        <v>1</v>
      </c>
      <c r="B96" s="39" t="s">
        <v>303</v>
      </c>
      <c r="C96" s="11" t="s">
        <v>317</v>
      </c>
      <c r="D96" s="40">
        <v>3.5</v>
      </c>
      <c r="E96" s="41">
        <v>4</v>
      </c>
      <c r="F96" s="22" t="s">
        <v>326</v>
      </c>
      <c r="G96" s="22">
        <v>13</v>
      </c>
      <c r="H96" s="22"/>
    </row>
    <row r="97" spans="1:8" s="27" customFormat="1" ht="39" customHeight="1" x14ac:dyDescent="0.3">
      <c r="A97" s="40">
        <v>2</v>
      </c>
      <c r="B97" s="39"/>
      <c r="C97" s="11"/>
      <c r="D97" s="40"/>
      <c r="E97" s="41"/>
      <c r="F97" s="22"/>
      <c r="G97" s="22"/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2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7" zoomScale="85" zoomScaleNormal="85" zoomScaleSheetLayoutView="85" workbookViewId="0">
      <selection activeCell="E76" sqref="E76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74" t="s">
        <v>184</v>
      </c>
      <c r="B1" s="74"/>
      <c r="C1" s="74"/>
      <c r="D1" s="74"/>
      <c r="E1" s="74"/>
      <c r="F1" s="74"/>
      <c r="G1" s="74"/>
    </row>
    <row r="2" spans="1:7" ht="45.6" customHeight="1" x14ac:dyDescent="0.3">
      <c r="E2" s="75" t="s">
        <v>165</v>
      </c>
      <c r="F2" s="75"/>
      <c r="G2" s="75"/>
    </row>
    <row r="3" spans="1:7" ht="45.6" customHeight="1" x14ac:dyDescent="0.3">
      <c r="A3" s="78" t="s">
        <v>166</v>
      </c>
      <c r="B3" s="78" t="s">
        <v>167</v>
      </c>
      <c r="C3" s="58" t="s">
        <v>168</v>
      </c>
      <c r="D3" s="78" t="s">
        <v>185</v>
      </c>
      <c r="E3" s="78" t="s">
        <v>171</v>
      </c>
      <c r="F3" s="78"/>
      <c r="G3" s="78" t="s">
        <v>186</v>
      </c>
    </row>
    <row r="4" spans="1:7" ht="45.6" customHeight="1" x14ac:dyDescent="0.3">
      <c r="A4" s="78"/>
      <c r="B4" s="78"/>
      <c r="C4" s="58"/>
      <c r="D4" s="78"/>
      <c r="E4" s="17" t="s">
        <v>187</v>
      </c>
      <c r="F4" s="17" t="s">
        <v>188</v>
      </c>
      <c r="G4" s="78"/>
    </row>
    <row r="5" spans="1:7" ht="45.6" customHeight="1" x14ac:dyDescent="0.3">
      <c r="A5" s="78"/>
      <c r="B5" s="78"/>
      <c r="C5" s="58"/>
      <c r="D5" s="78"/>
      <c r="E5" s="17" t="s">
        <v>189</v>
      </c>
      <c r="F5" s="17" t="s">
        <v>222</v>
      </c>
      <c r="G5" s="78"/>
    </row>
    <row r="6" spans="1:7" ht="45.6" customHeight="1" x14ac:dyDescent="0.3">
      <c r="A6" s="11">
        <v>1</v>
      </c>
      <c r="B6" s="12" t="s">
        <v>289</v>
      </c>
      <c r="C6" s="12" t="s">
        <v>320</v>
      </c>
      <c r="D6" s="12">
        <v>50</v>
      </c>
      <c r="E6" s="12" t="s">
        <v>323</v>
      </c>
      <c r="F6" s="17">
        <v>210</v>
      </c>
      <c r="G6" s="17"/>
    </row>
    <row r="7" spans="1:7" ht="45.6" customHeight="1" x14ac:dyDescent="0.3">
      <c r="A7" s="11">
        <v>2</v>
      </c>
      <c r="B7" s="12" t="s">
        <v>290</v>
      </c>
      <c r="C7" s="12" t="s">
        <v>321</v>
      </c>
      <c r="D7" s="12">
        <v>15</v>
      </c>
      <c r="E7" s="12" t="s">
        <v>323</v>
      </c>
      <c r="F7" s="17">
        <v>80</v>
      </c>
      <c r="G7" s="17"/>
    </row>
    <row r="8" spans="1:7" ht="45.6" customHeight="1" x14ac:dyDescent="0.3">
      <c r="A8" s="11">
        <v>3</v>
      </c>
      <c r="B8" s="12" t="s">
        <v>290</v>
      </c>
      <c r="C8" s="12" t="s">
        <v>321</v>
      </c>
      <c r="D8" s="12">
        <v>15</v>
      </c>
      <c r="E8" s="12" t="s">
        <v>323</v>
      </c>
      <c r="F8" s="17">
        <v>85</v>
      </c>
      <c r="G8" s="17"/>
    </row>
    <row r="9" spans="1:7" ht="45.6" customHeight="1" x14ac:dyDescent="0.3">
      <c r="A9" s="11">
        <v>4</v>
      </c>
      <c r="B9" s="12" t="s">
        <v>290</v>
      </c>
      <c r="C9" s="12" t="s">
        <v>321</v>
      </c>
      <c r="D9" s="12">
        <v>30</v>
      </c>
      <c r="E9" s="12" t="s">
        <v>323</v>
      </c>
      <c r="F9" s="17">
        <v>180</v>
      </c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8" t="s">
        <v>175</v>
      </c>
      <c r="B33" s="78"/>
      <c r="C33" s="78"/>
      <c r="D33" s="78"/>
      <c r="E33" s="78"/>
      <c r="F33" s="78"/>
      <c r="G33" s="78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74" t="s">
        <v>192</v>
      </c>
      <c r="F35" s="74"/>
      <c r="G35" s="74"/>
    </row>
    <row r="36" spans="1:7" ht="45.6" customHeight="1" x14ac:dyDescent="0.3">
      <c r="A36" s="78" t="s">
        <v>166</v>
      </c>
      <c r="B36" s="78" t="s">
        <v>167</v>
      </c>
      <c r="C36" s="83" t="s">
        <v>168</v>
      </c>
      <c r="D36" s="78" t="s">
        <v>185</v>
      </c>
      <c r="E36" s="78" t="s">
        <v>171</v>
      </c>
      <c r="F36" s="78"/>
      <c r="G36" s="78" t="s">
        <v>186</v>
      </c>
    </row>
    <row r="37" spans="1:7" ht="45.6" customHeight="1" x14ac:dyDescent="0.3">
      <c r="A37" s="78"/>
      <c r="B37" s="78"/>
      <c r="C37" s="84"/>
      <c r="D37" s="78"/>
      <c r="E37" s="17" t="s">
        <v>187</v>
      </c>
      <c r="F37" s="17" t="s">
        <v>188</v>
      </c>
      <c r="G37" s="78"/>
    </row>
    <row r="38" spans="1:7" ht="45.6" customHeight="1" x14ac:dyDescent="0.3">
      <c r="A38" s="78"/>
      <c r="B38" s="78"/>
      <c r="C38" s="85"/>
      <c r="D38" s="78"/>
      <c r="E38" s="17" t="s">
        <v>189</v>
      </c>
      <c r="F38" s="17" t="s">
        <v>190</v>
      </c>
      <c r="G38" s="78"/>
    </row>
    <row r="39" spans="1:7" s="27" customFormat="1" ht="45.6" customHeight="1" x14ac:dyDescent="0.3">
      <c r="A39" s="40">
        <v>1</v>
      </c>
      <c r="B39" s="22" t="s">
        <v>285</v>
      </c>
      <c r="C39" s="47" t="s">
        <v>318</v>
      </c>
      <c r="D39" s="40">
        <v>60</v>
      </c>
      <c r="E39" s="22" t="s">
        <v>327</v>
      </c>
      <c r="F39" s="22">
        <v>260</v>
      </c>
      <c r="G39" s="22"/>
    </row>
    <row r="40" spans="1:7" s="27" customFormat="1" ht="45.6" customHeight="1" x14ac:dyDescent="0.3">
      <c r="A40" s="40">
        <v>2</v>
      </c>
      <c r="B40" s="22" t="s">
        <v>285</v>
      </c>
      <c r="C40" s="47" t="s">
        <v>318</v>
      </c>
      <c r="D40" s="40">
        <v>40</v>
      </c>
      <c r="E40" s="22" t="s">
        <v>327</v>
      </c>
      <c r="F40" s="22">
        <v>180</v>
      </c>
      <c r="G40" s="22"/>
    </row>
    <row r="41" spans="1:7" s="27" customFormat="1" ht="45.6" customHeight="1" x14ac:dyDescent="0.3">
      <c r="A41" s="40">
        <v>3</v>
      </c>
      <c r="B41" s="22" t="s">
        <v>291</v>
      </c>
      <c r="C41" s="47" t="s">
        <v>319</v>
      </c>
      <c r="D41" s="40">
        <v>40</v>
      </c>
      <c r="E41" s="22" t="s">
        <v>323</v>
      </c>
      <c r="F41" s="22">
        <v>160</v>
      </c>
      <c r="G41" s="22"/>
    </row>
    <row r="42" spans="1:7" s="27" customFormat="1" ht="45.6" customHeight="1" x14ac:dyDescent="0.3">
      <c r="A42" s="40">
        <v>4</v>
      </c>
      <c r="B42" s="22" t="s">
        <v>291</v>
      </c>
      <c r="C42" s="47" t="s">
        <v>319</v>
      </c>
      <c r="D42" s="40">
        <v>30</v>
      </c>
      <c r="E42" s="22" t="s">
        <v>323</v>
      </c>
      <c r="F42" s="22">
        <v>140</v>
      </c>
      <c r="G42" s="22"/>
    </row>
    <row r="43" spans="1:7" s="27" customFormat="1" ht="45.6" customHeight="1" x14ac:dyDescent="0.3">
      <c r="A43" s="40">
        <v>5</v>
      </c>
      <c r="B43" s="22" t="s">
        <v>291</v>
      </c>
      <c r="C43" s="47" t="s">
        <v>319</v>
      </c>
      <c r="D43" s="40">
        <v>45</v>
      </c>
      <c r="E43" s="22" t="s">
        <v>323</v>
      </c>
      <c r="F43" s="22">
        <v>155</v>
      </c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8" t="s">
        <v>175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D13" sqref="D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2024-07-10T17:16:28Z</dcterms:modified>
</cp:coreProperties>
</file>