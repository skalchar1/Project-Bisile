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5\"/>
    </mc:Choice>
  </mc:AlternateContent>
  <xr:revisionPtr revIDLastSave="0" documentId="13_ncr:1_{102E6F1D-8D63-48CD-8E3F-C42E636A4A9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3" i="8"/>
  <c r="B26" i="8"/>
  <c r="B14" i="8"/>
</calcChain>
</file>

<file path=xl/sharedStrings.xml><?xml version="1.0" encoding="utf-8"?>
<sst xmlns="http://schemas.openxmlformats.org/spreadsheetml/2006/main" count="287" uniqueCount="188">
  <si>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</si>
  <si>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</si>
  <si>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</si>
  <si>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</si>
  <si>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</si>
  <si>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</si>
  <si>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</si>
  <si>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</si>
  <si>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</si>
  <si>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</si>
  <si>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</si>
  <si>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</si>
  <si>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</si>
  <si>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</si>
  <si>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</si>
  <si>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</si>
  <si>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</si>
  <si>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</si>
  <si>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</si>
  <si>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</si>
  <si>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</si>
  <si>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</si>
  <si>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</si>
  <si>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</si>
  <si>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</si>
  <si>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</si>
  <si>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</si>
  <si>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</si>
  <si>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</si>
  <si>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</si>
  <si>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</si>
  <si>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</si>
  <si>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</si>
  <si>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</si>
  <si>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</si>
  <si>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</si>
  <si>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</si>
  <si>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</si>
  <si>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</si>
  <si>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</si>
  <si>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</si>
  <si>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</si>
  <si>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</si>
  <si>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</si>
  <si>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</si>
  <si>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</si>
  <si>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</si>
  <si>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</si>
  <si>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</si>
  <si>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</si>
  <si>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</si>
  <si>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</si>
  <si>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</si>
  <si>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</si>
  <si>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</si>
  <si>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</si>
  <si>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</si>
  <si>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</si>
  <si>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</si>
  <si>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</si>
  <si>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</si>
  <si>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</si>
  <si>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</si>
  <si>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</si>
  <si>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</si>
  <si>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</si>
  <si>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</si>
  <si>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</si>
  <si>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</si>
  <si>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</si>
  <si>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</si>
  <si>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</si>
  <si>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</si>
  <si>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</si>
  <si>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</si>
  <si>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t>Tract - Hilly undulating</t>
  </si>
  <si>
    <t>Canopy Dencity - 0.44</t>
  </si>
  <si>
    <t>Soil - Humus rich red soil</t>
  </si>
  <si>
    <t xml:space="preserve">Herbs - Hemidesmus indicus , Cendrella nudiflora, </t>
  </si>
  <si>
    <t xml:space="preserve">Shrubs -Clerodendrum infortunatum , Madhuca neriifolia </t>
  </si>
  <si>
    <t>Underwood species – Neo lamarkia cadambe, Hyneana trijjugas</t>
  </si>
  <si>
    <t xml:space="preserve">Climbers - Acacia concinna 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</si>
  <si>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</si>
  <si>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</si>
  <si>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</si>
  <si>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t>Permiability- poor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</si>
  <si>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</si>
  <si>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</si>
  <si>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Microbes, Insects, wild animals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</si>
  <si>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</si>
  <si>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</si>
  <si>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</si>
  <si>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NTFP yieding sps - Acacia concinna  </t>
  </si>
  <si>
    <t xml:space="preserve">Cassia fistula , Actinodaphne hookeri , Macaranga peltata Aporosa lindleyana </t>
  </si>
  <si>
    <t xml:space="preserve">Aporosa lindleyana , Macaranga peltata , Mallotus philippensis </t>
  </si>
  <si>
    <t>UN</t>
  </si>
  <si>
    <t>Cassia fistula</t>
  </si>
  <si>
    <t>Aporosa lindleyana</t>
  </si>
  <si>
    <t>Actinodaphne hookeri</t>
  </si>
  <si>
    <t>Macaranga peltata</t>
  </si>
  <si>
    <t>Mallotus philippensis</t>
  </si>
  <si>
    <t>Terricota alata</t>
  </si>
  <si>
    <t>Ventilog sp</t>
  </si>
  <si>
    <t xml:space="preserve">Schleichera oleosa </t>
  </si>
  <si>
    <t xml:space="preserve">Clerodendrum infortunatum </t>
  </si>
  <si>
    <t>Glycosmis pentaphyla</t>
  </si>
  <si>
    <t>Albizzia amara</t>
  </si>
  <si>
    <t>Nooni</t>
  </si>
  <si>
    <t>3.5kg</t>
  </si>
  <si>
    <t>Terminalia paniculata</t>
  </si>
  <si>
    <t>Getonia floribunda</t>
  </si>
  <si>
    <t>Sterospermum spp</t>
  </si>
  <si>
    <t>1.4kg</t>
  </si>
  <si>
    <t xml:space="preserve">Chukrasia tabularis </t>
  </si>
  <si>
    <t>Ixora brachiata</t>
  </si>
  <si>
    <t xml:space="preserve">Aglaia elaeagnoidea </t>
  </si>
  <si>
    <t>Travel from Ujire to MHS charmady power plant    upto     N  13. 078377  E 75.43933   by vehicle then travel in the NW direction upto a distance of    1.2Km to reach the grid.</t>
  </si>
  <si>
    <t>1065 ft</t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</si>
  <si>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</si>
  <si>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r>
      <rPr>
        <b/>
        <sz val="12"/>
        <rFont val="Times New Roman"/>
        <family val="1"/>
      </rPr>
      <t xml:space="preserve">Closed Forest </t>
    </r>
    <r>
      <rPr>
        <sz val="12"/>
        <rFont val="Times New Roman"/>
        <family val="1"/>
      </rPr>
      <t>/Dense Forest /Open Forest / Scrub</t>
    </r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</si>
  <si>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</si>
  <si>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t>Depth-  Moderate</t>
  </si>
  <si>
    <t>Texture-  Coarse moderate</t>
  </si>
  <si>
    <t>Belthangady</t>
  </si>
  <si>
    <t xml:space="preserve">Charmady kanapady RF </t>
  </si>
  <si>
    <t>II-5</t>
  </si>
  <si>
    <t>Aspect - No fix</t>
  </si>
  <si>
    <t>Grasses - NIL</t>
  </si>
  <si>
    <t>Weeds - NIL</t>
  </si>
  <si>
    <t xml:space="preserve">Bamboos - NIL. </t>
  </si>
  <si>
    <t>Rattans – NIL</t>
  </si>
  <si>
    <t>NIL</t>
  </si>
  <si>
    <t>85g</t>
  </si>
  <si>
    <t>230g</t>
  </si>
  <si>
    <t>54g</t>
  </si>
  <si>
    <t>Salle</t>
  </si>
  <si>
    <t>Kunkumada Mara</t>
  </si>
  <si>
    <t>Kumsa</t>
  </si>
  <si>
    <t>Visha puri</t>
  </si>
  <si>
    <t>Gorbale</t>
  </si>
  <si>
    <t>Matti</t>
  </si>
  <si>
    <t>Priyangu</t>
  </si>
  <si>
    <t>Haruge</t>
  </si>
  <si>
    <t>Sagadi</t>
  </si>
  <si>
    <t>Esaga</t>
  </si>
  <si>
    <t>Jujjulu</t>
  </si>
  <si>
    <t>Fruit</t>
  </si>
  <si>
    <t>Leaves</t>
  </si>
  <si>
    <t>Stem</t>
  </si>
  <si>
    <t>Pod</t>
  </si>
  <si>
    <t>leaves</t>
  </si>
  <si>
    <t>Flower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</si>
  <si>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</t>
    </r>
  </si>
  <si>
    <t>Form III</t>
  </si>
  <si>
    <t>FORM – A1</t>
  </si>
  <si>
    <t>PLOT ENUMERATION (31.62mX 31.62m Central Plot/lateral plot)</t>
  </si>
  <si>
    <t>Compartment No: II-5</t>
  </si>
  <si>
    <t xml:space="preserve">Block /Village: Charmady kanapady RF 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</si>
  <si>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</si>
  <si>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</si>
  <si>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</si>
  <si>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</si>
  <si>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</si>
  <si>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</si>
  <si>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</si>
  <si>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</si>
  <si>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</si>
  <si>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</si>
  <si>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</si>
  <si>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</si>
  <si>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</si>
  <si>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</si>
  <si>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</si>
  <si>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</si>
  <si>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</si>
  <si>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</si>
  <si>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</si>
  <si>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</si>
  <si>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</si>
  <si>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</si>
  <si>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</si>
  <si>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</si>
  <si>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</si>
  <si>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</si>
  <si>
    <t>Grid No:7263</t>
  </si>
  <si>
    <t>LAT: 13.080532</t>
  </si>
  <si>
    <t>LONG: 75.430734</t>
  </si>
  <si>
    <t>ALT: 1065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</si>
</sst>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6.5703125" style="1" bestFit="1" customWidth="1"/>
    <col min="2" max="2" width="34.42578125" style="1" bestFit="1" customWidth="1"/>
    <col min="3" max="3" width="54" style="1" customWidth="1"/>
    <col min="4" max="16384" width="9.140625" style="1"/>
  </cols>
  <sheetData>
    <row r="1" spans="1:3" ht="24.75" customHeight="1" x14ac:dyDescent="0.25">
      <c r="A1" s="48" t="s">
        <v>0</v>
      </c>
      <c r="B1" s="48"/>
      <c r="C1" s="48"/>
    </row>
    <row r="2" spans="1:3" ht="24.75" customHeight="1" x14ac:dyDescent="0.25">
      <c r="A2" s="48" t="s">
        <v>1</v>
      </c>
      <c r="B2" s="48"/>
      <c r="C2" s="48"/>
    </row>
    <row r="3" spans="1:3" s="3" customFormat="1" ht="24.75" customHeight="1" x14ac:dyDescent="0.25">
      <c r="A3" s="48" t="s">
        <v>2</v>
      </c>
      <c r="B3" s="48"/>
      <c r="C3" s="2"/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5.5" customHeight="1" x14ac:dyDescent="0.25">
      <c r="A5" s="4">
        <v>1</v>
      </c>
      <c r="B5" s="44" t="s">
        <v>6</v>
      </c>
      <c r="C5" s="7" t="s">
        <v>123</v>
      </c>
    </row>
    <row r="6" spans="1:3" ht="25.5" customHeight="1" x14ac:dyDescent="0.25">
      <c r="A6" s="4">
        <v>2</v>
      </c>
      <c r="B6" s="44" t="s">
        <v>7</v>
      </c>
      <c r="C6" s="8" t="s">
        <v>124</v>
      </c>
    </row>
    <row r="7" spans="1:3" ht="25.5" customHeight="1" x14ac:dyDescent="0.25">
      <c r="A7" s="4">
        <v>3</v>
      </c>
      <c r="B7" s="44" t="s">
        <v>8</v>
      </c>
      <c r="C7" s="8" t="s">
        <v>125</v>
      </c>
    </row>
    <row r="8" spans="1:3" ht="25.5" customHeight="1" x14ac:dyDescent="0.25">
      <c r="A8" s="4">
        <v>4</v>
      </c>
      <c r="B8" s="44" t="s">
        <v>9</v>
      </c>
      <c r="C8" s="8">
        <v>7263</v>
      </c>
    </row>
    <row r="9" spans="1:3" ht="25.5" customHeight="1" x14ac:dyDescent="0.25">
      <c r="A9" s="4">
        <v>5</v>
      </c>
      <c r="B9" s="44" t="s">
        <v>10</v>
      </c>
      <c r="C9" s="9">
        <v>13.080532</v>
      </c>
    </row>
    <row r="10" spans="1:3" ht="25.5" customHeight="1" x14ac:dyDescent="0.25">
      <c r="A10" s="4">
        <v>6</v>
      </c>
      <c r="B10" s="44" t="s">
        <v>11</v>
      </c>
      <c r="C10" s="9">
        <v>75.430734000000001</v>
      </c>
    </row>
    <row r="11" spans="1:3" ht="47.25" x14ac:dyDescent="0.25">
      <c r="A11" s="4">
        <v>7</v>
      </c>
      <c r="B11" s="44" t="s">
        <v>12</v>
      </c>
      <c r="C11" s="10" t="s">
        <v>116</v>
      </c>
    </row>
    <row r="12" spans="1:3" ht="31.5" x14ac:dyDescent="0.25">
      <c r="A12" s="4">
        <v>8</v>
      </c>
      <c r="B12" s="44" t="s">
        <v>13</v>
      </c>
      <c r="C12" s="10" t="s">
        <v>93</v>
      </c>
    </row>
    <row r="13" spans="1:3" ht="25.5" customHeight="1" x14ac:dyDescent="0.25">
      <c r="A13" s="49">
        <v>9</v>
      </c>
      <c r="B13" s="50" t="s">
        <v>14</v>
      </c>
      <c r="C13" s="6" t="s">
        <v>75</v>
      </c>
    </row>
    <row r="14" spans="1:3" ht="25.5" customHeight="1" x14ac:dyDescent="0.25">
      <c r="A14" s="49"/>
      <c r="B14" s="50"/>
      <c r="C14" s="6" t="s">
        <v>126</v>
      </c>
    </row>
    <row r="15" spans="1:3" ht="25.5" customHeight="1" x14ac:dyDescent="0.25">
      <c r="A15" s="49"/>
      <c r="B15" s="50"/>
      <c r="C15" s="6" t="s">
        <v>76</v>
      </c>
    </row>
    <row r="16" spans="1:3" ht="25.5" customHeight="1" x14ac:dyDescent="0.25">
      <c r="A16" s="49"/>
      <c r="B16" s="50"/>
      <c r="C16" s="6" t="s">
        <v>77</v>
      </c>
    </row>
    <row r="17" spans="1:3" ht="25.5" customHeight="1" x14ac:dyDescent="0.25">
      <c r="A17" s="49"/>
      <c r="B17" s="50"/>
      <c r="C17" s="6" t="s">
        <v>127</v>
      </c>
    </row>
    <row r="18" spans="1:3" ht="25.5" customHeight="1" x14ac:dyDescent="0.25">
      <c r="A18" s="49"/>
      <c r="B18" s="50"/>
      <c r="C18" s="6" t="s">
        <v>128</v>
      </c>
    </row>
    <row r="19" spans="1:3" ht="25.5" customHeight="1" x14ac:dyDescent="0.25">
      <c r="A19" s="49"/>
      <c r="B19" s="50"/>
      <c r="C19" s="6" t="s">
        <v>129</v>
      </c>
    </row>
    <row r="20" spans="1:3" ht="25.5" customHeight="1" x14ac:dyDescent="0.25">
      <c r="A20" s="49"/>
      <c r="B20" s="50"/>
      <c r="C20" s="6" t="s">
        <v>78</v>
      </c>
    </row>
    <row r="21" spans="1:3" ht="25.5" customHeight="1" x14ac:dyDescent="0.25">
      <c r="A21" s="49"/>
      <c r="B21" s="50"/>
      <c r="C21" s="6" t="s">
        <v>79</v>
      </c>
    </row>
    <row r="22" spans="1:3" ht="31.5" x14ac:dyDescent="0.25">
      <c r="A22" s="49"/>
      <c r="B22" s="50"/>
      <c r="C22" s="6" t="s">
        <v>80</v>
      </c>
    </row>
    <row r="23" spans="1:3" ht="25.5" customHeight="1" x14ac:dyDescent="0.25">
      <c r="A23" s="49"/>
      <c r="B23" s="50"/>
      <c r="C23" s="6" t="s">
        <v>81</v>
      </c>
    </row>
    <row r="24" spans="1:3" ht="25.5" customHeight="1" x14ac:dyDescent="0.25">
      <c r="A24" s="49"/>
      <c r="B24" s="50"/>
      <c r="C24" s="6" t="s">
        <v>130</v>
      </c>
    </row>
    <row r="25" spans="1:3" ht="25.5" customHeight="1" x14ac:dyDescent="0.25">
      <c r="A25" s="49"/>
      <c r="B25" s="50"/>
      <c r="C25" s="6" t="s">
        <v>92</v>
      </c>
    </row>
    <row r="26" spans="1:3" ht="25.5" customHeight="1" x14ac:dyDescent="0.25">
      <c r="A26" s="4">
        <v>10</v>
      </c>
      <c r="B26" s="44" t="s">
        <v>15</v>
      </c>
      <c r="C26" s="6" t="s">
        <v>131</v>
      </c>
    </row>
    <row r="27" spans="1:3" ht="25.5" customHeight="1" x14ac:dyDescent="0.25">
      <c r="A27" s="4">
        <v>11</v>
      </c>
      <c r="B27" s="44" t="s">
        <v>16</v>
      </c>
      <c r="C27" s="6" t="s">
        <v>131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topLeftCell="A4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4" bestFit="1" customWidth="1"/>
    <col min="2" max="2" width="42.5703125" style="14" customWidth="1"/>
    <col min="3" max="3" width="49.28515625" style="14" customWidth="1"/>
    <col min="4" max="16384" width="9.140625" style="14"/>
  </cols>
  <sheetData>
    <row r="1" spans="1:3" ht="25.5" customHeight="1" x14ac:dyDescent="0.25">
      <c r="A1" s="51" t="s">
        <v>17</v>
      </c>
      <c r="B1" s="51"/>
      <c r="C1" s="51"/>
    </row>
    <row r="2" spans="1:3" ht="25.5" customHeight="1" x14ac:dyDescent="0.25">
      <c r="A2" s="51" t="s">
        <v>18</v>
      </c>
      <c r="B2" s="51"/>
      <c r="C2" s="51"/>
    </row>
    <row r="3" spans="1:3" s="15" customFormat="1" ht="25.5" customHeight="1" x14ac:dyDescent="0.25">
      <c r="A3" s="51" t="s">
        <v>2</v>
      </c>
      <c r="B3" s="51"/>
      <c r="C3" s="17"/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4.75" customHeight="1" x14ac:dyDescent="0.25">
      <c r="A5" s="11">
        <v>1</v>
      </c>
      <c r="B5" s="45" t="s">
        <v>6</v>
      </c>
      <c r="C5" s="20" t="str">
        <f>'Form 1'!C5</f>
        <v>Belthangady</v>
      </c>
    </row>
    <row r="6" spans="1:3" ht="24.75" customHeight="1" x14ac:dyDescent="0.25">
      <c r="A6" s="11">
        <v>2</v>
      </c>
      <c r="B6" s="45" t="s">
        <v>72</v>
      </c>
      <c r="C6" s="20"/>
    </row>
    <row r="7" spans="1:3" ht="24.75" customHeight="1" x14ac:dyDescent="0.25">
      <c r="A7" s="11">
        <v>3</v>
      </c>
      <c r="B7" s="45" t="s">
        <v>69</v>
      </c>
      <c r="C7" s="20" t="str">
        <f>'Form 1'!C6</f>
        <v xml:space="preserve">Charmady kanapady RF </v>
      </c>
    </row>
    <row r="8" spans="1:3" ht="24.75" customHeight="1" x14ac:dyDescent="0.25">
      <c r="A8" s="11">
        <v>4</v>
      </c>
      <c r="B8" s="45" t="s">
        <v>9</v>
      </c>
      <c r="C8" s="20">
        <f>'Form 1'!C8</f>
        <v>7263</v>
      </c>
    </row>
    <row r="9" spans="1:3" ht="24.75" customHeight="1" x14ac:dyDescent="0.25">
      <c r="A9" s="11">
        <v>5</v>
      </c>
      <c r="B9" s="45" t="s">
        <v>20</v>
      </c>
      <c r="C9" s="21">
        <f>'Form 1'!C9</f>
        <v>13.080532</v>
      </c>
    </row>
    <row r="10" spans="1:3" ht="24.75" customHeight="1" x14ac:dyDescent="0.25">
      <c r="A10" s="11">
        <v>6</v>
      </c>
      <c r="B10" s="45" t="s">
        <v>21</v>
      </c>
      <c r="C10" s="21">
        <f>'Form 1'!C10</f>
        <v>75.430734000000001</v>
      </c>
    </row>
    <row r="11" spans="1:3" ht="24.75" customHeight="1" x14ac:dyDescent="0.25">
      <c r="A11" s="11">
        <v>7</v>
      </c>
      <c r="B11" s="45" t="s">
        <v>22</v>
      </c>
      <c r="C11" s="20" t="s">
        <v>117</v>
      </c>
    </row>
    <row r="12" spans="1:3" ht="31.5" x14ac:dyDescent="0.25">
      <c r="A12" s="11">
        <v>8</v>
      </c>
      <c r="B12" s="45" t="s">
        <v>23</v>
      </c>
      <c r="C12" s="20" t="s">
        <v>82</v>
      </c>
    </row>
    <row r="13" spans="1:3" ht="24.75" customHeight="1" x14ac:dyDescent="0.25">
      <c r="A13" s="11">
        <v>9</v>
      </c>
      <c r="B13" s="45" t="s">
        <v>24</v>
      </c>
      <c r="C13" s="20" t="s">
        <v>119</v>
      </c>
    </row>
    <row r="14" spans="1:3" ht="31.5" x14ac:dyDescent="0.25">
      <c r="A14" s="11">
        <v>10</v>
      </c>
      <c r="B14" s="45" t="s">
        <v>25</v>
      </c>
      <c r="C14" s="20" t="s">
        <v>83</v>
      </c>
    </row>
    <row r="15" spans="1:3" ht="24.75" customHeight="1" x14ac:dyDescent="0.25">
      <c r="A15" s="11">
        <v>11</v>
      </c>
      <c r="B15" s="45" t="s">
        <v>26</v>
      </c>
      <c r="C15" s="22" t="s">
        <v>84</v>
      </c>
    </row>
    <row r="16" spans="1:3" ht="31.5" x14ac:dyDescent="0.25">
      <c r="A16" s="11">
        <v>12</v>
      </c>
      <c r="B16" s="45" t="s">
        <v>27</v>
      </c>
      <c r="C16" s="22" t="s">
        <v>118</v>
      </c>
    </row>
    <row r="17" spans="1:3" ht="31.5" x14ac:dyDescent="0.25">
      <c r="A17" s="11">
        <v>13</v>
      </c>
      <c r="B17" s="45" t="s">
        <v>28</v>
      </c>
      <c r="C17" s="22" t="s">
        <v>29</v>
      </c>
    </row>
    <row r="18" spans="1:3" ht="24.75" customHeight="1" x14ac:dyDescent="0.25">
      <c r="A18" s="52">
        <v>14</v>
      </c>
      <c r="B18" s="53" t="s">
        <v>30</v>
      </c>
      <c r="C18" s="22" t="s">
        <v>122</v>
      </c>
    </row>
    <row r="19" spans="1:3" ht="24.75" customHeight="1" x14ac:dyDescent="0.25">
      <c r="A19" s="52"/>
      <c r="B19" s="53"/>
      <c r="C19" s="22" t="s">
        <v>121</v>
      </c>
    </row>
    <row r="20" spans="1:3" ht="24.75" customHeight="1" x14ac:dyDescent="0.25">
      <c r="A20" s="52"/>
      <c r="B20" s="53"/>
      <c r="C20" s="23" t="s">
        <v>85</v>
      </c>
    </row>
    <row r="21" spans="1:3" ht="24.75" customHeight="1" x14ac:dyDescent="0.25">
      <c r="A21" s="11">
        <v>15</v>
      </c>
      <c r="B21" s="45" t="s">
        <v>31</v>
      </c>
      <c r="C21" s="22" t="s">
        <v>120</v>
      </c>
    </row>
    <row r="22" spans="1:3" ht="31.5" x14ac:dyDescent="0.25">
      <c r="A22" s="11">
        <v>16</v>
      </c>
      <c r="B22" s="45" t="s">
        <v>32</v>
      </c>
      <c r="C22" s="22" t="s">
        <v>94</v>
      </c>
    </row>
    <row r="23" spans="1:3" ht="24.75" customHeight="1" x14ac:dyDescent="0.25">
      <c r="A23" s="11">
        <v>17</v>
      </c>
      <c r="B23" s="45" t="s">
        <v>70</v>
      </c>
      <c r="C23" s="22" t="s">
        <v>86</v>
      </c>
    </row>
    <row r="24" spans="1:3" ht="31.5" x14ac:dyDescent="0.25">
      <c r="A24" s="11">
        <v>18</v>
      </c>
      <c r="B24" s="45" t="s">
        <v>33</v>
      </c>
      <c r="C24" s="22" t="s">
        <v>87</v>
      </c>
    </row>
    <row r="25" spans="1:3" ht="24.75" customHeight="1" x14ac:dyDescent="0.25">
      <c r="A25" s="11">
        <v>19</v>
      </c>
      <c r="B25" s="45" t="s">
        <v>34</v>
      </c>
      <c r="C25" s="22" t="s">
        <v>88</v>
      </c>
    </row>
    <row r="26" spans="1:3" ht="24.75" customHeight="1" x14ac:dyDescent="0.25">
      <c r="A26" s="11">
        <v>20</v>
      </c>
      <c r="B26" s="45" t="s">
        <v>35</v>
      </c>
      <c r="C26" s="23" t="s">
        <v>89</v>
      </c>
    </row>
    <row r="27" spans="1:3" ht="24.75" customHeight="1" x14ac:dyDescent="0.25">
      <c r="A27" s="11">
        <v>21</v>
      </c>
      <c r="B27" s="45" t="s">
        <v>36</v>
      </c>
      <c r="C27" s="22" t="s">
        <v>90</v>
      </c>
    </row>
    <row r="28" spans="1:3" ht="24.75" customHeight="1" x14ac:dyDescent="0.25">
      <c r="A28" s="11">
        <v>22</v>
      </c>
      <c r="B28" s="45" t="s">
        <v>37</v>
      </c>
      <c r="C28" s="22" t="s">
        <v>91</v>
      </c>
    </row>
    <row r="29" spans="1:3" ht="24.75" customHeight="1" x14ac:dyDescent="0.25">
      <c r="A29" s="11">
        <v>23</v>
      </c>
      <c r="B29" s="45" t="s">
        <v>38</v>
      </c>
      <c r="C29" s="22" t="s">
        <v>91</v>
      </c>
    </row>
    <row r="30" spans="1:3" ht="24.75" customHeight="1" x14ac:dyDescent="0.25">
      <c r="A30" s="11">
        <v>24</v>
      </c>
      <c r="B30" s="45" t="s">
        <v>39</v>
      </c>
      <c r="C30" s="22" t="s">
        <v>131</v>
      </c>
    </row>
    <row r="31" spans="1:3" ht="24.75" customHeight="1" x14ac:dyDescent="0.25">
      <c r="A31" s="11">
        <v>25</v>
      </c>
      <c r="B31" s="45" t="s">
        <v>40</v>
      </c>
      <c r="C31" s="22" t="s">
        <v>131</v>
      </c>
    </row>
    <row r="32" spans="1:3" ht="24.75" customHeight="1" x14ac:dyDescent="0.25">
      <c r="A32" s="11">
        <v>26</v>
      </c>
      <c r="B32" s="45" t="s">
        <v>41</v>
      </c>
      <c r="C32" s="22" t="s">
        <v>131</v>
      </c>
    </row>
    <row r="33" spans="1:3" ht="24.75" customHeight="1" x14ac:dyDescent="0.25">
      <c r="A33" s="11">
        <v>27</v>
      </c>
      <c r="B33" s="45" t="s">
        <v>42</v>
      </c>
      <c r="C33" s="20" t="s">
        <v>152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2075-01F1-431A-B953-E674154743E1}">
  <dimension ref="A1:I21"/>
  <sheetViews>
    <sheetView workbookViewId="0">
      <selection activeCell="M11" sqref="M11"/>
    </sheetView>
  </sheetViews>
  <sheetFormatPr defaultRowHeight="15" x14ac:dyDescent="0.25"/>
  <cols>
    <col min="2" max="2" width="20.42578125" bestFit="1" customWidth="1"/>
  </cols>
  <sheetData>
    <row r="1" spans="1:9" s="67" customFormat="1" ht="15.6" customHeight="1" x14ac:dyDescent="0.25">
      <c r="A1" s="66" t="s">
        <v>153</v>
      </c>
      <c r="B1" s="66"/>
      <c r="C1" s="66"/>
      <c r="D1" s="66"/>
      <c r="E1" s="66"/>
      <c r="F1" s="66"/>
      <c r="G1" s="66"/>
      <c r="H1" s="66"/>
      <c r="I1" s="66"/>
    </row>
    <row r="2" spans="1:9" s="67" customFormat="1" ht="15.6" customHeight="1" x14ac:dyDescent="0.25">
      <c r="A2" s="66" t="s">
        <v>154</v>
      </c>
      <c r="B2" s="66"/>
      <c r="C2" s="66"/>
      <c r="D2" s="66"/>
      <c r="E2" s="66"/>
      <c r="F2" s="66"/>
      <c r="G2" s="66"/>
      <c r="H2" s="66"/>
      <c r="I2" s="66"/>
    </row>
    <row r="3" spans="1:9" s="67" customFormat="1" ht="15.6" customHeight="1" x14ac:dyDescent="0.25">
      <c r="A3" s="66" t="s">
        <v>155</v>
      </c>
      <c r="B3" s="66"/>
      <c r="C3" s="66"/>
      <c r="D3" s="66"/>
      <c r="E3" s="66"/>
      <c r="F3" s="66"/>
      <c r="G3" s="66"/>
      <c r="H3" s="66"/>
      <c r="I3" s="66"/>
    </row>
    <row r="4" spans="1:9" s="67" customFormat="1" ht="15.6" customHeight="1" x14ac:dyDescent="0.25">
      <c r="A4" s="68"/>
      <c r="B4" s="68"/>
      <c r="C4" s="68"/>
      <c r="D4" s="68"/>
      <c r="E4" s="68"/>
      <c r="F4" s="68"/>
      <c r="G4" s="68"/>
      <c r="H4" s="68"/>
      <c r="I4" s="68"/>
    </row>
    <row r="5" spans="1:9" s="72" customFormat="1" ht="33" customHeight="1" x14ac:dyDescent="0.25">
      <c r="A5" s="69" t="s">
        <v>156</v>
      </c>
      <c r="B5" s="70"/>
      <c r="C5" s="71"/>
      <c r="D5" s="69" t="s">
        <v>157</v>
      </c>
      <c r="E5" s="70"/>
      <c r="F5" s="70"/>
      <c r="G5" s="71"/>
      <c r="H5" s="69" t="s">
        <v>158</v>
      </c>
      <c r="I5" s="71"/>
    </row>
    <row r="6" spans="1:9" s="72" customFormat="1" ht="33" customHeight="1" x14ac:dyDescent="0.25">
      <c r="A6" s="69" t="s">
        <v>159</v>
      </c>
      <c r="B6" s="70"/>
      <c r="C6" s="71"/>
      <c r="D6" s="69" t="s">
        <v>160</v>
      </c>
      <c r="E6" s="70"/>
      <c r="F6" s="70"/>
      <c r="G6" s="71"/>
      <c r="H6" s="69" t="s">
        <v>187</v>
      </c>
      <c r="I6" s="71"/>
    </row>
    <row r="7" spans="1:9" s="72" customFormat="1" ht="33" customHeight="1" x14ac:dyDescent="0.25">
      <c r="A7" s="69" t="s">
        <v>185</v>
      </c>
      <c r="B7" s="70"/>
      <c r="C7" s="71"/>
      <c r="D7" s="69" t="s">
        <v>186</v>
      </c>
      <c r="E7" s="70"/>
      <c r="F7" s="70"/>
      <c r="G7" s="71"/>
      <c r="H7" s="69" t="s">
        <v>184</v>
      </c>
      <c r="I7" s="71"/>
    </row>
    <row r="8" spans="1:9" s="67" customFormat="1" ht="15.6" customHeight="1" x14ac:dyDescent="0.25">
      <c r="A8" s="19"/>
      <c r="B8" s="73"/>
      <c r="C8" s="19"/>
      <c r="D8" s="19"/>
      <c r="E8" s="19"/>
      <c r="F8" s="19"/>
      <c r="G8" s="19"/>
      <c r="H8" s="19"/>
      <c r="I8" s="19"/>
    </row>
    <row r="9" spans="1:9" s="67" customFormat="1" ht="15.75" x14ac:dyDescent="0.25">
      <c r="A9" s="49" t="s">
        <v>46</v>
      </c>
      <c r="B9" s="49" t="s">
        <v>47</v>
      </c>
      <c r="C9" s="49" t="s">
        <v>48</v>
      </c>
      <c r="D9" s="49" t="s">
        <v>161</v>
      </c>
      <c r="E9" s="49" t="s">
        <v>162</v>
      </c>
      <c r="F9" s="49" t="s">
        <v>163</v>
      </c>
      <c r="G9" s="49" t="s">
        <v>51</v>
      </c>
      <c r="H9" s="49"/>
      <c r="I9" s="49" t="s">
        <v>164</v>
      </c>
    </row>
    <row r="10" spans="1:9" s="67" customFormat="1" ht="63" x14ac:dyDescent="0.25">
      <c r="A10" s="49"/>
      <c r="B10" s="49"/>
      <c r="C10" s="49"/>
      <c r="D10" s="49"/>
      <c r="E10" s="49"/>
      <c r="F10" s="49"/>
      <c r="G10" s="46" t="s">
        <v>165</v>
      </c>
      <c r="H10" s="46" t="s">
        <v>54</v>
      </c>
      <c r="I10" s="49"/>
    </row>
    <row r="11" spans="1:9" ht="15.75" x14ac:dyDescent="0.25">
      <c r="A11" s="74">
        <v>1</v>
      </c>
      <c r="B11" s="47" t="s">
        <v>95</v>
      </c>
      <c r="C11" s="74"/>
      <c r="D11" s="47">
        <v>96</v>
      </c>
      <c r="E11" s="74"/>
      <c r="F11" s="74">
        <v>15</v>
      </c>
      <c r="G11" s="74"/>
      <c r="H11" s="74"/>
      <c r="I11" s="74"/>
    </row>
    <row r="12" spans="1:9" ht="15.75" x14ac:dyDescent="0.25">
      <c r="A12" s="74">
        <v>2</v>
      </c>
      <c r="B12" s="47" t="s">
        <v>96</v>
      </c>
      <c r="C12" s="74"/>
      <c r="D12" s="47">
        <v>47</v>
      </c>
      <c r="E12" s="74"/>
      <c r="F12" s="74">
        <v>12</v>
      </c>
      <c r="G12" s="74"/>
      <c r="H12" s="74"/>
      <c r="I12" s="74"/>
    </row>
    <row r="13" spans="1:9" ht="15.75" x14ac:dyDescent="0.25">
      <c r="A13" s="74">
        <v>3</v>
      </c>
      <c r="B13" s="47" t="s">
        <v>97</v>
      </c>
      <c r="C13" s="74"/>
      <c r="D13" s="47">
        <v>38</v>
      </c>
      <c r="E13" s="74"/>
      <c r="F13" s="74">
        <v>8</v>
      </c>
      <c r="G13" s="74"/>
      <c r="H13" s="74"/>
      <c r="I13" s="74"/>
    </row>
    <row r="14" spans="1:9" ht="15.75" x14ac:dyDescent="0.25">
      <c r="A14" s="74">
        <v>4</v>
      </c>
      <c r="B14" s="47" t="s">
        <v>97</v>
      </c>
      <c r="C14" s="74"/>
      <c r="D14" s="47">
        <v>46</v>
      </c>
      <c r="E14" s="74"/>
      <c r="F14" s="74">
        <v>11.5</v>
      </c>
      <c r="G14" s="74"/>
      <c r="H14" s="74"/>
      <c r="I14" s="74"/>
    </row>
    <row r="15" spans="1:9" ht="15.75" x14ac:dyDescent="0.25">
      <c r="A15" s="74">
        <v>5</v>
      </c>
      <c r="B15" s="47" t="s">
        <v>98</v>
      </c>
      <c r="C15" s="74"/>
      <c r="D15" s="47">
        <v>53</v>
      </c>
      <c r="E15" s="74"/>
      <c r="F15" s="74">
        <v>13.5</v>
      </c>
      <c r="G15" s="74"/>
      <c r="H15" s="74"/>
      <c r="I15" s="74"/>
    </row>
    <row r="16" spans="1:9" ht="15.75" x14ac:dyDescent="0.25">
      <c r="A16" s="74">
        <v>6</v>
      </c>
      <c r="B16" s="47" t="s">
        <v>99</v>
      </c>
      <c r="C16" s="74"/>
      <c r="D16" s="47">
        <v>73</v>
      </c>
      <c r="E16" s="74"/>
      <c r="F16" s="74">
        <v>15</v>
      </c>
      <c r="G16" s="74"/>
      <c r="H16" s="74"/>
      <c r="I16" s="74"/>
    </row>
    <row r="17" spans="1:9" ht="15.75" x14ac:dyDescent="0.25">
      <c r="A17" s="74">
        <v>7</v>
      </c>
      <c r="B17" s="47" t="s">
        <v>99</v>
      </c>
      <c r="C17" s="74"/>
      <c r="D17" s="47">
        <v>36</v>
      </c>
      <c r="E17" s="74"/>
      <c r="F17" s="74">
        <v>9.5</v>
      </c>
      <c r="G17" s="74"/>
      <c r="H17" s="74"/>
      <c r="I17" s="74"/>
    </row>
    <row r="18" spans="1:9" ht="15.75" x14ac:dyDescent="0.25">
      <c r="A18" s="74">
        <v>8</v>
      </c>
      <c r="B18" s="47" t="s">
        <v>98</v>
      </c>
      <c r="C18" s="74"/>
      <c r="D18" s="47">
        <v>38</v>
      </c>
      <c r="E18" s="74"/>
      <c r="F18" s="74">
        <v>12.5</v>
      </c>
      <c r="G18" s="74"/>
      <c r="H18" s="74"/>
      <c r="I18" s="74"/>
    </row>
    <row r="19" spans="1:9" ht="15.75" x14ac:dyDescent="0.25">
      <c r="A19" s="74">
        <v>9</v>
      </c>
      <c r="B19" s="47" t="s">
        <v>100</v>
      </c>
      <c r="C19" s="74"/>
      <c r="D19" s="47">
        <v>33</v>
      </c>
      <c r="E19" s="74"/>
      <c r="F19" s="74">
        <v>6.5</v>
      </c>
      <c r="G19" s="74"/>
      <c r="H19" s="74"/>
      <c r="I19" s="74"/>
    </row>
    <row r="20" spans="1:9" ht="15.75" x14ac:dyDescent="0.25">
      <c r="A20" s="74">
        <v>10</v>
      </c>
      <c r="B20" s="47" t="s">
        <v>99</v>
      </c>
      <c r="C20" s="74"/>
      <c r="D20" s="47">
        <v>48</v>
      </c>
      <c r="E20" s="74"/>
      <c r="F20" s="74">
        <v>10</v>
      </c>
      <c r="G20" s="74"/>
      <c r="H20" s="74"/>
      <c r="I20" s="74"/>
    </row>
    <row r="21" spans="1:9" ht="15.75" x14ac:dyDescent="0.25">
      <c r="A21" s="74">
        <v>11</v>
      </c>
      <c r="B21" s="47" t="s">
        <v>97</v>
      </c>
      <c r="C21" s="74"/>
      <c r="D21" s="47">
        <v>36</v>
      </c>
      <c r="E21" s="74"/>
      <c r="F21" s="74">
        <v>8</v>
      </c>
      <c r="G21" s="74"/>
      <c r="H21" s="74"/>
      <c r="I21" s="74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17" right="0.17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171B-A3AA-4B75-8BA0-F6502A1CF866}">
  <dimension ref="A1:Q10"/>
  <sheetViews>
    <sheetView workbookViewId="0">
      <selection activeCell="C24" sqref="C24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6" customFormat="1" ht="20.25" x14ac:dyDescent="0.25">
      <c r="A1" s="75" t="s">
        <v>166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s="76" customFormat="1" ht="20.25" x14ac:dyDescent="0.25">
      <c r="A2" s="75" t="s">
        <v>167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s="76" customFormat="1" x14ac:dyDescent="0.25">
      <c r="A3" s="77"/>
    </row>
    <row r="4" spans="1:17" s="76" customFormat="1" ht="15.75" thickBot="1" x14ac:dyDescent="0.3">
      <c r="A4" s="77"/>
    </row>
    <row r="5" spans="1:17" s="76" customFormat="1" ht="16.5" thickBot="1" x14ac:dyDescent="0.3">
      <c r="A5" s="78" t="s">
        <v>46</v>
      </c>
      <c r="B5" s="78" t="s">
        <v>47</v>
      </c>
      <c r="C5" s="78" t="s">
        <v>48</v>
      </c>
      <c r="D5" s="78" t="s">
        <v>168</v>
      </c>
      <c r="E5" s="79" t="s">
        <v>169</v>
      </c>
      <c r="F5" s="80"/>
      <c r="G5" s="80"/>
      <c r="H5" s="80"/>
      <c r="I5" s="80"/>
      <c r="J5" s="80"/>
      <c r="K5" s="80"/>
      <c r="L5" s="80"/>
      <c r="M5" s="81"/>
      <c r="N5" s="78" t="s">
        <v>170</v>
      </c>
      <c r="O5" s="79" t="s">
        <v>171</v>
      </c>
      <c r="P5" s="81"/>
      <c r="Q5" s="78" t="s">
        <v>172</v>
      </c>
    </row>
    <row r="6" spans="1:17" s="76" customFormat="1" ht="15.75" x14ac:dyDescent="0.25">
      <c r="A6" s="82"/>
      <c r="B6" s="82"/>
      <c r="C6" s="82"/>
      <c r="D6" s="82"/>
      <c r="E6" s="83" t="s">
        <v>173</v>
      </c>
      <c r="F6" s="84"/>
      <c r="G6" s="85"/>
      <c r="H6" s="83" t="s">
        <v>174</v>
      </c>
      <c r="I6" s="84"/>
      <c r="J6" s="85"/>
      <c r="K6" s="83" t="s">
        <v>175</v>
      </c>
      <c r="L6" s="84"/>
      <c r="M6" s="85"/>
      <c r="N6" s="82"/>
      <c r="O6" s="78" t="s">
        <v>176</v>
      </c>
      <c r="P6" s="78" t="s">
        <v>177</v>
      </c>
      <c r="Q6" s="82"/>
    </row>
    <row r="7" spans="1:17" s="76" customFormat="1" ht="16.5" thickBot="1" x14ac:dyDescent="0.3">
      <c r="A7" s="82"/>
      <c r="B7" s="82"/>
      <c r="C7" s="86"/>
      <c r="D7" s="82"/>
      <c r="E7" s="87" t="s">
        <v>178</v>
      </c>
      <c r="F7" s="88"/>
      <c r="G7" s="89"/>
      <c r="H7" s="87" t="s">
        <v>179</v>
      </c>
      <c r="I7" s="88"/>
      <c r="J7" s="89"/>
      <c r="K7" s="87" t="s">
        <v>178</v>
      </c>
      <c r="L7" s="88"/>
      <c r="M7" s="89"/>
      <c r="N7" s="82"/>
      <c r="O7" s="82"/>
      <c r="P7" s="82"/>
      <c r="Q7" s="82"/>
    </row>
    <row r="8" spans="1:17" s="76" customFormat="1" ht="16.5" thickBot="1" x14ac:dyDescent="0.3">
      <c r="A8" s="90"/>
      <c r="B8" s="90"/>
      <c r="C8" s="90"/>
      <c r="D8" s="90"/>
      <c r="E8" s="91" t="s">
        <v>180</v>
      </c>
      <c r="F8" s="91" t="s">
        <v>181</v>
      </c>
      <c r="G8" s="91" t="s">
        <v>182</v>
      </c>
      <c r="H8" s="91" t="s">
        <v>180</v>
      </c>
      <c r="I8" s="91" t="s">
        <v>181</v>
      </c>
      <c r="J8" s="91" t="s">
        <v>182</v>
      </c>
      <c r="K8" s="91" t="s">
        <v>180</v>
      </c>
      <c r="L8" s="91" t="s">
        <v>181</v>
      </c>
      <c r="M8" s="91" t="s">
        <v>182</v>
      </c>
      <c r="N8" s="90"/>
      <c r="O8" s="90"/>
      <c r="P8" s="90"/>
      <c r="Q8" s="90"/>
    </row>
    <row r="9" spans="1:17" s="76" customFormat="1" ht="15.75" x14ac:dyDescent="0.25">
      <c r="A9" s="46">
        <v>1</v>
      </c>
      <c r="B9" s="92" t="s">
        <v>183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  <row r="10" spans="1:17" s="76" customFormat="1" x14ac:dyDescent="0.25"/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view="pageBreakPreview" topLeftCell="A13" zoomScaleSheetLayoutView="100" workbookViewId="0">
      <selection activeCell="B6" sqref="B6"/>
    </sheetView>
  </sheetViews>
  <sheetFormatPr defaultColWidth="9.140625" defaultRowHeight="15.75" x14ac:dyDescent="0.25"/>
  <cols>
    <col min="1" max="1" width="6.85546875" style="13" bestFit="1" customWidth="1"/>
    <col min="2" max="2" width="22" style="13" bestFit="1" customWidth="1"/>
    <col min="3" max="3" width="17" style="13" bestFit="1" customWidth="1"/>
    <col min="4" max="4" width="9.28515625" style="13" customWidth="1"/>
    <col min="5" max="5" width="7.7109375" style="13" customWidth="1"/>
    <col min="6" max="7" width="9.140625" style="13"/>
    <col min="8" max="8" width="17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54" t="s">
        <v>43</v>
      </c>
      <c r="B1" s="54"/>
      <c r="C1" s="54"/>
      <c r="D1" s="54"/>
      <c r="E1" s="54"/>
      <c r="F1" s="54"/>
      <c r="G1" s="54"/>
      <c r="H1" s="54"/>
    </row>
    <row r="2" spans="1:8" s="25" customFormat="1" x14ac:dyDescent="0.25">
      <c r="B2" s="26" t="s">
        <v>44</v>
      </c>
      <c r="F2" s="55" t="s">
        <v>45</v>
      </c>
      <c r="G2" s="55"/>
      <c r="H2" s="55"/>
    </row>
    <row r="3" spans="1:8" x14ac:dyDescent="0.25">
      <c r="A3" s="56" t="s">
        <v>46</v>
      </c>
      <c r="B3" s="56" t="s">
        <v>47</v>
      </c>
      <c r="C3" s="56" t="s">
        <v>48</v>
      </c>
      <c r="D3" s="56" t="s">
        <v>49</v>
      </c>
      <c r="E3" s="56" t="s">
        <v>50</v>
      </c>
      <c r="F3" s="58" t="s">
        <v>51</v>
      </c>
      <c r="G3" s="58"/>
      <c r="H3" s="56" t="s">
        <v>52</v>
      </c>
    </row>
    <row r="4" spans="1:8" ht="63" x14ac:dyDescent="0.25">
      <c r="A4" s="57"/>
      <c r="B4" s="57"/>
      <c r="C4" s="57"/>
      <c r="D4" s="57"/>
      <c r="E4" s="57"/>
      <c r="F4" s="18" t="s">
        <v>53</v>
      </c>
      <c r="G4" s="18" t="s">
        <v>54</v>
      </c>
      <c r="H4" s="57"/>
    </row>
    <row r="5" spans="1:8" x14ac:dyDescent="0.25">
      <c r="A5" s="11">
        <v>1</v>
      </c>
      <c r="B5" s="12" t="s">
        <v>97</v>
      </c>
      <c r="C5" s="12" t="s">
        <v>135</v>
      </c>
      <c r="D5" s="12">
        <v>2.2000000000000002</v>
      </c>
      <c r="E5" s="12">
        <v>3</v>
      </c>
      <c r="F5" s="12" t="s">
        <v>146</v>
      </c>
      <c r="G5" s="12">
        <v>7</v>
      </c>
      <c r="H5" s="12"/>
    </row>
    <row r="6" spans="1:8" x14ac:dyDescent="0.25">
      <c r="A6" s="11">
        <v>2</v>
      </c>
      <c r="B6" s="12" t="s">
        <v>100</v>
      </c>
      <c r="C6" s="12" t="s">
        <v>136</v>
      </c>
      <c r="D6" s="12">
        <v>2.5</v>
      </c>
      <c r="E6" s="12">
        <v>3.5</v>
      </c>
      <c r="F6" s="12" t="s">
        <v>146</v>
      </c>
      <c r="G6" s="12">
        <v>8</v>
      </c>
      <c r="H6" s="12"/>
    </row>
    <row r="7" spans="1:8" x14ac:dyDescent="0.25">
      <c r="A7" s="11">
        <v>3</v>
      </c>
      <c r="B7" s="12" t="s">
        <v>107</v>
      </c>
      <c r="C7" s="12"/>
      <c r="D7" s="12">
        <v>3.5</v>
      </c>
      <c r="E7" s="12">
        <v>5</v>
      </c>
      <c r="F7" s="12" t="s">
        <v>146</v>
      </c>
      <c r="G7" s="12">
        <v>18</v>
      </c>
      <c r="H7" s="12"/>
    </row>
    <row r="8" spans="1:8" x14ac:dyDescent="0.25">
      <c r="A8" s="27"/>
      <c r="B8" s="28"/>
      <c r="C8" s="29"/>
      <c r="D8" s="30"/>
      <c r="E8" s="31"/>
    </row>
    <row r="9" spans="1:8" x14ac:dyDescent="0.25">
      <c r="A9" s="58" t="s">
        <v>55</v>
      </c>
      <c r="B9" s="58"/>
      <c r="C9" s="58"/>
      <c r="D9" s="58"/>
      <c r="E9" s="58"/>
      <c r="F9" s="58"/>
      <c r="G9" s="58"/>
      <c r="H9" s="58"/>
    </row>
    <row r="10" spans="1:8" x14ac:dyDescent="0.25">
      <c r="A10" s="11">
        <v>1</v>
      </c>
      <c r="B10" s="59" t="s">
        <v>56</v>
      </c>
      <c r="C10" s="59"/>
      <c r="D10" s="59"/>
      <c r="E10" s="59"/>
      <c r="F10" s="59"/>
      <c r="G10" s="59"/>
      <c r="H10" s="32" t="s">
        <v>134</v>
      </c>
    </row>
    <row r="11" spans="1:8" x14ac:dyDescent="0.25">
      <c r="A11" s="11">
        <v>2</v>
      </c>
      <c r="B11" s="59" t="s">
        <v>57</v>
      </c>
      <c r="C11" s="59"/>
      <c r="D11" s="59"/>
      <c r="E11" s="59"/>
      <c r="F11" s="59"/>
      <c r="G11" s="59"/>
      <c r="H11" s="32" t="s">
        <v>133</v>
      </c>
    </row>
    <row r="12" spans="1:8" x14ac:dyDescent="0.25">
      <c r="A12" s="11">
        <v>3</v>
      </c>
      <c r="B12" s="59" t="s">
        <v>58</v>
      </c>
      <c r="C12" s="59"/>
      <c r="D12" s="59"/>
      <c r="E12" s="59"/>
      <c r="F12" s="59"/>
      <c r="G12" s="59"/>
      <c r="H12" s="32">
        <v>0</v>
      </c>
    </row>
    <row r="13" spans="1:8" x14ac:dyDescent="0.25">
      <c r="A13" s="27"/>
      <c r="B13" s="27"/>
      <c r="C13" s="27"/>
      <c r="D13" s="27"/>
      <c r="E13" s="27"/>
      <c r="F13" s="27"/>
      <c r="G13" s="27"/>
      <c r="H13" s="33"/>
    </row>
    <row r="14" spans="1:8" x14ac:dyDescent="0.25">
      <c r="B14" s="34" t="str">
        <f>B2</f>
        <v xml:space="preserve">    Grid No:  </v>
      </c>
      <c r="F14" s="34" t="s">
        <v>59</v>
      </c>
      <c r="G14" s="34"/>
    </row>
    <row r="15" spans="1:8" x14ac:dyDescent="0.25">
      <c r="A15" s="58" t="s">
        <v>46</v>
      </c>
      <c r="B15" s="58" t="s">
        <v>47</v>
      </c>
      <c r="C15" s="58" t="s">
        <v>48</v>
      </c>
      <c r="D15" s="56" t="s">
        <v>49</v>
      </c>
      <c r="E15" s="58" t="s">
        <v>50</v>
      </c>
      <c r="F15" s="58" t="s">
        <v>51</v>
      </c>
      <c r="G15" s="58"/>
      <c r="H15" s="58" t="s">
        <v>52</v>
      </c>
    </row>
    <row r="16" spans="1:8" ht="63" x14ac:dyDescent="0.25">
      <c r="A16" s="58"/>
      <c r="B16" s="58"/>
      <c r="C16" s="58"/>
      <c r="D16" s="57"/>
      <c r="E16" s="58"/>
      <c r="F16" s="18" t="s">
        <v>53</v>
      </c>
      <c r="G16" s="18" t="s">
        <v>54</v>
      </c>
      <c r="H16" s="58"/>
    </row>
    <row r="17" spans="1:8" x14ac:dyDescent="0.25">
      <c r="A17" s="11">
        <v>1</v>
      </c>
      <c r="B17" s="18" t="s">
        <v>109</v>
      </c>
      <c r="C17" s="18" t="s">
        <v>140</v>
      </c>
      <c r="D17" s="18">
        <v>3</v>
      </c>
      <c r="E17" s="18">
        <v>4</v>
      </c>
      <c r="F17" s="18" t="s">
        <v>147</v>
      </c>
      <c r="G17" s="18">
        <v>13</v>
      </c>
      <c r="H17" s="18"/>
    </row>
    <row r="18" spans="1:8" x14ac:dyDescent="0.25">
      <c r="A18" s="11">
        <v>2</v>
      </c>
      <c r="B18" s="18" t="s">
        <v>110</v>
      </c>
      <c r="C18" s="18" t="s">
        <v>137</v>
      </c>
      <c r="D18" s="18">
        <v>4.5</v>
      </c>
      <c r="E18" s="18">
        <v>16</v>
      </c>
      <c r="F18" s="18" t="s">
        <v>148</v>
      </c>
      <c r="G18" s="18">
        <v>65</v>
      </c>
      <c r="H18" s="18"/>
    </row>
    <row r="19" spans="1:8" x14ac:dyDescent="0.25">
      <c r="A19" s="11">
        <v>3</v>
      </c>
      <c r="B19" s="18" t="s">
        <v>111</v>
      </c>
      <c r="C19" s="18"/>
      <c r="D19" s="18">
        <v>2.5</v>
      </c>
      <c r="E19" s="18">
        <v>4</v>
      </c>
      <c r="F19" s="18" t="s">
        <v>149</v>
      </c>
      <c r="G19" s="18">
        <v>10</v>
      </c>
      <c r="H19" s="18"/>
    </row>
    <row r="20" spans="1:8" x14ac:dyDescent="0.25">
      <c r="A20" s="27"/>
      <c r="B20" s="35"/>
      <c r="C20" s="36"/>
      <c r="D20" s="27"/>
      <c r="E20" s="27"/>
      <c r="F20" s="27"/>
      <c r="G20" s="27"/>
      <c r="H20" s="27"/>
    </row>
    <row r="21" spans="1:8" x14ac:dyDescent="0.25">
      <c r="A21" s="58" t="s">
        <v>55</v>
      </c>
      <c r="B21" s="58"/>
      <c r="C21" s="58"/>
      <c r="D21" s="58"/>
      <c r="E21" s="58"/>
      <c r="F21" s="58"/>
      <c r="G21" s="58"/>
      <c r="H21" s="58"/>
    </row>
    <row r="22" spans="1:8" x14ac:dyDescent="0.25">
      <c r="A22" s="11">
        <v>1</v>
      </c>
      <c r="B22" s="59" t="s">
        <v>56</v>
      </c>
      <c r="C22" s="59"/>
      <c r="D22" s="59"/>
      <c r="E22" s="59"/>
      <c r="F22" s="59"/>
      <c r="G22" s="59"/>
      <c r="H22" s="24" t="s">
        <v>132</v>
      </c>
    </row>
    <row r="23" spans="1:8" x14ac:dyDescent="0.25">
      <c r="A23" s="11">
        <v>2</v>
      </c>
      <c r="B23" s="59" t="s">
        <v>57</v>
      </c>
      <c r="C23" s="59"/>
      <c r="D23" s="59"/>
      <c r="E23" s="59"/>
      <c r="F23" s="59"/>
      <c r="G23" s="59"/>
      <c r="H23" s="11" t="s">
        <v>112</v>
      </c>
    </row>
    <row r="24" spans="1:8" x14ac:dyDescent="0.25">
      <c r="A24" s="11">
        <v>3</v>
      </c>
      <c r="B24" s="59" t="s">
        <v>58</v>
      </c>
      <c r="C24" s="59"/>
      <c r="D24" s="59"/>
      <c r="E24" s="59"/>
      <c r="F24" s="59"/>
      <c r="G24" s="59"/>
      <c r="H24" s="11" t="s">
        <v>108</v>
      </c>
    </row>
    <row r="25" spans="1:8" x14ac:dyDescent="0.25">
      <c r="A25" s="27"/>
      <c r="B25" s="36"/>
      <c r="C25" s="36"/>
      <c r="D25" s="36"/>
      <c r="E25" s="36"/>
      <c r="F25" s="36"/>
      <c r="G25" s="36"/>
      <c r="H25" s="33"/>
    </row>
    <row r="26" spans="1:8" x14ac:dyDescent="0.25">
      <c r="B26" s="34" t="str">
        <f>B2</f>
        <v xml:space="preserve">    Grid No:  </v>
      </c>
      <c r="F26" s="26" t="s">
        <v>73</v>
      </c>
      <c r="G26" s="26"/>
    </row>
    <row r="27" spans="1:8" x14ac:dyDescent="0.25">
      <c r="A27" s="58" t="s">
        <v>46</v>
      </c>
      <c r="B27" s="58" t="s">
        <v>47</v>
      </c>
      <c r="C27" s="58" t="s">
        <v>48</v>
      </c>
      <c r="D27" s="56" t="s">
        <v>49</v>
      </c>
      <c r="E27" s="58" t="s">
        <v>50</v>
      </c>
      <c r="F27" s="58" t="s">
        <v>51</v>
      </c>
      <c r="G27" s="58"/>
      <c r="H27" s="58" t="s">
        <v>52</v>
      </c>
    </row>
    <row r="28" spans="1:8" ht="63" x14ac:dyDescent="0.25">
      <c r="A28" s="58"/>
      <c r="B28" s="58"/>
      <c r="C28" s="58"/>
      <c r="D28" s="57"/>
      <c r="E28" s="58"/>
      <c r="F28" s="18" t="s">
        <v>53</v>
      </c>
      <c r="G28" s="18" t="s">
        <v>54</v>
      </c>
      <c r="H28" s="58"/>
    </row>
    <row r="29" spans="1:8" s="25" customFormat="1" x14ac:dyDescent="0.25">
      <c r="A29" s="11">
        <v>1</v>
      </c>
      <c r="B29" s="37" t="s">
        <v>113</v>
      </c>
      <c r="C29" s="11" t="s">
        <v>138</v>
      </c>
      <c r="D29" s="11">
        <v>2.2999999999999998</v>
      </c>
      <c r="E29" s="11">
        <v>3</v>
      </c>
      <c r="F29" s="11" t="s">
        <v>147</v>
      </c>
      <c r="G29" s="11">
        <v>7</v>
      </c>
      <c r="H29" s="11"/>
    </row>
    <row r="30" spans="1:8" s="25" customFormat="1" x14ac:dyDescent="0.25">
      <c r="A30" s="11">
        <v>2</v>
      </c>
      <c r="B30" s="37" t="s">
        <v>97</v>
      </c>
      <c r="C30" s="11" t="s">
        <v>135</v>
      </c>
      <c r="D30" s="11">
        <v>3.5</v>
      </c>
      <c r="E30" s="11">
        <v>4</v>
      </c>
      <c r="F30" s="11" t="s">
        <v>146</v>
      </c>
      <c r="G30" s="11">
        <v>13</v>
      </c>
      <c r="H30" s="11"/>
    </row>
    <row r="31" spans="1:8" s="25" customFormat="1" x14ac:dyDescent="0.25">
      <c r="A31" s="11">
        <v>3</v>
      </c>
      <c r="B31" s="37" t="s">
        <v>97</v>
      </c>
      <c r="C31" s="11" t="s">
        <v>135</v>
      </c>
      <c r="D31" s="11">
        <v>2.2000000000000002</v>
      </c>
      <c r="E31" s="11">
        <v>3.2</v>
      </c>
      <c r="F31" s="11" t="s">
        <v>146</v>
      </c>
      <c r="G31" s="11">
        <v>8</v>
      </c>
      <c r="H31" s="11"/>
    </row>
    <row r="32" spans="1:8" x14ac:dyDescent="0.25">
      <c r="A32" s="27"/>
      <c r="B32" s="27"/>
      <c r="C32" s="27"/>
      <c r="D32" s="27"/>
      <c r="E32" s="27"/>
      <c r="F32" s="27"/>
      <c r="G32" s="27"/>
      <c r="H32" s="27"/>
    </row>
    <row r="33" spans="1:8" x14ac:dyDescent="0.25">
      <c r="B33" s="34" t="str">
        <f>B2</f>
        <v xml:space="preserve">    Grid No:  </v>
      </c>
      <c r="F33" s="60" t="s">
        <v>74</v>
      </c>
      <c r="G33" s="60"/>
      <c r="H33" s="60"/>
    </row>
    <row r="34" spans="1:8" x14ac:dyDescent="0.25">
      <c r="A34" s="56" t="s">
        <v>46</v>
      </c>
      <c r="B34" s="56" t="s">
        <v>47</v>
      </c>
      <c r="C34" s="56" t="s">
        <v>48</v>
      </c>
      <c r="D34" s="56" t="s">
        <v>49</v>
      </c>
      <c r="E34" s="56" t="s">
        <v>50</v>
      </c>
      <c r="F34" s="61" t="s">
        <v>51</v>
      </c>
      <c r="G34" s="62"/>
      <c r="H34" s="56" t="s">
        <v>52</v>
      </c>
    </row>
    <row r="35" spans="1:8" ht="63" x14ac:dyDescent="0.25">
      <c r="A35" s="57"/>
      <c r="B35" s="57"/>
      <c r="C35" s="57"/>
      <c r="D35" s="57"/>
      <c r="E35" s="57"/>
      <c r="F35" s="18" t="s">
        <v>53</v>
      </c>
      <c r="G35" s="18" t="s">
        <v>54</v>
      </c>
      <c r="H35" s="57"/>
    </row>
    <row r="36" spans="1:8" s="25" customFormat="1" x14ac:dyDescent="0.25">
      <c r="A36" s="38">
        <v>1</v>
      </c>
      <c r="B36" s="37" t="s">
        <v>115</v>
      </c>
      <c r="C36" s="11" t="s">
        <v>141</v>
      </c>
      <c r="D36" s="38">
        <v>2.2000000000000002</v>
      </c>
      <c r="E36" s="39">
        <v>0.8</v>
      </c>
      <c r="F36" s="23" t="s">
        <v>150</v>
      </c>
      <c r="G36" s="23">
        <v>3</v>
      </c>
      <c r="H36" s="23"/>
    </row>
    <row r="37" spans="1:8" s="25" customFormat="1" x14ac:dyDescent="0.25">
      <c r="A37" s="38">
        <v>2</v>
      </c>
      <c r="B37" s="37" t="s">
        <v>114</v>
      </c>
      <c r="C37" s="11" t="s">
        <v>139</v>
      </c>
      <c r="D37" s="38">
        <v>3.5</v>
      </c>
      <c r="E37" s="39">
        <v>4</v>
      </c>
      <c r="F37" s="23" t="s">
        <v>151</v>
      </c>
      <c r="G37" s="23">
        <v>13</v>
      </c>
      <c r="H37" s="23"/>
    </row>
  </sheetData>
  <mergeCells count="39">
    <mergeCell ref="H27:H28"/>
    <mergeCell ref="F33:H33"/>
    <mergeCell ref="A34:A35"/>
    <mergeCell ref="B34:B35"/>
    <mergeCell ref="C34:C35"/>
    <mergeCell ref="D34:D35"/>
    <mergeCell ref="E34:E35"/>
    <mergeCell ref="F34:G34"/>
    <mergeCell ref="H34:H35"/>
    <mergeCell ref="A27:A28"/>
    <mergeCell ref="B27:B28"/>
    <mergeCell ref="C27:C28"/>
    <mergeCell ref="D27:D28"/>
    <mergeCell ref="E27:E28"/>
    <mergeCell ref="F27:G27"/>
    <mergeCell ref="H15:H16"/>
    <mergeCell ref="A21:H21"/>
    <mergeCell ref="B22:G22"/>
    <mergeCell ref="B23:G23"/>
    <mergeCell ref="B24:G24"/>
    <mergeCell ref="A15:A16"/>
    <mergeCell ref="B15:B16"/>
    <mergeCell ref="C15:C16"/>
    <mergeCell ref="D15:D16"/>
    <mergeCell ref="E15:E16"/>
    <mergeCell ref="F15:G15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9:H9"/>
    <mergeCell ref="B10:G10"/>
    <mergeCell ref="B11:G11"/>
    <mergeCell ref="B12:G12"/>
  </mergeCells>
  <printOptions horizontalCentered="1"/>
  <pageMargins left="0.15748031496062992" right="0.23622047244094491" top="0.39370078740157483" bottom="0.27559055118110237" header="0.15748031496062992" footer="0.15748031496062992"/>
  <pageSetup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tabSelected="1" view="pageBreakPreview" zoomScale="85" zoomScaleNormal="85" zoomScaleSheetLayoutView="85" workbookViewId="0">
      <selection activeCell="B6" sqref="B6"/>
    </sheetView>
  </sheetViews>
  <sheetFormatPr defaultColWidth="9.140625" defaultRowHeight="15.75" x14ac:dyDescent="0.25"/>
  <cols>
    <col min="1" max="1" width="6.5703125" style="13" customWidth="1"/>
    <col min="2" max="2" width="31.5703125" style="13" bestFit="1" customWidth="1"/>
    <col min="3" max="3" width="13.140625" style="29" bestFit="1" customWidth="1"/>
    <col min="4" max="4" width="9.140625" style="13"/>
    <col min="5" max="6" width="10.28515625" style="13" customWidth="1"/>
    <col min="7" max="7" width="20.140625" style="13" customWidth="1"/>
    <col min="8" max="16384" width="9.140625" style="13"/>
  </cols>
  <sheetData>
    <row r="1" spans="1:7" x14ac:dyDescent="0.25">
      <c r="A1" s="54" t="s">
        <v>60</v>
      </c>
      <c r="B1" s="54"/>
      <c r="C1" s="54"/>
      <c r="D1" s="54"/>
      <c r="E1" s="54"/>
      <c r="F1" s="54"/>
      <c r="G1" s="54"/>
    </row>
    <row r="2" spans="1:7" x14ac:dyDescent="0.25">
      <c r="E2" s="55" t="s">
        <v>45</v>
      </c>
      <c r="F2" s="55"/>
      <c r="G2" s="55"/>
    </row>
    <row r="3" spans="1:7" x14ac:dyDescent="0.25">
      <c r="A3" s="58" t="s">
        <v>46</v>
      </c>
      <c r="B3" s="58" t="s">
        <v>47</v>
      </c>
      <c r="C3" s="53" t="s">
        <v>48</v>
      </c>
      <c r="D3" s="58" t="s">
        <v>61</v>
      </c>
      <c r="E3" s="58" t="s">
        <v>51</v>
      </c>
      <c r="F3" s="58"/>
      <c r="G3" s="58" t="s">
        <v>62</v>
      </c>
    </row>
    <row r="4" spans="1:7" ht="31.5" x14ac:dyDescent="0.25">
      <c r="A4" s="58"/>
      <c r="B4" s="58"/>
      <c r="C4" s="53"/>
      <c r="D4" s="58"/>
      <c r="E4" s="18" t="s">
        <v>63</v>
      </c>
      <c r="F4" s="18" t="s">
        <v>64</v>
      </c>
      <c r="G4" s="58"/>
    </row>
    <row r="5" spans="1:7" x14ac:dyDescent="0.25">
      <c r="A5" s="58"/>
      <c r="B5" s="58"/>
      <c r="C5" s="53"/>
      <c r="D5" s="58"/>
      <c r="E5" s="18" t="s">
        <v>65</v>
      </c>
      <c r="F5" s="18" t="s">
        <v>71</v>
      </c>
      <c r="G5" s="58"/>
    </row>
    <row r="6" spans="1:7" x14ac:dyDescent="0.25">
      <c r="A6" s="11">
        <v>1</v>
      </c>
      <c r="B6" s="18" t="s">
        <v>101</v>
      </c>
      <c r="C6" s="40"/>
      <c r="D6" s="18">
        <v>60</v>
      </c>
      <c r="E6" s="18" t="s">
        <v>146</v>
      </c>
      <c r="F6" s="18">
        <v>220</v>
      </c>
      <c r="G6" s="18"/>
    </row>
    <row r="7" spans="1:7" x14ac:dyDescent="0.25">
      <c r="A7" s="11">
        <v>2</v>
      </c>
      <c r="B7" s="18" t="s">
        <v>102</v>
      </c>
      <c r="C7" s="40" t="s">
        <v>142</v>
      </c>
      <c r="D7" s="18">
        <v>83</v>
      </c>
      <c r="E7" s="18" t="s">
        <v>147</v>
      </c>
      <c r="F7" s="18">
        <v>350</v>
      </c>
      <c r="G7" s="18"/>
    </row>
    <row r="8" spans="1:7" x14ac:dyDescent="0.25">
      <c r="A8" s="11">
        <v>3</v>
      </c>
      <c r="B8" s="18" t="s">
        <v>103</v>
      </c>
      <c r="C8" s="40" t="s">
        <v>143</v>
      </c>
      <c r="D8" s="18">
        <v>100</v>
      </c>
      <c r="E8" s="18" t="s">
        <v>148</v>
      </c>
      <c r="F8" s="18">
        <v>450</v>
      </c>
      <c r="G8" s="18"/>
    </row>
    <row r="9" spans="1:7" x14ac:dyDescent="0.25">
      <c r="A9" s="11">
        <v>4</v>
      </c>
      <c r="B9" s="18" t="s">
        <v>104</v>
      </c>
      <c r="C9" s="40" t="s">
        <v>144</v>
      </c>
      <c r="D9" s="18">
        <v>120</v>
      </c>
      <c r="E9" s="18" t="s">
        <v>147</v>
      </c>
      <c r="F9" s="18">
        <v>460</v>
      </c>
      <c r="G9" s="18"/>
    </row>
    <row r="10" spans="1:7" x14ac:dyDescent="0.25">
      <c r="A10" s="11">
        <v>5</v>
      </c>
      <c r="B10" s="18" t="s">
        <v>104</v>
      </c>
      <c r="C10" s="40" t="s">
        <v>144</v>
      </c>
      <c r="D10" s="18">
        <v>100</v>
      </c>
      <c r="E10" s="18" t="s">
        <v>147</v>
      </c>
      <c r="F10" s="18">
        <v>430</v>
      </c>
      <c r="G10" s="18"/>
    </row>
    <row r="11" spans="1:7" x14ac:dyDescent="0.25">
      <c r="A11" s="58" t="s">
        <v>55</v>
      </c>
      <c r="B11" s="58"/>
      <c r="C11" s="58"/>
      <c r="D11" s="58"/>
      <c r="E11" s="58"/>
      <c r="F11" s="58"/>
      <c r="G11" s="58"/>
    </row>
    <row r="12" spans="1:7" x14ac:dyDescent="0.25">
      <c r="A12" s="27"/>
      <c r="B12" s="33"/>
      <c r="C12" s="36"/>
      <c r="D12" s="27"/>
      <c r="E12" s="33"/>
      <c r="F12" s="33"/>
      <c r="G12" s="33"/>
    </row>
    <row r="13" spans="1:7" s="25" customFormat="1" x14ac:dyDescent="0.25">
      <c r="B13" s="41" t="s">
        <v>67</v>
      </c>
      <c r="C13" s="42"/>
      <c r="E13" s="54" t="s">
        <v>68</v>
      </c>
      <c r="F13" s="54"/>
      <c r="G13" s="54"/>
    </row>
    <row r="14" spans="1:7" x14ac:dyDescent="0.25">
      <c r="A14" s="58" t="s">
        <v>46</v>
      </c>
      <c r="B14" s="58" t="s">
        <v>47</v>
      </c>
      <c r="C14" s="63" t="s">
        <v>48</v>
      </c>
      <c r="D14" s="58" t="s">
        <v>61</v>
      </c>
      <c r="E14" s="58" t="s">
        <v>51</v>
      </c>
      <c r="F14" s="58"/>
      <c r="G14" s="58" t="s">
        <v>62</v>
      </c>
    </row>
    <row r="15" spans="1:7" ht="31.5" x14ac:dyDescent="0.25">
      <c r="A15" s="58"/>
      <c r="B15" s="58"/>
      <c r="C15" s="64"/>
      <c r="D15" s="58"/>
      <c r="E15" s="18" t="s">
        <v>63</v>
      </c>
      <c r="F15" s="18" t="s">
        <v>64</v>
      </c>
      <c r="G15" s="58"/>
    </row>
    <row r="16" spans="1:7" ht="31.5" x14ac:dyDescent="0.25">
      <c r="A16" s="58"/>
      <c r="B16" s="58"/>
      <c r="C16" s="65"/>
      <c r="D16" s="58"/>
      <c r="E16" s="18" t="s">
        <v>65</v>
      </c>
      <c r="F16" s="18" t="s">
        <v>66</v>
      </c>
      <c r="G16" s="58"/>
    </row>
    <row r="17" spans="1:7" s="25" customFormat="1" x14ac:dyDescent="0.25">
      <c r="A17" s="38">
        <v>1</v>
      </c>
      <c r="B17" s="23" t="s">
        <v>105</v>
      </c>
      <c r="C17" s="43"/>
      <c r="D17" s="38">
        <v>80</v>
      </c>
      <c r="E17" s="23" t="s">
        <v>146</v>
      </c>
      <c r="F17" s="23">
        <v>380</v>
      </c>
      <c r="G17" s="23"/>
    </row>
    <row r="18" spans="1:7" s="25" customFormat="1" x14ac:dyDescent="0.25">
      <c r="A18" s="38">
        <v>2</v>
      </c>
      <c r="B18" s="23" t="s">
        <v>106</v>
      </c>
      <c r="C18" s="43" t="s">
        <v>145</v>
      </c>
      <c r="D18" s="38">
        <v>30</v>
      </c>
      <c r="E18" s="23" t="s">
        <v>149</v>
      </c>
      <c r="F18" s="23">
        <v>170</v>
      </c>
      <c r="G18" s="23"/>
    </row>
    <row r="19" spans="1:7" s="25" customFormat="1" x14ac:dyDescent="0.25">
      <c r="A19" s="38">
        <v>3</v>
      </c>
      <c r="B19" s="23" t="s">
        <v>106</v>
      </c>
      <c r="C19" s="43" t="s">
        <v>145</v>
      </c>
      <c r="D19" s="38">
        <v>45</v>
      </c>
      <c r="E19" s="23" t="s">
        <v>149</v>
      </c>
      <c r="F19" s="23">
        <v>220</v>
      </c>
      <c r="G19" s="23"/>
    </row>
  </sheetData>
  <mergeCells count="16">
    <mergeCell ref="A11:G11"/>
    <mergeCell ref="E13:G13"/>
    <mergeCell ref="A14:A16"/>
    <mergeCell ref="B14:B16"/>
    <mergeCell ref="C14:C16"/>
    <mergeCell ref="D14:D16"/>
    <mergeCell ref="E14:F14"/>
    <mergeCell ref="G14:G16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2024-10-24T11:58:10Z</cp:lastPrinted>
  <dcterms:created xsi:type="dcterms:W3CDTF">2023-09-21T06:16:02Z</dcterms:created>
  <dcterms:modified xsi:type="dcterms:W3CDTF">2024-10-24T11:58:11Z</dcterms:modified>
</cp:coreProperties>
</file>