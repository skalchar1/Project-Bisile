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dhu\RFO Documnets\Naveen Sir RFO\187 Format\F Charmady kanapady RF\II-5\"/>
    </mc:Choice>
  </mc:AlternateContent>
  <xr:revisionPtr revIDLastSave="0" documentId="13_ncr:1_{2E7F4011-3833-45C8-9F5F-FF774F06FA6B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Form 1" sheetId="4" r:id="rId1"/>
    <sheet name="Form II" sheetId="5" r:id="rId2"/>
    <sheet name="Sheet2" sheetId="12" r:id="rId3"/>
    <sheet name="Sheet3" sheetId="13" r:id="rId4"/>
    <sheet name="F-B" sheetId="8" r:id="rId5"/>
    <sheet name="Form C" sheetId="9" r:id="rId6"/>
  </sheets>
  <definedNames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5" l="1"/>
  <c r="C7" i="5"/>
  <c r="C8" i="5"/>
  <c r="C9" i="5"/>
  <c r="C10" i="5"/>
  <c r="B34" i="8"/>
  <c r="B27" i="8"/>
  <c r="B15" i="8"/>
</calcChain>
</file>

<file path=xl/sharedStrings.xml><?xml version="1.0" encoding="utf-8"?>
<sst xmlns="http://schemas.openxmlformats.org/spreadsheetml/2006/main" count="311" uniqueCount="196">
  <si>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</si>
  <si>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</si>
  <si>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</si>
  <si>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</si>
  <si>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</si>
  <si>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</si>
  <si>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</si>
  <si>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</si>
  <si>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</si>
  <si>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</si>
  <si>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</si>
  <si>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</si>
  <si>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</si>
  <si>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</si>
  <si>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</si>
  <si>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</si>
  <si>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</si>
  <si>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</si>
  <si>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</si>
  <si>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</si>
  <si>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</si>
  <si>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</si>
  <si>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</si>
  <si>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</si>
  <si>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</si>
  <si>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</si>
  <si>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</si>
  <si>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</si>
  <si>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</si>
  <si>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</si>
  <si>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</si>
  <si>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</si>
  <si>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</si>
  <si>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</si>
  <si>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</si>
  <si>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</si>
  <si>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</si>
  <si>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</si>
  <si>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</si>
  <si>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</si>
  <si>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</si>
  <si>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</si>
  <si>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</si>
  <si>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</si>
  <si>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</si>
  <si>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</si>
  <si>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</si>
  <si>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</si>
  <si>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</si>
  <si>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</si>
  <si>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</si>
  <si>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</si>
  <si>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</si>
  <si>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</si>
  <si>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</si>
  <si>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</si>
  <si>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</si>
  <si>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</si>
  <si>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</si>
  <si>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 xml:space="preserve">SOUTH WEST CORNER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</si>
  <si>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</si>
  <si>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</si>
  <si>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</si>
  <si>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</si>
  <si>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</si>
  <si>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</si>
  <si>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</si>
  <si>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</si>
  <si>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</si>
  <si>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Block and Compartment</t>
  </si>
  <si>
    <t>Regeneration status(general observation)</t>
  </si>
  <si>
    <t>or no.</t>
  </si>
  <si>
    <t>Sec &amp; or  beat</t>
  </si>
  <si>
    <t xml:space="preserve"> NORTH WEST CORNER </t>
  </si>
  <si>
    <t>SOUTH EAST CORNER</t>
  </si>
  <si>
    <t>Travel from Ujire to MHS charmady power plant upto     N  13.078377   E 75.439330   by vehicle then travel in the bearing of 32  degree upto a distance of  305m to reach the grid.</t>
  </si>
  <si>
    <t xml:space="preserve">Macaranga peltata , Holarrhena antidysenterica , Actinodaphne hookeri </t>
  </si>
  <si>
    <t>Tract - Undulating</t>
  </si>
  <si>
    <t>Canopy Dencity - 0.67</t>
  </si>
  <si>
    <t>Soil - Humus rich gravelly red soil</t>
  </si>
  <si>
    <t>Weeds - Chromolaena odorata , Ipomea spp</t>
  </si>
  <si>
    <t xml:space="preserve">Bamboos -Bambusa bambos </t>
  </si>
  <si>
    <t xml:space="preserve">Herbs -Cindrella nudiflora, Mimosa pudica , Stachytharpeta jamaicansis </t>
  </si>
  <si>
    <t>Underwood species – Manoon fragrans , Madhuca neriifolia , Ficus hispida , Hyneana trijjuga</t>
  </si>
  <si>
    <t xml:space="preserve">Shrubs - Psychotria flavida , Clerodendrum infortunatum </t>
  </si>
  <si>
    <t xml:space="preserve">Climbers - cassiaus discolar, Acacia concinna , Piper nigrum , Spatholobus sp </t>
  </si>
  <si>
    <t xml:space="preserve">NTFP yieding sps – Myristica malabarica , Acacia concinna </t>
  </si>
  <si>
    <t>744 ft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</si>
  <si>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</si>
  <si>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</si>
  <si>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</si>
  <si>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>Upto 3° /4°-15°/ 16°-40° /</t>
    </r>
    <r>
      <rPr>
        <b/>
        <sz val="12"/>
        <rFont val="Times New Roman"/>
        <family val="1"/>
      </rPr>
      <t>41° and Above</t>
    </r>
  </si>
  <si>
    <r>
      <t xml:space="preserve">Northern / NE/Eastern / </t>
    </r>
    <r>
      <rPr>
        <b/>
        <sz val="12"/>
        <rFont val="Times New Roman"/>
        <family val="1"/>
      </rPr>
      <t>SE</t>
    </r>
    <r>
      <rPr>
        <sz val="12"/>
        <rFont val="Times New Roman"/>
        <family val="1"/>
      </rPr>
      <t xml:space="preserve"> /Southern /SW /Western/ NW /No aspect</t>
    </r>
  </si>
  <si>
    <t>Permiability- poor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</si>
  <si>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</si>
  <si>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</si>
  <si>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</si>
  <si>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t>Microbes, Insects, wild animals</t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</si>
  <si>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</si>
  <si>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</si>
  <si>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</si>
  <si>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</si>
  <si>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t xml:space="preserve">Careya arborea , Macaranga peltata , Olea dioca , Getonia floribunda , Mallotus philippensis </t>
  </si>
  <si>
    <t>Macaranga peltata</t>
  </si>
  <si>
    <t>Albizzia amara</t>
  </si>
  <si>
    <t>Careya arborea</t>
  </si>
  <si>
    <t>Olea dioca</t>
  </si>
  <si>
    <t>Getonia floribunda</t>
  </si>
  <si>
    <t>Sterospermum sp</t>
  </si>
  <si>
    <t>Spatholobus sp</t>
  </si>
  <si>
    <t xml:space="preserve">Mallotus philippensis </t>
  </si>
  <si>
    <t>Clerodendrum sp</t>
  </si>
  <si>
    <t>Manoon fragrans</t>
  </si>
  <si>
    <t>Caryota urens</t>
  </si>
  <si>
    <t>Garcinia morella</t>
  </si>
  <si>
    <t>Aporosa lindleyana</t>
  </si>
  <si>
    <t>Actinodaphne hookeri</t>
  </si>
  <si>
    <t>Psychotria flavida</t>
  </si>
  <si>
    <t>Noni</t>
  </si>
  <si>
    <t>Mallotus philippensis</t>
  </si>
  <si>
    <t>3kg</t>
  </si>
  <si>
    <t>Artocarpus hirusts</t>
  </si>
  <si>
    <t>Myristica malabarica</t>
  </si>
  <si>
    <t>Simplocaoccus sp</t>
  </si>
  <si>
    <t>Belthangady</t>
  </si>
  <si>
    <t xml:space="preserve">Charmady kanapady RF </t>
  </si>
  <si>
    <t>II-5</t>
  </si>
  <si>
    <t>Aspect - No fix</t>
  </si>
  <si>
    <t>Grasses - NIL</t>
  </si>
  <si>
    <t>Rattans –NIL</t>
  </si>
  <si>
    <t>NIL</t>
  </si>
  <si>
    <t>Stream at the base of hill</t>
  </si>
  <si>
    <t>Texture-  Coarse gravelly red</t>
  </si>
  <si>
    <t>Depth-  Modertely shallow</t>
  </si>
  <si>
    <t>Unknown</t>
  </si>
  <si>
    <t>58g</t>
  </si>
  <si>
    <t>600g</t>
  </si>
  <si>
    <t>73g</t>
  </si>
  <si>
    <t>900g</t>
  </si>
  <si>
    <t>Mangalore Division</t>
  </si>
  <si>
    <t>Kunkumada Mara</t>
  </si>
  <si>
    <t>Sudugenasu</t>
  </si>
  <si>
    <t>Salle</t>
  </si>
  <si>
    <t>Hebbalasu</t>
  </si>
  <si>
    <t>Kumsa</t>
  </si>
  <si>
    <t xml:space="preserve">Terminalia paniculata </t>
  </si>
  <si>
    <t>Matti</t>
  </si>
  <si>
    <t>Battala Chandalike</t>
  </si>
  <si>
    <t>Ramapatre</t>
  </si>
  <si>
    <t>Esaga</t>
  </si>
  <si>
    <t>Kakechapaya</t>
  </si>
  <si>
    <t>Ponpuli</t>
  </si>
  <si>
    <t>Baine</t>
  </si>
  <si>
    <t>Kaadu coffee</t>
  </si>
  <si>
    <t>Leaves</t>
  </si>
  <si>
    <t>Bark</t>
  </si>
  <si>
    <t>Stem</t>
  </si>
  <si>
    <t>Fruit</t>
  </si>
  <si>
    <t>Leav es</t>
  </si>
  <si>
    <t>Sten</t>
  </si>
  <si>
    <r>
      <t xml:space="preserve">Heavily / </t>
    </r>
    <r>
      <rPr>
        <b/>
        <sz val="12"/>
        <rFont val="Times New Roman"/>
        <family val="1"/>
      </rPr>
      <t>Moderately</t>
    </r>
    <r>
      <rPr>
        <sz val="12"/>
        <rFont val="Times New Roman"/>
        <family val="1"/>
      </rPr>
      <t xml:space="preserve"> / Mildly /Not degrated</t>
    </r>
  </si>
  <si>
    <t>Form III</t>
  </si>
  <si>
    <t>FORM – A1</t>
  </si>
  <si>
    <t>PLOT ENUMERATION (31.62mX 31.62m Central Plot/lateral plot)</t>
  </si>
  <si>
    <t>Compartment No: II-5</t>
  </si>
  <si>
    <t xml:space="preserve">Block /Village: Charmady kanapady RF </t>
  </si>
  <si>
    <t xml:space="preserve">Beat: </t>
  </si>
  <si>
    <t>Range: Belthangady</t>
  </si>
  <si>
    <t>Division: Mangalore</t>
  </si>
  <si>
    <t>GBH 
(cm)</t>
  </si>
  <si>
    <t>GBH (OB) (cm)</t>
  </si>
  <si>
    <t>Height of selected dominant trees (m)</t>
  </si>
  <si>
    <t>Remarks, if any, about the tree condition</t>
  </si>
  <si>
    <t>Part of the tree</t>
  </si>
  <si>
    <t>Grid No:7264</t>
  </si>
  <si>
    <t>LAT: 13.080521</t>
  </si>
  <si>
    <t>LONG: 75.437653</t>
  </si>
  <si>
    <t>ALT: 744 ft</t>
  </si>
  <si>
    <t>FORM-A2</t>
  </si>
  <si>
    <t>BAMBOO CLUMP ENUMERATION (31.62mX 31.62m Plot)</t>
  </si>
  <si>
    <t>Clump dia in cm</t>
  </si>
  <si>
    <t>Green sound culms</t>
  </si>
  <si>
    <t>Green damaged/ twisted</t>
  </si>
  <si>
    <t>Dry culms</t>
  </si>
  <si>
    <t>Remarks, if any, about the clump condition</t>
  </si>
  <si>
    <t>Current</t>
  </si>
  <si>
    <t>One to</t>
  </si>
  <si>
    <t>Over two</t>
  </si>
  <si>
    <t>Sound</t>
  </si>
  <si>
    <t>Damaged/ twisted</t>
  </si>
  <si>
    <t>years</t>
  </si>
  <si>
    <t>two years</t>
  </si>
  <si>
    <t>a</t>
  </si>
  <si>
    <t>b</t>
  </si>
  <si>
    <t>c</t>
  </si>
  <si>
    <t>Nill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</si>
</sst>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3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0" xfId="0" applyFont="1"/>
    <xf numFmtId="0" fontId="1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view="pageBreakPreview" zoomScaleSheetLayoutView="100" workbookViewId="0">
      <selection activeCell="C10" sqref="C10"/>
    </sheetView>
  </sheetViews>
  <sheetFormatPr defaultColWidth="9.140625" defaultRowHeight="24.75" customHeight="1" x14ac:dyDescent="0.25"/>
  <cols>
    <col min="1" max="1" width="8.140625" style="1" customWidth="1"/>
    <col min="2" max="2" width="34.42578125" style="1" bestFit="1" customWidth="1"/>
    <col min="3" max="3" width="51.28515625" style="1" customWidth="1"/>
    <col min="4" max="16384" width="9.140625" style="1"/>
  </cols>
  <sheetData>
    <row r="1" spans="1:3" ht="24.75" customHeight="1" x14ac:dyDescent="0.25">
      <c r="A1" s="46" t="s">
        <v>0</v>
      </c>
      <c r="B1" s="46"/>
      <c r="C1" s="46"/>
    </row>
    <row r="2" spans="1:3" ht="24.75" customHeight="1" x14ac:dyDescent="0.25">
      <c r="A2" s="46" t="s">
        <v>1</v>
      </c>
      <c r="B2" s="46"/>
      <c r="C2" s="46"/>
    </row>
    <row r="3" spans="1:3" s="2" customFormat="1" ht="24.75" customHeight="1" x14ac:dyDescent="0.25">
      <c r="A3" s="46" t="s">
        <v>2</v>
      </c>
      <c r="B3" s="46"/>
      <c r="C3" s="43" t="s">
        <v>139</v>
      </c>
    </row>
    <row r="4" spans="1:3" s="4" customFormat="1" ht="24.75" customHeight="1" x14ac:dyDescent="0.25">
      <c r="A4" s="3" t="s">
        <v>3</v>
      </c>
      <c r="B4" s="3" t="s">
        <v>4</v>
      </c>
      <c r="C4" s="3" t="s">
        <v>5</v>
      </c>
    </row>
    <row r="5" spans="1:3" ht="26.25" customHeight="1" x14ac:dyDescent="0.25">
      <c r="A5" s="3">
        <v>1</v>
      </c>
      <c r="B5" s="41" t="s">
        <v>6</v>
      </c>
      <c r="C5" s="6" t="s">
        <v>124</v>
      </c>
    </row>
    <row r="6" spans="1:3" ht="26.25" customHeight="1" x14ac:dyDescent="0.25">
      <c r="A6" s="3">
        <v>2</v>
      </c>
      <c r="B6" s="41" t="s">
        <v>7</v>
      </c>
      <c r="C6" s="7" t="s">
        <v>125</v>
      </c>
    </row>
    <row r="7" spans="1:3" ht="26.25" customHeight="1" x14ac:dyDescent="0.25">
      <c r="A7" s="3">
        <v>3</v>
      </c>
      <c r="B7" s="41" t="s">
        <v>8</v>
      </c>
      <c r="C7" s="7" t="s">
        <v>126</v>
      </c>
    </row>
    <row r="8" spans="1:3" ht="26.25" customHeight="1" x14ac:dyDescent="0.25">
      <c r="A8" s="3">
        <v>4</v>
      </c>
      <c r="B8" s="41" t="s">
        <v>9</v>
      </c>
      <c r="C8" s="7">
        <v>7264</v>
      </c>
    </row>
    <row r="9" spans="1:3" ht="26.25" customHeight="1" x14ac:dyDescent="0.25">
      <c r="A9" s="3">
        <v>5</v>
      </c>
      <c r="B9" s="41" t="s">
        <v>10</v>
      </c>
      <c r="C9" s="8">
        <v>13.080520999999999</v>
      </c>
    </row>
    <row r="10" spans="1:3" ht="26.25" customHeight="1" x14ac:dyDescent="0.25">
      <c r="A10" s="3">
        <v>6</v>
      </c>
      <c r="B10" s="41" t="s">
        <v>11</v>
      </c>
      <c r="C10" s="8">
        <v>75.437652999999997</v>
      </c>
    </row>
    <row r="11" spans="1:3" ht="63" x14ac:dyDescent="0.25">
      <c r="A11" s="3">
        <v>7</v>
      </c>
      <c r="B11" s="41" t="s">
        <v>12</v>
      </c>
      <c r="C11" s="9" t="s">
        <v>75</v>
      </c>
    </row>
    <row r="12" spans="1:3" ht="31.5" x14ac:dyDescent="0.25">
      <c r="A12" s="3">
        <v>8</v>
      </c>
      <c r="B12" s="41" t="s">
        <v>13</v>
      </c>
      <c r="C12" s="9" t="s">
        <v>76</v>
      </c>
    </row>
    <row r="13" spans="1:3" ht="26.25" customHeight="1" x14ac:dyDescent="0.25">
      <c r="A13" s="47">
        <v>9</v>
      </c>
      <c r="B13" s="48" t="s">
        <v>14</v>
      </c>
      <c r="C13" s="5" t="s">
        <v>77</v>
      </c>
    </row>
    <row r="14" spans="1:3" ht="26.25" customHeight="1" x14ac:dyDescent="0.25">
      <c r="A14" s="47"/>
      <c r="B14" s="48"/>
      <c r="C14" s="5" t="s">
        <v>127</v>
      </c>
    </row>
    <row r="15" spans="1:3" ht="26.25" customHeight="1" x14ac:dyDescent="0.25">
      <c r="A15" s="47"/>
      <c r="B15" s="48"/>
      <c r="C15" s="5" t="s">
        <v>78</v>
      </c>
    </row>
    <row r="16" spans="1:3" ht="26.25" customHeight="1" x14ac:dyDescent="0.25">
      <c r="A16" s="47"/>
      <c r="B16" s="48"/>
      <c r="C16" s="5" t="s">
        <v>79</v>
      </c>
    </row>
    <row r="17" spans="1:3" ht="26.25" customHeight="1" x14ac:dyDescent="0.25">
      <c r="A17" s="47"/>
      <c r="B17" s="48"/>
      <c r="C17" s="5" t="s">
        <v>128</v>
      </c>
    </row>
    <row r="18" spans="1:3" ht="26.25" customHeight="1" x14ac:dyDescent="0.25">
      <c r="A18" s="47"/>
      <c r="B18" s="48"/>
      <c r="C18" s="5" t="s">
        <v>80</v>
      </c>
    </row>
    <row r="19" spans="1:3" ht="26.25" customHeight="1" x14ac:dyDescent="0.25">
      <c r="A19" s="47"/>
      <c r="B19" s="48"/>
      <c r="C19" s="5" t="s">
        <v>81</v>
      </c>
    </row>
    <row r="20" spans="1:3" ht="31.5" x14ac:dyDescent="0.25">
      <c r="A20" s="47"/>
      <c r="B20" s="48"/>
      <c r="C20" s="5" t="s">
        <v>82</v>
      </c>
    </row>
    <row r="21" spans="1:3" ht="26.25" customHeight="1" x14ac:dyDescent="0.25">
      <c r="A21" s="47"/>
      <c r="B21" s="48"/>
      <c r="C21" s="5" t="s">
        <v>84</v>
      </c>
    </row>
    <row r="22" spans="1:3" ht="31.5" x14ac:dyDescent="0.25">
      <c r="A22" s="47"/>
      <c r="B22" s="48"/>
      <c r="C22" s="5" t="s">
        <v>83</v>
      </c>
    </row>
    <row r="23" spans="1:3" ht="31.5" x14ac:dyDescent="0.25">
      <c r="A23" s="47"/>
      <c r="B23" s="48"/>
      <c r="C23" s="5" t="s">
        <v>85</v>
      </c>
    </row>
    <row r="24" spans="1:3" ht="26.25" customHeight="1" x14ac:dyDescent="0.25">
      <c r="A24" s="47"/>
      <c r="B24" s="48"/>
      <c r="C24" s="5" t="s">
        <v>129</v>
      </c>
    </row>
    <row r="25" spans="1:3" ht="26.25" customHeight="1" x14ac:dyDescent="0.25">
      <c r="A25" s="47"/>
      <c r="B25" s="48"/>
      <c r="C25" s="5" t="s">
        <v>86</v>
      </c>
    </row>
    <row r="26" spans="1:3" ht="26.25" customHeight="1" x14ac:dyDescent="0.25">
      <c r="A26" s="3">
        <v>10</v>
      </c>
      <c r="B26" s="41" t="s">
        <v>15</v>
      </c>
      <c r="C26" s="5" t="s">
        <v>130</v>
      </c>
    </row>
    <row r="27" spans="1:3" ht="26.25" customHeight="1" x14ac:dyDescent="0.25">
      <c r="A27" s="3">
        <v>11</v>
      </c>
      <c r="B27" s="41" t="s">
        <v>16</v>
      </c>
      <c r="C27" s="5" t="s">
        <v>130</v>
      </c>
    </row>
    <row r="28" spans="1:3" ht="24.75" customHeight="1" x14ac:dyDescent="0.25">
      <c r="A28" s="13"/>
    </row>
    <row r="29" spans="1:3" ht="24.75" customHeight="1" x14ac:dyDescent="0.25">
      <c r="A29" s="14"/>
    </row>
    <row r="30" spans="1:3" ht="24.75" customHeight="1" x14ac:dyDescent="0.25">
      <c r="A30" s="15"/>
    </row>
    <row r="31" spans="1:3" ht="24.75" customHeight="1" x14ac:dyDescent="0.25">
      <c r="A31" s="15"/>
    </row>
    <row r="32" spans="1:3" ht="24.75" customHeight="1" x14ac:dyDescent="0.25">
      <c r="A32" s="15"/>
    </row>
    <row r="33" spans="1:1" ht="24.75" customHeight="1" x14ac:dyDescent="0.25">
      <c r="A33" s="15"/>
    </row>
    <row r="34" spans="1:1" ht="24.75" customHeight="1" x14ac:dyDescent="0.25">
      <c r="A34" s="15"/>
    </row>
    <row r="35" spans="1:1" ht="24.75" customHeight="1" x14ac:dyDescent="0.25">
      <c r="A35" s="15"/>
    </row>
    <row r="46" spans="1:1" ht="24.75" customHeight="1" x14ac:dyDescent="0.25">
      <c r="A46" s="15"/>
    </row>
    <row r="47" spans="1:1" ht="24.75" customHeight="1" x14ac:dyDescent="0.25">
      <c r="A47" s="15"/>
    </row>
    <row r="48" spans="1:1" ht="24.75" customHeight="1" x14ac:dyDescent="0.25">
      <c r="A48" s="15"/>
    </row>
    <row r="49" spans="1:1" ht="24.75" customHeight="1" x14ac:dyDescent="0.25">
      <c r="A49" s="15"/>
    </row>
    <row r="50" spans="1:1" ht="24.75" customHeight="1" x14ac:dyDescent="0.25">
      <c r="A50" s="15"/>
    </row>
    <row r="51" spans="1:1" ht="24.75" customHeight="1" x14ac:dyDescent="0.25">
      <c r="A51" s="15"/>
    </row>
    <row r="52" spans="1:1" ht="24.75" customHeight="1" x14ac:dyDescent="0.25">
      <c r="A52" s="15"/>
    </row>
    <row r="53" spans="1:1" ht="24.75" customHeight="1" x14ac:dyDescent="0.25">
      <c r="A53" s="15"/>
    </row>
    <row r="54" spans="1:1" ht="24.75" customHeight="1" x14ac:dyDescent="0.25">
      <c r="A54" s="15"/>
    </row>
    <row r="55" spans="1:1" ht="24.75" customHeight="1" x14ac:dyDescent="0.25">
      <c r="A55" s="14"/>
    </row>
    <row r="63" spans="1:1" ht="24.75" customHeight="1" x14ac:dyDescent="0.25">
      <c r="A63" s="15"/>
    </row>
    <row r="71" spans="1:1" ht="24.75" customHeight="1" x14ac:dyDescent="0.25">
      <c r="A71" s="13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1496062992125984" right="0.23622047244094491" top="0.27559055118110237" bottom="0.19685039370078741" header="0.15748031496062992" footer="0.1574803149606299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view="pageBreakPreview" zoomScaleSheetLayoutView="100" workbookViewId="0">
      <selection activeCell="C11" sqref="C11"/>
    </sheetView>
  </sheetViews>
  <sheetFormatPr defaultColWidth="9.140625" defaultRowHeight="25.5" customHeight="1" x14ac:dyDescent="0.25"/>
  <cols>
    <col min="1" max="1" width="6.5703125" style="13" bestFit="1" customWidth="1"/>
    <col min="2" max="2" width="42.85546875" style="13" bestFit="1" customWidth="1"/>
    <col min="3" max="3" width="48.140625" style="13" customWidth="1"/>
    <col min="4" max="16384" width="9.140625" style="13"/>
  </cols>
  <sheetData>
    <row r="1" spans="1:3" ht="25.5" customHeight="1" x14ac:dyDescent="0.25">
      <c r="A1" s="49" t="s">
        <v>17</v>
      </c>
      <c r="B1" s="49"/>
      <c r="C1" s="49"/>
    </row>
    <row r="2" spans="1:3" ht="25.5" customHeight="1" x14ac:dyDescent="0.25">
      <c r="A2" s="49" t="s">
        <v>18</v>
      </c>
      <c r="B2" s="49"/>
      <c r="C2" s="49"/>
    </row>
    <row r="3" spans="1:3" s="14" customFormat="1" ht="25.5" customHeight="1" x14ac:dyDescent="0.25">
      <c r="A3" s="49" t="s">
        <v>2</v>
      </c>
      <c r="B3" s="49"/>
      <c r="C3" s="43" t="s">
        <v>139</v>
      </c>
    </row>
    <row r="4" spans="1:3" s="17" customFormat="1" ht="25.5" customHeight="1" x14ac:dyDescent="0.25">
      <c r="A4" s="16" t="s">
        <v>3</v>
      </c>
      <c r="B4" s="16" t="s">
        <v>5</v>
      </c>
      <c r="C4" s="16" t="s">
        <v>19</v>
      </c>
    </row>
    <row r="5" spans="1:3" ht="24.75" customHeight="1" x14ac:dyDescent="0.25">
      <c r="A5" s="10">
        <v>1</v>
      </c>
      <c r="B5" s="42" t="s">
        <v>6</v>
      </c>
      <c r="C5" s="18" t="str">
        <f>'Form 1'!C5</f>
        <v>Belthangady</v>
      </c>
    </row>
    <row r="6" spans="1:3" ht="24.75" customHeight="1" x14ac:dyDescent="0.25">
      <c r="A6" s="10">
        <v>2</v>
      </c>
      <c r="B6" s="42" t="s">
        <v>72</v>
      </c>
      <c r="C6" s="18"/>
    </row>
    <row r="7" spans="1:3" ht="24.75" customHeight="1" x14ac:dyDescent="0.25">
      <c r="A7" s="10">
        <v>3</v>
      </c>
      <c r="B7" s="42" t="s">
        <v>69</v>
      </c>
      <c r="C7" s="18" t="str">
        <f>'Form 1'!C6</f>
        <v xml:space="preserve">Charmady kanapady RF </v>
      </c>
    </row>
    <row r="8" spans="1:3" ht="24.75" customHeight="1" x14ac:dyDescent="0.25">
      <c r="A8" s="10">
        <v>4</v>
      </c>
      <c r="B8" s="42" t="s">
        <v>9</v>
      </c>
      <c r="C8" s="18">
        <f>'Form 1'!C8</f>
        <v>7264</v>
      </c>
    </row>
    <row r="9" spans="1:3" ht="24.75" customHeight="1" x14ac:dyDescent="0.25">
      <c r="A9" s="10">
        <v>5</v>
      </c>
      <c r="B9" s="42" t="s">
        <v>20</v>
      </c>
      <c r="C9" s="19">
        <f>'Form 1'!C9</f>
        <v>13.080520999999999</v>
      </c>
    </row>
    <row r="10" spans="1:3" ht="24.75" customHeight="1" x14ac:dyDescent="0.25">
      <c r="A10" s="10">
        <v>6</v>
      </c>
      <c r="B10" s="42" t="s">
        <v>21</v>
      </c>
      <c r="C10" s="19">
        <f>'Form 1'!C10</f>
        <v>75.437652999999997</v>
      </c>
    </row>
    <row r="11" spans="1:3" ht="24.75" customHeight="1" x14ac:dyDescent="0.25">
      <c r="A11" s="10">
        <v>7</v>
      </c>
      <c r="B11" s="42" t="s">
        <v>22</v>
      </c>
      <c r="C11" s="18" t="s">
        <v>87</v>
      </c>
    </row>
    <row r="12" spans="1:3" ht="31.5" x14ac:dyDescent="0.25">
      <c r="A12" s="10">
        <v>8</v>
      </c>
      <c r="B12" s="42" t="s">
        <v>23</v>
      </c>
      <c r="C12" s="18" t="s">
        <v>88</v>
      </c>
    </row>
    <row r="13" spans="1:3" ht="24.75" customHeight="1" x14ac:dyDescent="0.25">
      <c r="A13" s="10">
        <v>9</v>
      </c>
      <c r="B13" s="42" t="s">
        <v>24</v>
      </c>
      <c r="C13" s="18" t="s">
        <v>89</v>
      </c>
    </row>
    <row r="14" spans="1:3" ht="31.5" x14ac:dyDescent="0.25">
      <c r="A14" s="10">
        <v>10</v>
      </c>
      <c r="B14" s="42" t="s">
        <v>25</v>
      </c>
      <c r="C14" s="18" t="s">
        <v>90</v>
      </c>
    </row>
    <row r="15" spans="1:3" ht="24.75" customHeight="1" x14ac:dyDescent="0.25">
      <c r="A15" s="10">
        <v>11</v>
      </c>
      <c r="B15" s="42" t="s">
        <v>26</v>
      </c>
      <c r="C15" s="20" t="s">
        <v>91</v>
      </c>
    </row>
    <row r="16" spans="1:3" ht="31.5" x14ac:dyDescent="0.25">
      <c r="A16" s="10">
        <v>12</v>
      </c>
      <c r="B16" s="42" t="s">
        <v>27</v>
      </c>
      <c r="C16" s="20" t="s">
        <v>92</v>
      </c>
    </row>
    <row r="17" spans="1:3" ht="31.5" x14ac:dyDescent="0.25">
      <c r="A17" s="10">
        <v>13</v>
      </c>
      <c r="B17" s="42" t="s">
        <v>28</v>
      </c>
      <c r="C17" s="20" t="s">
        <v>29</v>
      </c>
    </row>
    <row r="18" spans="1:3" ht="24.75" customHeight="1" x14ac:dyDescent="0.25">
      <c r="A18" s="50">
        <v>14</v>
      </c>
      <c r="B18" s="51" t="s">
        <v>30</v>
      </c>
      <c r="C18" s="20" t="s">
        <v>132</v>
      </c>
    </row>
    <row r="19" spans="1:3" ht="24.75" customHeight="1" x14ac:dyDescent="0.25">
      <c r="A19" s="50"/>
      <c r="B19" s="51"/>
      <c r="C19" s="20" t="s">
        <v>133</v>
      </c>
    </row>
    <row r="20" spans="1:3" ht="24.75" customHeight="1" x14ac:dyDescent="0.25">
      <c r="A20" s="50"/>
      <c r="B20" s="51"/>
      <c r="C20" s="21" t="s">
        <v>93</v>
      </c>
    </row>
    <row r="21" spans="1:3" ht="24.75" customHeight="1" x14ac:dyDescent="0.25">
      <c r="A21" s="10">
        <v>15</v>
      </c>
      <c r="B21" s="42" t="s">
        <v>31</v>
      </c>
      <c r="C21" s="20" t="s">
        <v>94</v>
      </c>
    </row>
    <row r="22" spans="1:3" ht="31.5" x14ac:dyDescent="0.25">
      <c r="A22" s="10">
        <v>16</v>
      </c>
      <c r="B22" s="42" t="s">
        <v>32</v>
      </c>
      <c r="C22" s="20" t="s">
        <v>102</v>
      </c>
    </row>
    <row r="23" spans="1:3" ht="24.75" customHeight="1" x14ac:dyDescent="0.25">
      <c r="A23" s="10">
        <v>17</v>
      </c>
      <c r="B23" s="42" t="s">
        <v>70</v>
      </c>
      <c r="C23" s="20" t="s">
        <v>95</v>
      </c>
    </row>
    <row r="24" spans="1:3" ht="31.5" x14ac:dyDescent="0.25">
      <c r="A24" s="10">
        <v>18</v>
      </c>
      <c r="B24" s="42" t="s">
        <v>33</v>
      </c>
      <c r="C24" s="20" t="s">
        <v>96</v>
      </c>
    </row>
    <row r="25" spans="1:3" ht="24.75" customHeight="1" x14ac:dyDescent="0.25">
      <c r="A25" s="10">
        <v>19</v>
      </c>
      <c r="B25" s="42" t="s">
        <v>34</v>
      </c>
      <c r="C25" s="20" t="s">
        <v>97</v>
      </c>
    </row>
    <row r="26" spans="1:3" ht="24.75" customHeight="1" x14ac:dyDescent="0.25">
      <c r="A26" s="10">
        <v>20</v>
      </c>
      <c r="B26" s="42" t="s">
        <v>35</v>
      </c>
      <c r="C26" s="21" t="s">
        <v>100</v>
      </c>
    </row>
    <row r="27" spans="1:3" ht="24.75" customHeight="1" x14ac:dyDescent="0.25">
      <c r="A27" s="10">
        <v>21</v>
      </c>
      <c r="B27" s="42" t="s">
        <v>36</v>
      </c>
      <c r="C27" s="20" t="s">
        <v>101</v>
      </c>
    </row>
    <row r="28" spans="1:3" ht="24.75" customHeight="1" x14ac:dyDescent="0.25">
      <c r="A28" s="10">
        <v>22</v>
      </c>
      <c r="B28" s="42" t="s">
        <v>37</v>
      </c>
      <c r="C28" s="20" t="s">
        <v>99</v>
      </c>
    </row>
    <row r="29" spans="1:3" ht="24.75" customHeight="1" x14ac:dyDescent="0.25">
      <c r="A29" s="10">
        <v>23</v>
      </c>
      <c r="B29" s="42" t="s">
        <v>38</v>
      </c>
      <c r="C29" s="20" t="s">
        <v>98</v>
      </c>
    </row>
    <row r="30" spans="1:3" ht="24.75" customHeight="1" x14ac:dyDescent="0.25">
      <c r="A30" s="10">
        <v>24</v>
      </c>
      <c r="B30" s="42" t="s">
        <v>39</v>
      </c>
      <c r="C30" s="20" t="s">
        <v>130</v>
      </c>
    </row>
    <row r="31" spans="1:3" ht="24.75" customHeight="1" x14ac:dyDescent="0.25">
      <c r="A31" s="10">
        <v>25</v>
      </c>
      <c r="B31" s="42" t="s">
        <v>40</v>
      </c>
      <c r="C31" s="20" t="s">
        <v>130</v>
      </c>
    </row>
    <row r="32" spans="1:3" ht="24.75" customHeight="1" x14ac:dyDescent="0.25">
      <c r="A32" s="10">
        <v>26</v>
      </c>
      <c r="B32" s="42" t="s">
        <v>41</v>
      </c>
      <c r="C32" s="20" t="s">
        <v>131</v>
      </c>
    </row>
    <row r="33" spans="1:3" ht="24.75" customHeight="1" x14ac:dyDescent="0.25">
      <c r="A33" s="10">
        <v>27</v>
      </c>
      <c r="B33" s="42" t="s">
        <v>42</v>
      </c>
      <c r="C33" s="18" t="s">
        <v>160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0866141732283472" right="0.70866141732283472" top="0.19685039370078741" bottom="0.35433070866141736" header="0.31496062992125984" footer="0.31496062992125984"/>
  <pageSetup scale="90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BC903-7D15-4D58-911E-8BCA703E1C39}">
  <dimension ref="A1:I26"/>
  <sheetViews>
    <sheetView workbookViewId="0">
      <selection activeCell="C25" sqref="C25"/>
    </sheetView>
  </sheetViews>
  <sheetFormatPr defaultRowHeight="15" x14ac:dyDescent="0.25"/>
  <cols>
    <col min="2" max="2" width="19.7109375" bestFit="1" customWidth="1"/>
    <col min="9" max="9" width="12.42578125" customWidth="1"/>
  </cols>
  <sheetData>
    <row r="1" spans="1:9" s="65" customFormat="1" ht="15.6" customHeight="1" x14ac:dyDescent="0.25">
      <c r="A1" s="64" t="s">
        <v>161</v>
      </c>
      <c r="B1" s="64"/>
      <c r="C1" s="64"/>
      <c r="D1" s="64"/>
      <c r="E1" s="64"/>
      <c r="F1" s="64"/>
      <c r="G1" s="64"/>
      <c r="H1" s="64"/>
      <c r="I1" s="64"/>
    </row>
    <row r="2" spans="1:9" s="65" customFormat="1" ht="15.6" customHeight="1" x14ac:dyDescent="0.25">
      <c r="A2" s="64" t="s">
        <v>162</v>
      </c>
      <c r="B2" s="64"/>
      <c r="C2" s="64"/>
      <c r="D2" s="64"/>
      <c r="E2" s="64"/>
      <c r="F2" s="64"/>
      <c r="G2" s="64"/>
      <c r="H2" s="64"/>
      <c r="I2" s="64"/>
    </row>
    <row r="3" spans="1:9" s="65" customFormat="1" ht="15.6" customHeight="1" x14ac:dyDescent="0.25">
      <c r="A3" s="64" t="s">
        <v>163</v>
      </c>
      <c r="B3" s="64"/>
      <c r="C3" s="64"/>
      <c r="D3" s="64"/>
      <c r="E3" s="64"/>
      <c r="F3" s="64"/>
      <c r="G3" s="64"/>
      <c r="H3" s="64"/>
      <c r="I3" s="64"/>
    </row>
    <row r="4" spans="1:9" s="65" customFormat="1" ht="15.6" customHeight="1" x14ac:dyDescent="0.25">
      <c r="A4" s="66"/>
      <c r="B4" s="66"/>
      <c r="C4" s="66"/>
      <c r="D4" s="66"/>
      <c r="E4" s="66"/>
      <c r="F4" s="66"/>
      <c r="G4" s="66"/>
      <c r="H4" s="66"/>
      <c r="I4" s="66"/>
    </row>
    <row r="5" spans="1:9" s="70" customFormat="1" ht="33" customHeight="1" x14ac:dyDescent="0.25">
      <c r="A5" s="67" t="s">
        <v>164</v>
      </c>
      <c r="B5" s="68"/>
      <c r="C5" s="69"/>
      <c r="D5" s="67" t="s">
        <v>165</v>
      </c>
      <c r="E5" s="68"/>
      <c r="F5" s="68"/>
      <c r="G5" s="69"/>
      <c r="H5" s="67" t="s">
        <v>166</v>
      </c>
      <c r="I5" s="69"/>
    </row>
    <row r="6" spans="1:9" s="70" customFormat="1" ht="33" customHeight="1" x14ac:dyDescent="0.25">
      <c r="A6" s="67" t="s">
        <v>167</v>
      </c>
      <c r="B6" s="68"/>
      <c r="C6" s="69"/>
      <c r="D6" s="67" t="s">
        <v>168</v>
      </c>
      <c r="E6" s="68"/>
      <c r="F6" s="68"/>
      <c r="G6" s="69"/>
      <c r="H6" s="67" t="s">
        <v>177</v>
      </c>
      <c r="I6" s="69"/>
    </row>
    <row r="7" spans="1:9" s="70" customFormat="1" ht="33" customHeight="1" x14ac:dyDescent="0.25">
      <c r="A7" s="67" t="s">
        <v>175</v>
      </c>
      <c r="B7" s="68"/>
      <c r="C7" s="69"/>
      <c r="D7" s="67" t="s">
        <v>176</v>
      </c>
      <c r="E7" s="68"/>
      <c r="F7" s="68"/>
      <c r="G7" s="69"/>
      <c r="H7" s="67" t="s">
        <v>174</v>
      </c>
      <c r="I7" s="69"/>
    </row>
    <row r="8" spans="1:9" s="65" customFormat="1" ht="15.6" customHeight="1" x14ac:dyDescent="0.25">
      <c r="A8" s="17"/>
      <c r="B8" s="71"/>
      <c r="C8" s="17"/>
      <c r="D8" s="17"/>
      <c r="E8" s="17"/>
      <c r="F8" s="17"/>
      <c r="G8" s="17"/>
      <c r="H8" s="17"/>
      <c r="I8" s="17"/>
    </row>
    <row r="9" spans="1:9" s="65" customFormat="1" ht="15.75" x14ac:dyDescent="0.25">
      <c r="A9" s="47" t="s">
        <v>46</v>
      </c>
      <c r="B9" s="47" t="s">
        <v>47</v>
      </c>
      <c r="C9" s="47" t="s">
        <v>48</v>
      </c>
      <c r="D9" s="47" t="s">
        <v>169</v>
      </c>
      <c r="E9" s="47" t="s">
        <v>170</v>
      </c>
      <c r="F9" s="47" t="s">
        <v>171</v>
      </c>
      <c r="G9" s="47" t="s">
        <v>51</v>
      </c>
      <c r="H9" s="47"/>
      <c r="I9" s="47" t="s">
        <v>172</v>
      </c>
    </row>
    <row r="10" spans="1:9" s="65" customFormat="1" ht="63" x14ac:dyDescent="0.25">
      <c r="A10" s="47"/>
      <c r="B10" s="47"/>
      <c r="C10" s="47"/>
      <c r="D10" s="47"/>
      <c r="E10" s="47"/>
      <c r="F10" s="47"/>
      <c r="G10" s="44" t="s">
        <v>173</v>
      </c>
      <c r="H10" s="44" t="s">
        <v>54</v>
      </c>
      <c r="I10" s="47"/>
    </row>
    <row r="11" spans="1:9" ht="15.75" x14ac:dyDescent="0.25">
      <c r="A11" s="72">
        <v>1</v>
      </c>
      <c r="B11" s="45" t="s">
        <v>103</v>
      </c>
      <c r="C11" s="72"/>
      <c r="D11" s="45">
        <v>98</v>
      </c>
      <c r="E11" s="72"/>
      <c r="F11" s="72">
        <v>13</v>
      </c>
      <c r="G11" s="72"/>
      <c r="H11" s="72"/>
      <c r="I11" s="72"/>
    </row>
    <row r="12" spans="1:9" ht="15.75" x14ac:dyDescent="0.25">
      <c r="A12" s="72">
        <v>2</v>
      </c>
      <c r="B12" s="45" t="s">
        <v>104</v>
      </c>
      <c r="C12" s="72"/>
      <c r="D12" s="45">
        <v>162</v>
      </c>
      <c r="E12" s="72"/>
      <c r="F12" s="72">
        <v>12.5</v>
      </c>
      <c r="G12" s="72"/>
      <c r="H12" s="72"/>
      <c r="I12" s="72"/>
    </row>
    <row r="13" spans="1:9" ht="15.75" x14ac:dyDescent="0.25">
      <c r="A13" s="72">
        <v>3</v>
      </c>
      <c r="B13" s="45" t="s">
        <v>103</v>
      </c>
      <c r="C13" s="72"/>
      <c r="D13" s="45">
        <v>48</v>
      </c>
      <c r="E13" s="72"/>
      <c r="F13" s="72">
        <v>10</v>
      </c>
      <c r="G13" s="72"/>
      <c r="H13" s="72"/>
      <c r="I13" s="72"/>
    </row>
    <row r="14" spans="1:9" ht="15.75" x14ac:dyDescent="0.25">
      <c r="A14" s="72">
        <v>4</v>
      </c>
      <c r="B14" s="45" t="s">
        <v>103</v>
      </c>
      <c r="C14" s="72"/>
      <c r="D14" s="45">
        <v>46</v>
      </c>
      <c r="E14" s="72"/>
      <c r="F14" s="72">
        <v>4.4000000000000004</v>
      </c>
      <c r="G14" s="72"/>
      <c r="H14" s="72"/>
      <c r="I14" s="72"/>
    </row>
    <row r="15" spans="1:9" ht="15.75" x14ac:dyDescent="0.25">
      <c r="A15" s="72">
        <v>5</v>
      </c>
      <c r="B15" s="45" t="s">
        <v>105</v>
      </c>
      <c r="C15" s="72"/>
      <c r="D15" s="45">
        <v>52</v>
      </c>
      <c r="E15" s="72"/>
      <c r="F15" s="72">
        <v>10</v>
      </c>
      <c r="G15" s="72"/>
      <c r="H15" s="72"/>
      <c r="I15" s="72"/>
    </row>
    <row r="16" spans="1:9" ht="15.75" x14ac:dyDescent="0.25">
      <c r="A16" s="72">
        <v>6</v>
      </c>
      <c r="B16" s="45" t="s">
        <v>106</v>
      </c>
      <c r="C16" s="72"/>
      <c r="D16" s="45">
        <v>82</v>
      </c>
      <c r="E16" s="72"/>
      <c r="F16" s="72">
        <v>4</v>
      </c>
      <c r="G16" s="72"/>
      <c r="H16" s="72"/>
      <c r="I16" s="72"/>
    </row>
    <row r="17" spans="1:9" ht="15.75" x14ac:dyDescent="0.25">
      <c r="A17" s="72">
        <v>7</v>
      </c>
      <c r="B17" s="45" t="s">
        <v>103</v>
      </c>
      <c r="C17" s="72"/>
      <c r="D17" s="45">
        <v>63</v>
      </c>
      <c r="E17" s="72"/>
      <c r="F17" s="72">
        <v>8</v>
      </c>
      <c r="G17" s="72"/>
      <c r="H17" s="72"/>
      <c r="I17" s="72"/>
    </row>
    <row r="18" spans="1:9" ht="15.75" x14ac:dyDescent="0.25">
      <c r="A18" s="72">
        <v>8</v>
      </c>
      <c r="B18" s="45" t="s">
        <v>106</v>
      </c>
      <c r="C18" s="72"/>
      <c r="D18" s="45">
        <v>56</v>
      </c>
      <c r="E18" s="72"/>
      <c r="F18" s="72">
        <v>7</v>
      </c>
      <c r="G18" s="72"/>
      <c r="H18" s="72"/>
      <c r="I18" s="72"/>
    </row>
    <row r="19" spans="1:9" ht="15.75" x14ac:dyDescent="0.25">
      <c r="A19" s="72">
        <v>9</v>
      </c>
      <c r="B19" s="45" t="s">
        <v>103</v>
      </c>
      <c r="C19" s="72"/>
      <c r="D19" s="45">
        <v>41</v>
      </c>
      <c r="E19" s="72"/>
      <c r="F19" s="72">
        <v>9</v>
      </c>
      <c r="G19" s="72"/>
      <c r="H19" s="72"/>
      <c r="I19" s="72"/>
    </row>
    <row r="20" spans="1:9" ht="15.75" x14ac:dyDescent="0.25">
      <c r="A20" s="72">
        <v>10</v>
      </c>
      <c r="B20" s="45" t="s">
        <v>107</v>
      </c>
      <c r="C20" s="72"/>
      <c r="D20" s="45">
        <v>46</v>
      </c>
      <c r="E20" s="72"/>
      <c r="F20" s="72">
        <v>0</v>
      </c>
      <c r="G20" s="72"/>
      <c r="H20" s="72"/>
      <c r="I20" s="72"/>
    </row>
    <row r="21" spans="1:9" ht="15.75" x14ac:dyDescent="0.25">
      <c r="A21" s="72">
        <v>11</v>
      </c>
      <c r="B21" s="45" t="s">
        <v>103</v>
      </c>
      <c r="C21" s="72"/>
      <c r="D21" s="45">
        <v>62</v>
      </c>
      <c r="E21" s="72"/>
      <c r="F21" s="72">
        <v>9.5</v>
      </c>
      <c r="G21" s="72"/>
      <c r="H21" s="72"/>
      <c r="I21" s="72"/>
    </row>
    <row r="22" spans="1:9" ht="15.75" x14ac:dyDescent="0.25">
      <c r="A22" s="72">
        <v>12</v>
      </c>
      <c r="B22" s="45" t="s">
        <v>103</v>
      </c>
      <c r="C22" s="72"/>
      <c r="D22" s="45">
        <v>81</v>
      </c>
      <c r="E22" s="72"/>
      <c r="F22" s="72">
        <v>14</v>
      </c>
      <c r="G22" s="72"/>
      <c r="H22" s="72"/>
      <c r="I22" s="72"/>
    </row>
    <row r="23" spans="1:9" ht="15.75" x14ac:dyDescent="0.25">
      <c r="A23" s="72">
        <v>13</v>
      </c>
      <c r="B23" s="45" t="s">
        <v>108</v>
      </c>
      <c r="C23" s="72"/>
      <c r="D23" s="45">
        <v>39</v>
      </c>
      <c r="E23" s="72"/>
      <c r="F23" s="72">
        <v>15</v>
      </c>
      <c r="G23" s="72"/>
      <c r="H23" s="72"/>
      <c r="I23" s="72"/>
    </row>
    <row r="24" spans="1:9" ht="15.75" x14ac:dyDescent="0.25">
      <c r="A24" s="72">
        <v>14</v>
      </c>
      <c r="B24" s="45" t="s">
        <v>109</v>
      </c>
      <c r="C24" s="72"/>
      <c r="D24" s="45">
        <v>42</v>
      </c>
      <c r="E24" s="72"/>
      <c r="F24" s="72">
        <v>0</v>
      </c>
      <c r="G24" s="72"/>
      <c r="H24" s="72"/>
      <c r="I24" s="72"/>
    </row>
    <row r="25" spans="1:9" ht="15.75" x14ac:dyDescent="0.25">
      <c r="A25" s="72">
        <v>15</v>
      </c>
      <c r="B25" s="45" t="s">
        <v>134</v>
      </c>
      <c r="C25" s="72"/>
      <c r="D25" s="45">
        <v>99</v>
      </c>
      <c r="E25" s="72"/>
      <c r="F25" s="72">
        <v>16.5</v>
      </c>
      <c r="G25" s="72"/>
      <c r="H25" s="72"/>
      <c r="I25" s="72"/>
    </row>
    <row r="26" spans="1:9" ht="15.75" x14ac:dyDescent="0.25">
      <c r="A26" s="72">
        <v>16</v>
      </c>
      <c r="B26" s="45" t="s">
        <v>110</v>
      </c>
      <c r="C26" s="72"/>
      <c r="D26" s="45">
        <v>39</v>
      </c>
      <c r="E26" s="72"/>
      <c r="F26" s="72">
        <v>10</v>
      </c>
      <c r="G26" s="72"/>
      <c r="H26" s="72"/>
      <c r="I26" s="72"/>
    </row>
  </sheetData>
  <mergeCells count="21">
    <mergeCell ref="G9:H9"/>
    <mergeCell ref="I9:I10"/>
    <mergeCell ref="A9:A10"/>
    <mergeCell ref="B9:B10"/>
    <mergeCell ref="C9:C10"/>
    <mergeCell ref="D9:D10"/>
    <mergeCell ref="E9:E10"/>
    <mergeCell ref="F9:F10"/>
    <mergeCell ref="A6:C6"/>
    <mergeCell ref="D6:G6"/>
    <mergeCell ref="H6:I6"/>
    <mergeCell ref="A7:C7"/>
    <mergeCell ref="D7:G7"/>
    <mergeCell ref="H7:I7"/>
    <mergeCell ref="A1:I1"/>
    <mergeCell ref="A2:I2"/>
    <mergeCell ref="A3:I3"/>
    <mergeCell ref="A4:I4"/>
    <mergeCell ref="A5:C5"/>
    <mergeCell ref="D5:G5"/>
    <mergeCell ref="H5:I5"/>
  </mergeCells>
  <printOptions horizontalCentered="1"/>
  <pageMargins left="0.17" right="0.21" top="0.74803149606299213" bottom="0.74803149606299213" header="0.31496062992125984" footer="0.3149606299212598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180C7-682C-477C-8F81-12329258A45C}">
  <dimension ref="A1:Q9"/>
  <sheetViews>
    <sheetView workbookViewId="0">
      <selection activeCell="D18" sqref="D18"/>
    </sheetView>
  </sheetViews>
  <sheetFormatPr defaultRowHeight="15" x14ac:dyDescent="0.25"/>
  <cols>
    <col min="1" max="1" width="5.7109375" customWidth="1"/>
    <col min="2" max="2" width="7.85546875" customWidth="1"/>
    <col min="5" max="13" width="4.5703125" customWidth="1"/>
    <col min="17" max="17" width="12.42578125" customWidth="1"/>
  </cols>
  <sheetData>
    <row r="1" spans="1:17" s="74" customFormat="1" ht="20.25" x14ac:dyDescent="0.25">
      <c r="A1" s="73" t="s">
        <v>178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</row>
    <row r="2" spans="1:17" s="74" customFormat="1" ht="20.25" x14ac:dyDescent="0.25">
      <c r="A2" s="73" t="s">
        <v>179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</row>
    <row r="3" spans="1:17" s="74" customFormat="1" x14ac:dyDescent="0.25">
      <c r="A3" s="75"/>
    </row>
    <row r="4" spans="1:17" s="74" customFormat="1" ht="15.75" thickBot="1" x14ac:dyDescent="0.3">
      <c r="A4" s="75"/>
    </row>
    <row r="5" spans="1:17" s="74" customFormat="1" ht="16.5" thickBot="1" x14ac:dyDescent="0.3">
      <c r="A5" s="76" t="s">
        <v>46</v>
      </c>
      <c r="B5" s="76" t="s">
        <v>47</v>
      </c>
      <c r="C5" s="76" t="s">
        <v>48</v>
      </c>
      <c r="D5" s="76" t="s">
        <v>180</v>
      </c>
      <c r="E5" s="77" t="s">
        <v>181</v>
      </c>
      <c r="F5" s="78"/>
      <c r="G5" s="78"/>
      <c r="H5" s="78"/>
      <c r="I5" s="78"/>
      <c r="J5" s="78"/>
      <c r="K5" s="78"/>
      <c r="L5" s="78"/>
      <c r="M5" s="79"/>
      <c r="N5" s="76" t="s">
        <v>182</v>
      </c>
      <c r="O5" s="77" t="s">
        <v>183</v>
      </c>
      <c r="P5" s="79"/>
      <c r="Q5" s="76" t="s">
        <v>184</v>
      </c>
    </row>
    <row r="6" spans="1:17" s="74" customFormat="1" ht="15.75" x14ac:dyDescent="0.25">
      <c r="A6" s="80"/>
      <c r="B6" s="80"/>
      <c r="C6" s="80"/>
      <c r="D6" s="80"/>
      <c r="E6" s="81" t="s">
        <v>185</v>
      </c>
      <c r="F6" s="82"/>
      <c r="G6" s="83"/>
      <c r="H6" s="81" t="s">
        <v>186</v>
      </c>
      <c r="I6" s="82"/>
      <c r="J6" s="83"/>
      <c r="K6" s="81" t="s">
        <v>187</v>
      </c>
      <c r="L6" s="82"/>
      <c r="M6" s="83"/>
      <c r="N6" s="80"/>
      <c r="O6" s="76" t="s">
        <v>188</v>
      </c>
      <c r="P6" s="76" t="s">
        <v>189</v>
      </c>
      <c r="Q6" s="80"/>
    </row>
    <row r="7" spans="1:17" s="74" customFormat="1" ht="16.5" thickBot="1" x14ac:dyDescent="0.3">
      <c r="A7" s="80"/>
      <c r="B7" s="80"/>
      <c r="C7" s="84"/>
      <c r="D7" s="80"/>
      <c r="E7" s="85" t="s">
        <v>190</v>
      </c>
      <c r="F7" s="86"/>
      <c r="G7" s="87"/>
      <c r="H7" s="85" t="s">
        <v>191</v>
      </c>
      <c r="I7" s="86"/>
      <c r="J7" s="87"/>
      <c r="K7" s="85" t="s">
        <v>190</v>
      </c>
      <c r="L7" s="86"/>
      <c r="M7" s="87"/>
      <c r="N7" s="80"/>
      <c r="O7" s="80"/>
      <c r="P7" s="80"/>
      <c r="Q7" s="80"/>
    </row>
    <row r="8" spans="1:17" s="74" customFormat="1" ht="16.5" thickBot="1" x14ac:dyDescent="0.3">
      <c r="A8" s="88"/>
      <c r="B8" s="88"/>
      <c r="C8" s="88"/>
      <c r="D8" s="88"/>
      <c r="E8" s="89" t="s">
        <v>192</v>
      </c>
      <c r="F8" s="89" t="s">
        <v>193</v>
      </c>
      <c r="G8" s="89" t="s">
        <v>194</v>
      </c>
      <c r="H8" s="89" t="s">
        <v>192</v>
      </c>
      <c r="I8" s="89" t="s">
        <v>193</v>
      </c>
      <c r="J8" s="89" t="s">
        <v>194</v>
      </c>
      <c r="K8" s="89" t="s">
        <v>192</v>
      </c>
      <c r="L8" s="89" t="s">
        <v>193</v>
      </c>
      <c r="M8" s="89" t="s">
        <v>194</v>
      </c>
      <c r="N8" s="88"/>
      <c r="O8" s="88"/>
      <c r="P8" s="88"/>
      <c r="Q8" s="88"/>
    </row>
    <row r="9" spans="1:17" s="74" customFormat="1" ht="15.75" x14ac:dyDescent="0.25">
      <c r="A9" s="44">
        <v>1</v>
      </c>
      <c r="B9" s="90" t="s">
        <v>195</v>
      </c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2"/>
    </row>
  </sheetData>
  <mergeCells count="19">
    <mergeCell ref="B9:Q9"/>
    <mergeCell ref="E6:G6"/>
    <mergeCell ref="H6:J6"/>
    <mergeCell ref="K6:M6"/>
    <mergeCell ref="O6:O8"/>
    <mergeCell ref="P6:P8"/>
    <mergeCell ref="E7:G7"/>
    <mergeCell ref="H7:J7"/>
    <mergeCell ref="K7:M7"/>
    <mergeCell ref="A1:Q1"/>
    <mergeCell ref="A2:Q2"/>
    <mergeCell ref="A5:A8"/>
    <mergeCell ref="B5:B8"/>
    <mergeCell ref="C5:C8"/>
    <mergeCell ref="D5:D8"/>
    <mergeCell ref="E5:M5"/>
    <mergeCell ref="N5:N8"/>
    <mergeCell ref="O5:P5"/>
    <mergeCell ref="Q5:Q8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view="pageBreakPreview" topLeftCell="A14" zoomScaleSheetLayoutView="100" workbookViewId="0">
      <selection activeCell="C14" sqref="C14:C15"/>
    </sheetView>
  </sheetViews>
  <sheetFormatPr defaultColWidth="9.140625" defaultRowHeight="15.75" x14ac:dyDescent="0.25"/>
  <cols>
    <col min="1" max="1" width="6.85546875" style="12" bestFit="1" customWidth="1"/>
    <col min="2" max="2" width="23.140625" style="12" bestFit="1" customWidth="1"/>
    <col min="3" max="3" width="17.5703125" style="12" bestFit="1" customWidth="1"/>
    <col min="4" max="4" width="9.28515625" style="12" customWidth="1"/>
    <col min="5" max="5" width="7.7109375" style="12" customWidth="1"/>
    <col min="6" max="7" width="9.140625" style="12"/>
    <col min="8" max="8" width="16" style="12" customWidth="1"/>
    <col min="9" max="10" width="9.140625" style="12"/>
    <col min="11" max="11" width="10.28515625" style="12" bestFit="1" customWidth="1"/>
    <col min="12" max="16384" width="9.140625" style="12"/>
  </cols>
  <sheetData>
    <row r="1" spans="1:8" x14ac:dyDescent="0.25">
      <c r="A1" s="59" t="s">
        <v>43</v>
      </c>
      <c r="B1" s="59"/>
      <c r="C1" s="59"/>
      <c r="D1" s="59"/>
      <c r="E1" s="59"/>
      <c r="F1" s="59"/>
      <c r="G1" s="59"/>
      <c r="H1" s="59"/>
    </row>
    <row r="2" spans="1:8" s="22" customFormat="1" x14ac:dyDescent="0.25">
      <c r="B2" s="23" t="s">
        <v>44</v>
      </c>
      <c r="F2" s="60" t="s">
        <v>45</v>
      </c>
      <c r="G2" s="60"/>
      <c r="H2" s="60"/>
    </row>
    <row r="3" spans="1:8" x14ac:dyDescent="0.25">
      <c r="A3" s="54" t="s">
        <v>46</v>
      </c>
      <c r="B3" s="54" t="s">
        <v>47</v>
      </c>
      <c r="C3" s="54" t="s">
        <v>48</v>
      </c>
      <c r="D3" s="54" t="s">
        <v>49</v>
      </c>
      <c r="E3" s="54" t="s">
        <v>50</v>
      </c>
      <c r="F3" s="52" t="s">
        <v>51</v>
      </c>
      <c r="G3" s="52"/>
      <c r="H3" s="54" t="s">
        <v>52</v>
      </c>
    </row>
    <row r="4" spans="1:8" ht="63" x14ac:dyDescent="0.25">
      <c r="A4" s="55"/>
      <c r="B4" s="55"/>
      <c r="C4" s="55"/>
      <c r="D4" s="55"/>
      <c r="E4" s="55"/>
      <c r="F4" s="16" t="s">
        <v>53</v>
      </c>
      <c r="G4" s="16" t="s">
        <v>54</v>
      </c>
      <c r="H4" s="55"/>
    </row>
    <row r="5" spans="1:8" x14ac:dyDescent="0.25">
      <c r="A5" s="10">
        <v>1</v>
      </c>
      <c r="B5" s="11" t="s">
        <v>119</v>
      </c>
      <c r="C5" s="11" t="s">
        <v>140</v>
      </c>
      <c r="D5" s="11">
        <v>5</v>
      </c>
      <c r="E5" s="11">
        <v>4.5</v>
      </c>
      <c r="F5" s="11" t="s">
        <v>157</v>
      </c>
      <c r="G5" s="11">
        <v>20</v>
      </c>
      <c r="H5" s="11"/>
    </row>
    <row r="6" spans="1:8" x14ac:dyDescent="0.25">
      <c r="A6" s="10">
        <v>2</v>
      </c>
      <c r="B6" s="11" t="s">
        <v>116</v>
      </c>
      <c r="C6" s="11" t="s">
        <v>141</v>
      </c>
      <c r="D6" s="11">
        <v>4</v>
      </c>
      <c r="E6" s="11">
        <v>5</v>
      </c>
      <c r="F6" s="11" t="s">
        <v>155</v>
      </c>
      <c r="G6" s="11">
        <v>22</v>
      </c>
      <c r="H6" s="11"/>
    </row>
    <row r="7" spans="1:8" x14ac:dyDescent="0.25">
      <c r="A7" s="10">
        <v>3</v>
      </c>
      <c r="B7" s="11" t="s">
        <v>115</v>
      </c>
      <c r="C7" s="11" t="s">
        <v>142</v>
      </c>
      <c r="D7" s="11">
        <v>2.2999999999999998</v>
      </c>
      <c r="E7" s="11">
        <v>2.5</v>
      </c>
      <c r="F7" s="11" t="s">
        <v>155</v>
      </c>
      <c r="G7" s="11">
        <v>5</v>
      </c>
      <c r="H7" s="11"/>
    </row>
    <row r="8" spans="1:8" x14ac:dyDescent="0.25">
      <c r="A8" s="10">
        <v>4</v>
      </c>
      <c r="B8" s="11" t="s">
        <v>119</v>
      </c>
      <c r="C8" s="11" t="s">
        <v>140</v>
      </c>
      <c r="D8" s="11">
        <v>2.1</v>
      </c>
      <c r="E8" s="11">
        <v>3</v>
      </c>
      <c r="F8" s="11" t="s">
        <v>157</v>
      </c>
      <c r="G8" s="11">
        <v>6</v>
      </c>
      <c r="H8" s="11"/>
    </row>
    <row r="9" spans="1:8" x14ac:dyDescent="0.25">
      <c r="A9" s="24"/>
      <c r="B9" s="25"/>
      <c r="C9" s="26"/>
      <c r="D9" s="27"/>
      <c r="E9" s="28"/>
    </row>
    <row r="10" spans="1:8" x14ac:dyDescent="0.25">
      <c r="A10" s="52" t="s">
        <v>55</v>
      </c>
      <c r="B10" s="52"/>
      <c r="C10" s="52"/>
      <c r="D10" s="52"/>
      <c r="E10" s="52"/>
      <c r="F10" s="52"/>
      <c r="G10" s="52"/>
      <c r="H10" s="52"/>
    </row>
    <row r="11" spans="1:8" x14ac:dyDescent="0.25">
      <c r="A11" s="10">
        <v>1</v>
      </c>
      <c r="B11" s="58" t="s">
        <v>56</v>
      </c>
      <c r="C11" s="58"/>
      <c r="D11" s="58"/>
      <c r="E11" s="58"/>
      <c r="F11" s="58"/>
      <c r="G11" s="58"/>
      <c r="H11" s="29" t="s">
        <v>137</v>
      </c>
    </row>
    <row r="12" spans="1:8" x14ac:dyDescent="0.25">
      <c r="A12" s="10">
        <v>2</v>
      </c>
      <c r="B12" s="58" t="s">
        <v>57</v>
      </c>
      <c r="C12" s="58"/>
      <c r="D12" s="58"/>
      <c r="E12" s="58"/>
      <c r="F12" s="58"/>
      <c r="G12" s="58"/>
      <c r="H12" s="29" t="s">
        <v>138</v>
      </c>
    </row>
    <row r="13" spans="1:8" x14ac:dyDescent="0.25">
      <c r="A13" s="10">
        <v>3</v>
      </c>
      <c r="B13" s="58" t="s">
        <v>58</v>
      </c>
      <c r="C13" s="58"/>
      <c r="D13" s="58"/>
      <c r="E13" s="58"/>
      <c r="F13" s="58"/>
      <c r="G13" s="58"/>
      <c r="H13" s="29" t="s">
        <v>120</v>
      </c>
    </row>
    <row r="14" spans="1:8" x14ac:dyDescent="0.25">
      <c r="A14" s="24"/>
      <c r="B14" s="24"/>
      <c r="C14" s="24"/>
      <c r="D14" s="24"/>
      <c r="E14" s="24"/>
      <c r="F14" s="24"/>
      <c r="G14" s="24"/>
      <c r="H14" s="30"/>
    </row>
    <row r="15" spans="1:8" x14ac:dyDescent="0.25">
      <c r="B15" s="31" t="str">
        <f>B2</f>
        <v xml:space="preserve">    Grid No:  </v>
      </c>
      <c r="F15" s="31" t="s">
        <v>59</v>
      </c>
      <c r="G15" s="31"/>
    </row>
    <row r="16" spans="1:8" x14ac:dyDescent="0.25">
      <c r="A16" s="52" t="s">
        <v>46</v>
      </c>
      <c r="B16" s="52" t="s">
        <v>47</v>
      </c>
      <c r="C16" s="52" t="s">
        <v>48</v>
      </c>
      <c r="D16" s="54" t="s">
        <v>49</v>
      </c>
      <c r="E16" s="52" t="s">
        <v>50</v>
      </c>
      <c r="F16" s="52" t="s">
        <v>51</v>
      </c>
      <c r="G16" s="52"/>
      <c r="H16" s="52" t="s">
        <v>52</v>
      </c>
    </row>
    <row r="17" spans="1:8" ht="63" x14ac:dyDescent="0.25">
      <c r="A17" s="52"/>
      <c r="B17" s="52"/>
      <c r="C17" s="52"/>
      <c r="D17" s="55"/>
      <c r="E17" s="52"/>
      <c r="F17" s="16" t="s">
        <v>53</v>
      </c>
      <c r="G17" s="16" t="s">
        <v>54</v>
      </c>
      <c r="H17" s="52"/>
    </row>
    <row r="18" spans="1:8" x14ac:dyDescent="0.25">
      <c r="A18" s="10">
        <v>1</v>
      </c>
      <c r="B18" s="16" t="s">
        <v>107</v>
      </c>
      <c r="C18" s="16" t="s">
        <v>144</v>
      </c>
      <c r="D18" s="16">
        <v>5</v>
      </c>
      <c r="E18" s="16">
        <v>11</v>
      </c>
      <c r="F18" s="16" t="s">
        <v>156</v>
      </c>
      <c r="G18" s="16">
        <v>60</v>
      </c>
      <c r="H18" s="16"/>
    </row>
    <row r="19" spans="1:8" x14ac:dyDescent="0.25">
      <c r="A19" s="10">
        <v>2</v>
      </c>
      <c r="B19" s="16" t="s">
        <v>121</v>
      </c>
      <c r="C19" s="16" t="s">
        <v>143</v>
      </c>
      <c r="D19" s="16">
        <v>3</v>
      </c>
      <c r="E19" s="16">
        <v>4</v>
      </c>
      <c r="F19" s="16" t="s">
        <v>157</v>
      </c>
      <c r="G19" s="16">
        <v>13</v>
      </c>
      <c r="H19" s="16"/>
    </row>
    <row r="20" spans="1:8" x14ac:dyDescent="0.25">
      <c r="A20" s="10">
        <v>3</v>
      </c>
      <c r="B20" s="16" t="s">
        <v>115</v>
      </c>
      <c r="C20" s="16" t="s">
        <v>142</v>
      </c>
      <c r="D20" s="16">
        <v>2.5</v>
      </c>
      <c r="E20" s="16">
        <v>3</v>
      </c>
      <c r="F20" s="16" t="s">
        <v>157</v>
      </c>
      <c r="G20" s="16">
        <v>7</v>
      </c>
      <c r="H20" s="16"/>
    </row>
    <row r="21" spans="1:8" x14ac:dyDescent="0.25">
      <c r="A21" s="24"/>
      <c r="B21" s="32"/>
      <c r="C21" s="33"/>
      <c r="D21" s="24"/>
      <c r="E21" s="24"/>
      <c r="F21" s="24"/>
      <c r="G21" s="24"/>
      <c r="H21" s="24"/>
    </row>
    <row r="22" spans="1:8" x14ac:dyDescent="0.25">
      <c r="A22" s="52" t="s">
        <v>55</v>
      </c>
      <c r="B22" s="52"/>
      <c r="C22" s="52"/>
      <c r="D22" s="52"/>
      <c r="E22" s="52"/>
      <c r="F22" s="52"/>
      <c r="G22" s="52"/>
      <c r="H22" s="52"/>
    </row>
    <row r="23" spans="1:8" x14ac:dyDescent="0.25">
      <c r="A23" s="10">
        <v>1</v>
      </c>
      <c r="B23" s="58" t="s">
        <v>56</v>
      </c>
      <c r="C23" s="58"/>
      <c r="D23" s="58"/>
      <c r="E23" s="58"/>
      <c r="F23" s="58"/>
      <c r="G23" s="58"/>
      <c r="H23" s="10" t="s">
        <v>135</v>
      </c>
    </row>
    <row r="24" spans="1:8" x14ac:dyDescent="0.25">
      <c r="A24" s="10">
        <v>2</v>
      </c>
      <c r="B24" s="58" t="s">
        <v>57</v>
      </c>
      <c r="C24" s="58"/>
      <c r="D24" s="58"/>
      <c r="E24" s="58"/>
      <c r="F24" s="58"/>
      <c r="G24" s="58"/>
      <c r="H24" s="10" t="s">
        <v>136</v>
      </c>
    </row>
    <row r="25" spans="1:8" x14ac:dyDescent="0.25">
      <c r="A25" s="10">
        <v>3</v>
      </c>
      <c r="B25" s="58" t="s">
        <v>58</v>
      </c>
      <c r="C25" s="58"/>
      <c r="D25" s="58"/>
      <c r="E25" s="58"/>
      <c r="F25" s="58"/>
      <c r="G25" s="58"/>
      <c r="H25" s="10">
        <v>0</v>
      </c>
    </row>
    <row r="26" spans="1:8" x14ac:dyDescent="0.25">
      <c r="A26" s="24"/>
      <c r="B26" s="33"/>
      <c r="C26" s="33"/>
      <c r="D26" s="33"/>
      <c r="E26" s="33"/>
      <c r="F26" s="33"/>
      <c r="G26" s="33"/>
      <c r="H26" s="30"/>
    </row>
    <row r="27" spans="1:8" x14ac:dyDescent="0.25">
      <c r="B27" s="31" t="str">
        <f>B2</f>
        <v xml:space="preserve">    Grid No:  </v>
      </c>
      <c r="F27" s="23" t="s">
        <v>73</v>
      </c>
      <c r="G27" s="23"/>
    </row>
    <row r="28" spans="1:8" x14ac:dyDescent="0.25">
      <c r="A28" s="52" t="s">
        <v>46</v>
      </c>
      <c r="B28" s="52" t="s">
        <v>47</v>
      </c>
      <c r="C28" s="52" t="s">
        <v>48</v>
      </c>
      <c r="D28" s="54" t="s">
        <v>49</v>
      </c>
      <c r="E28" s="52" t="s">
        <v>50</v>
      </c>
      <c r="F28" s="52" t="s">
        <v>51</v>
      </c>
      <c r="G28" s="52"/>
      <c r="H28" s="52" t="s">
        <v>52</v>
      </c>
    </row>
    <row r="29" spans="1:8" ht="63" x14ac:dyDescent="0.25">
      <c r="A29" s="52"/>
      <c r="B29" s="52"/>
      <c r="C29" s="52"/>
      <c r="D29" s="55"/>
      <c r="E29" s="52"/>
      <c r="F29" s="16" t="s">
        <v>53</v>
      </c>
      <c r="G29" s="16" t="s">
        <v>54</v>
      </c>
      <c r="H29" s="52"/>
    </row>
    <row r="30" spans="1:8" s="22" customFormat="1" x14ac:dyDescent="0.25">
      <c r="A30" s="10">
        <v>1</v>
      </c>
      <c r="B30" s="34" t="s">
        <v>145</v>
      </c>
      <c r="C30" s="10" t="s">
        <v>146</v>
      </c>
      <c r="D30" s="10">
        <v>6</v>
      </c>
      <c r="E30" s="10">
        <v>5.5</v>
      </c>
      <c r="F30" s="10" t="s">
        <v>154</v>
      </c>
      <c r="G30" s="10">
        <v>35</v>
      </c>
      <c r="H30" s="10"/>
    </row>
    <row r="31" spans="1:8" s="22" customFormat="1" x14ac:dyDescent="0.25">
      <c r="A31" s="10">
        <v>2</v>
      </c>
      <c r="B31" s="34" t="s">
        <v>103</v>
      </c>
      <c r="C31" s="10" t="s">
        <v>147</v>
      </c>
      <c r="D31" s="10">
        <v>3.5</v>
      </c>
      <c r="E31" s="10">
        <v>4</v>
      </c>
      <c r="F31" s="10" t="s">
        <v>154</v>
      </c>
      <c r="G31" s="10">
        <v>13</v>
      </c>
      <c r="H31" s="10"/>
    </row>
    <row r="32" spans="1:8" s="22" customFormat="1" x14ac:dyDescent="0.25">
      <c r="A32" s="10">
        <v>3</v>
      </c>
      <c r="B32" s="34" t="s">
        <v>116</v>
      </c>
      <c r="C32" s="10" t="s">
        <v>141</v>
      </c>
      <c r="D32" s="10">
        <v>4.5</v>
      </c>
      <c r="E32" s="10">
        <v>5</v>
      </c>
      <c r="F32" s="10" t="s">
        <v>156</v>
      </c>
      <c r="G32" s="10">
        <v>26</v>
      </c>
      <c r="H32" s="10"/>
    </row>
    <row r="33" spans="1:8" x14ac:dyDescent="0.25">
      <c r="A33" s="24"/>
      <c r="B33" s="24"/>
      <c r="C33" s="24"/>
      <c r="D33" s="24"/>
      <c r="E33" s="24"/>
      <c r="F33" s="24"/>
      <c r="G33" s="24"/>
      <c r="H33" s="24"/>
    </row>
    <row r="34" spans="1:8" x14ac:dyDescent="0.25">
      <c r="B34" s="31" t="str">
        <f>B2</f>
        <v xml:space="preserve">    Grid No:  </v>
      </c>
      <c r="F34" s="53" t="s">
        <v>74</v>
      </c>
      <c r="G34" s="53"/>
      <c r="H34" s="53"/>
    </row>
    <row r="35" spans="1:8" x14ac:dyDescent="0.25">
      <c r="A35" s="54" t="s">
        <v>46</v>
      </c>
      <c r="B35" s="54" t="s">
        <v>47</v>
      </c>
      <c r="C35" s="54" t="s">
        <v>48</v>
      </c>
      <c r="D35" s="54" t="s">
        <v>49</v>
      </c>
      <c r="E35" s="54" t="s">
        <v>50</v>
      </c>
      <c r="F35" s="56" t="s">
        <v>51</v>
      </c>
      <c r="G35" s="57"/>
      <c r="H35" s="54" t="s">
        <v>52</v>
      </c>
    </row>
    <row r="36" spans="1:8" ht="63" x14ac:dyDescent="0.25">
      <c r="A36" s="55"/>
      <c r="B36" s="55"/>
      <c r="C36" s="55"/>
      <c r="D36" s="55"/>
      <c r="E36" s="55"/>
      <c r="F36" s="16" t="s">
        <v>53</v>
      </c>
      <c r="G36" s="16" t="s">
        <v>54</v>
      </c>
      <c r="H36" s="55"/>
    </row>
    <row r="37" spans="1:8" s="22" customFormat="1" x14ac:dyDescent="0.25">
      <c r="A37" s="35">
        <v>1</v>
      </c>
      <c r="B37" s="34" t="s">
        <v>122</v>
      </c>
      <c r="C37" s="10" t="s">
        <v>148</v>
      </c>
      <c r="D37" s="35">
        <v>5</v>
      </c>
      <c r="E37" s="36">
        <v>6</v>
      </c>
      <c r="F37" s="21" t="s">
        <v>157</v>
      </c>
      <c r="G37" s="21">
        <v>33</v>
      </c>
      <c r="H37" s="21"/>
    </row>
    <row r="38" spans="1:8" s="22" customFormat="1" x14ac:dyDescent="0.25">
      <c r="A38" s="35">
        <v>2</v>
      </c>
      <c r="B38" s="34" t="s">
        <v>123</v>
      </c>
      <c r="C38" s="10"/>
      <c r="D38" s="35">
        <v>4.5</v>
      </c>
      <c r="E38" s="36">
        <v>4.5</v>
      </c>
      <c r="F38" s="21" t="s">
        <v>159</v>
      </c>
      <c r="G38" s="21">
        <v>18</v>
      </c>
      <c r="H38" s="21"/>
    </row>
  </sheetData>
  <mergeCells count="39"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10:H10"/>
    <mergeCell ref="B11:G11"/>
    <mergeCell ref="B12:G12"/>
    <mergeCell ref="B13:G13"/>
    <mergeCell ref="A16:A17"/>
    <mergeCell ref="B16:B17"/>
    <mergeCell ref="C16:C17"/>
    <mergeCell ref="D16:D17"/>
    <mergeCell ref="E16:E17"/>
    <mergeCell ref="F16:G16"/>
    <mergeCell ref="H16:H17"/>
    <mergeCell ref="A22:H22"/>
    <mergeCell ref="B23:G23"/>
    <mergeCell ref="B24:G24"/>
    <mergeCell ref="B25:G25"/>
    <mergeCell ref="A28:A29"/>
    <mergeCell ref="B28:B29"/>
    <mergeCell ref="C28:C29"/>
    <mergeCell ref="D28:D29"/>
    <mergeCell ref="E28:E29"/>
    <mergeCell ref="F28:G28"/>
    <mergeCell ref="H28:H29"/>
    <mergeCell ref="F34:H34"/>
    <mergeCell ref="A35:A36"/>
    <mergeCell ref="B35:B36"/>
    <mergeCell ref="C35:C36"/>
    <mergeCell ref="D35:D36"/>
    <mergeCell ref="E35:E36"/>
    <mergeCell ref="F35:G35"/>
    <mergeCell ref="H35:H36"/>
  </mergeCells>
  <printOptions horizontalCentered="1"/>
  <pageMargins left="0.15748031496062992" right="0.23622047244094491" top="0.39370078740157483" bottom="0.27559055118110237" header="0.15748031496062992" footer="0.15748031496062992"/>
  <pageSetup scale="9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3"/>
  <sheetViews>
    <sheetView tabSelected="1" view="pageBreakPreview" zoomScale="85" zoomScaleNormal="85" zoomScaleSheetLayoutView="85" workbookViewId="0">
      <selection activeCell="D18" sqref="D18"/>
    </sheetView>
  </sheetViews>
  <sheetFormatPr defaultColWidth="9.140625" defaultRowHeight="15.75" x14ac:dyDescent="0.25"/>
  <cols>
    <col min="1" max="1" width="6.5703125" style="12" customWidth="1"/>
    <col min="2" max="2" width="22.28515625" style="12" bestFit="1" customWidth="1"/>
    <col min="3" max="3" width="15.140625" style="26" bestFit="1" customWidth="1"/>
    <col min="4" max="4" width="9.140625" style="12"/>
    <col min="5" max="6" width="10.28515625" style="12" customWidth="1"/>
    <col min="7" max="7" width="18.85546875" style="12" customWidth="1"/>
    <col min="8" max="16384" width="9.140625" style="12"/>
  </cols>
  <sheetData>
    <row r="1" spans="1:7" x14ac:dyDescent="0.25">
      <c r="A1" s="59" t="s">
        <v>60</v>
      </c>
      <c r="B1" s="59"/>
      <c r="C1" s="59"/>
      <c r="D1" s="59"/>
      <c r="E1" s="59"/>
      <c r="F1" s="59"/>
      <c r="G1" s="59"/>
    </row>
    <row r="2" spans="1:7" x14ac:dyDescent="0.25">
      <c r="E2" s="60" t="s">
        <v>45</v>
      </c>
      <c r="F2" s="60"/>
      <c r="G2" s="60"/>
    </row>
    <row r="3" spans="1:7" x14ac:dyDescent="0.25">
      <c r="A3" s="52" t="s">
        <v>46</v>
      </c>
      <c r="B3" s="52" t="s">
        <v>47</v>
      </c>
      <c r="C3" s="51" t="s">
        <v>48</v>
      </c>
      <c r="D3" s="52" t="s">
        <v>61</v>
      </c>
      <c r="E3" s="52" t="s">
        <v>51</v>
      </c>
      <c r="F3" s="52"/>
      <c r="G3" s="52" t="s">
        <v>62</v>
      </c>
    </row>
    <row r="4" spans="1:7" ht="31.5" x14ac:dyDescent="0.25">
      <c r="A4" s="52"/>
      <c r="B4" s="52"/>
      <c r="C4" s="51"/>
      <c r="D4" s="52"/>
      <c r="E4" s="16" t="s">
        <v>63</v>
      </c>
      <c r="F4" s="16" t="s">
        <v>64</v>
      </c>
      <c r="G4" s="52"/>
    </row>
    <row r="5" spans="1:7" x14ac:dyDescent="0.25">
      <c r="A5" s="52"/>
      <c r="B5" s="52"/>
      <c r="C5" s="51"/>
      <c r="D5" s="52"/>
      <c r="E5" s="16" t="s">
        <v>65</v>
      </c>
      <c r="F5" s="16" t="s">
        <v>71</v>
      </c>
      <c r="G5" s="52"/>
    </row>
    <row r="6" spans="1:7" x14ac:dyDescent="0.25">
      <c r="A6" s="10">
        <v>1</v>
      </c>
      <c r="B6" s="16" t="s">
        <v>111</v>
      </c>
      <c r="C6" s="37" t="s">
        <v>149</v>
      </c>
      <c r="D6" s="16">
        <v>50</v>
      </c>
      <c r="E6" s="16" t="s">
        <v>154</v>
      </c>
      <c r="F6" s="16">
        <v>220</v>
      </c>
      <c r="G6" s="16"/>
    </row>
    <row r="7" spans="1:7" x14ac:dyDescent="0.25">
      <c r="A7" s="10">
        <v>2</v>
      </c>
      <c r="B7" s="16" t="s">
        <v>111</v>
      </c>
      <c r="C7" s="37" t="s">
        <v>149</v>
      </c>
      <c r="D7" s="16">
        <v>45</v>
      </c>
      <c r="E7" s="16" t="s">
        <v>154</v>
      </c>
      <c r="F7" s="16">
        <v>200</v>
      </c>
      <c r="G7" s="16"/>
    </row>
    <row r="8" spans="1:7" x14ac:dyDescent="0.25">
      <c r="A8" s="10">
        <v>3</v>
      </c>
      <c r="B8" s="16" t="s">
        <v>111</v>
      </c>
      <c r="C8" s="37" t="s">
        <v>149</v>
      </c>
      <c r="D8" s="16">
        <v>30</v>
      </c>
      <c r="E8" s="16" t="s">
        <v>154</v>
      </c>
      <c r="F8" s="16">
        <v>170</v>
      </c>
      <c r="G8" s="16"/>
    </row>
    <row r="9" spans="1:7" x14ac:dyDescent="0.25">
      <c r="A9" s="10">
        <v>4</v>
      </c>
      <c r="B9" s="16" t="s">
        <v>112</v>
      </c>
      <c r="C9" s="37" t="s">
        <v>150</v>
      </c>
      <c r="D9" s="16">
        <v>45</v>
      </c>
      <c r="E9" s="16" t="s">
        <v>155</v>
      </c>
      <c r="F9" s="16">
        <v>200</v>
      </c>
      <c r="G9" s="16"/>
    </row>
    <row r="10" spans="1:7" x14ac:dyDescent="0.25">
      <c r="A10" s="10">
        <v>5</v>
      </c>
      <c r="B10" s="16" t="s">
        <v>113</v>
      </c>
      <c r="C10" s="37" t="s">
        <v>152</v>
      </c>
      <c r="D10" s="16">
        <v>25</v>
      </c>
      <c r="E10" s="16" t="s">
        <v>156</v>
      </c>
      <c r="F10" s="16">
        <v>150</v>
      </c>
      <c r="G10" s="16"/>
    </row>
    <row r="11" spans="1:7" x14ac:dyDescent="0.25">
      <c r="A11" s="10">
        <v>6</v>
      </c>
      <c r="B11" s="16" t="s">
        <v>114</v>
      </c>
      <c r="C11" s="37" t="s">
        <v>151</v>
      </c>
      <c r="D11" s="16">
        <v>60</v>
      </c>
      <c r="E11" s="16" t="s">
        <v>157</v>
      </c>
      <c r="F11" s="16">
        <v>260</v>
      </c>
      <c r="G11" s="16"/>
    </row>
    <row r="12" spans="1:7" x14ac:dyDescent="0.25">
      <c r="A12" s="52" t="s">
        <v>55</v>
      </c>
      <c r="B12" s="52"/>
      <c r="C12" s="52"/>
      <c r="D12" s="52"/>
      <c r="E12" s="52"/>
      <c r="F12" s="52"/>
      <c r="G12" s="52"/>
    </row>
    <row r="13" spans="1:7" x14ac:dyDescent="0.25">
      <c r="A13" s="24"/>
      <c r="B13" s="30"/>
      <c r="C13" s="33"/>
      <c r="D13" s="24"/>
      <c r="E13" s="30"/>
      <c r="F13" s="30"/>
      <c r="G13" s="30"/>
    </row>
    <row r="14" spans="1:7" s="22" customFormat="1" x14ac:dyDescent="0.25">
      <c r="B14" s="38" t="s">
        <v>67</v>
      </c>
      <c r="C14" s="39"/>
      <c r="E14" s="59" t="s">
        <v>68</v>
      </c>
      <c r="F14" s="59"/>
      <c r="G14" s="59"/>
    </row>
    <row r="15" spans="1:7" x14ac:dyDescent="0.25">
      <c r="A15" s="52" t="s">
        <v>46</v>
      </c>
      <c r="B15" s="52" t="s">
        <v>47</v>
      </c>
      <c r="C15" s="61" t="s">
        <v>48</v>
      </c>
      <c r="D15" s="52" t="s">
        <v>61</v>
      </c>
      <c r="E15" s="52" t="s">
        <v>51</v>
      </c>
      <c r="F15" s="52"/>
      <c r="G15" s="52" t="s">
        <v>62</v>
      </c>
    </row>
    <row r="16" spans="1:7" ht="31.5" x14ac:dyDescent="0.25">
      <c r="A16" s="52"/>
      <c r="B16" s="52"/>
      <c r="C16" s="62"/>
      <c r="D16" s="52"/>
      <c r="E16" s="16" t="s">
        <v>63</v>
      </c>
      <c r="F16" s="16" t="s">
        <v>64</v>
      </c>
      <c r="G16" s="52"/>
    </row>
    <row r="17" spans="1:7" ht="31.5" x14ac:dyDescent="0.25">
      <c r="A17" s="52"/>
      <c r="B17" s="52"/>
      <c r="C17" s="63"/>
      <c r="D17" s="52"/>
      <c r="E17" s="16" t="s">
        <v>65</v>
      </c>
      <c r="F17" s="16" t="s">
        <v>66</v>
      </c>
      <c r="G17" s="52"/>
    </row>
    <row r="18" spans="1:7" s="22" customFormat="1" x14ac:dyDescent="0.25">
      <c r="A18" s="35">
        <v>1</v>
      </c>
      <c r="B18" s="21" t="s">
        <v>115</v>
      </c>
      <c r="C18" s="40" t="s">
        <v>142</v>
      </c>
      <c r="D18" s="35">
        <v>55</v>
      </c>
      <c r="E18" s="21" t="s">
        <v>157</v>
      </c>
      <c r="F18" s="21">
        <v>220</v>
      </c>
      <c r="G18" s="21"/>
    </row>
    <row r="19" spans="1:7" s="22" customFormat="1" x14ac:dyDescent="0.25">
      <c r="A19" s="35">
        <v>2</v>
      </c>
      <c r="B19" s="21" t="s">
        <v>116</v>
      </c>
      <c r="C19" s="40" t="s">
        <v>141</v>
      </c>
      <c r="D19" s="35">
        <v>120</v>
      </c>
      <c r="E19" s="21" t="s">
        <v>156</v>
      </c>
      <c r="F19" s="21">
        <v>420</v>
      </c>
      <c r="G19" s="21"/>
    </row>
    <row r="20" spans="1:7" s="22" customFormat="1" x14ac:dyDescent="0.25">
      <c r="A20" s="35">
        <v>3</v>
      </c>
      <c r="B20" s="21" t="s">
        <v>117</v>
      </c>
      <c r="C20" s="40" t="s">
        <v>153</v>
      </c>
      <c r="D20" s="35">
        <v>50</v>
      </c>
      <c r="E20" s="21" t="s">
        <v>154</v>
      </c>
      <c r="F20" s="21">
        <v>220</v>
      </c>
      <c r="G20" s="21"/>
    </row>
    <row r="21" spans="1:7" s="22" customFormat="1" x14ac:dyDescent="0.25">
      <c r="A21" s="35">
        <v>4</v>
      </c>
      <c r="B21" s="21" t="s">
        <v>117</v>
      </c>
      <c r="C21" s="40" t="s">
        <v>153</v>
      </c>
      <c r="D21" s="35">
        <v>40</v>
      </c>
      <c r="E21" s="21" t="s">
        <v>158</v>
      </c>
      <c r="F21" s="21">
        <v>190</v>
      </c>
      <c r="G21" s="21"/>
    </row>
    <row r="22" spans="1:7" s="22" customFormat="1" x14ac:dyDescent="0.25">
      <c r="A22" s="35">
        <v>5</v>
      </c>
      <c r="B22" s="21" t="s">
        <v>117</v>
      </c>
      <c r="C22" s="40" t="s">
        <v>153</v>
      </c>
      <c r="D22" s="35">
        <v>37</v>
      </c>
      <c r="E22" s="21" t="s">
        <v>154</v>
      </c>
      <c r="F22" s="21">
        <v>185</v>
      </c>
      <c r="G22" s="21"/>
    </row>
    <row r="23" spans="1:7" s="22" customFormat="1" x14ac:dyDescent="0.25">
      <c r="A23" s="35">
        <v>6</v>
      </c>
      <c r="B23" s="21" t="s">
        <v>118</v>
      </c>
      <c r="C23" s="40"/>
      <c r="D23" s="35">
        <v>85</v>
      </c>
      <c r="E23" s="21" t="s">
        <v>157</v>
      </c>
      <c r="F23" s="21">
        <v>385</v>
      </c>
      <c r="G23" s="21"/>
    </row>
  </sheetData>
  <mergeCells count="16">
    <mergeCell ref="A1:G1"/>
    <mergeCell ref="E2:G2"/>
    <mergeCell ref="A3:A5"/>
    <mergeCell ref="B3:B5"/>
    <mergeCell ref="C3:C5"/>
    <mergeCell ref="D3:D5"/>
    <mergeCell ref="E3:F3"/>
    <mergeCell ref="G3:G5"/>
    <mergeCell ref="A12:G12"/>
    <mergeCell ref="E14:G14"/>
    <mergeCell ref="A15:A17"/>
    <mergeCell ref="B15:B17"/>
    <mergeCell ref="C15:C17"/>
    <mergeCell ref="D15:D17"/>
    <mergeCell ref="E15:F15"/>
    <mergeCell ref="G15:G17"/>
  </mergeCells>
  <printOptions horizontalCentered="1"/>
  <pageMargins left="0.23622047244094491" right="0.39370078740157483" top="0.31496062992125984" bottom="0.19685039370078741" header="0.31496062992125984" footer="0.31496062992125984"/>
  <pageSetup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Form 1</vt:lpstr>
      <vt:lpstr>Form II</vt:lpstr>
      <vt:lpstr>Sheet2</vt:lpstr>
      <vt:lpstr>Sheet3</vt:lpstr>
      <vt:lpstr>F-B</vt:lpstr>
      <vt:lpstr>Form C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2024-10-24T12:03:06Z</cp:lastPrinted>
  <dcterms:created xsi:type="dcterms:W3CDTF">2023-09-21T06:16:02Z</dcterms:created>
  <dcterms:modified xsi:type="dcterms:W3CDTF">2024-10-24T12:03:08Z</dcterms:modified>
</cp:coreProperties>
</file>