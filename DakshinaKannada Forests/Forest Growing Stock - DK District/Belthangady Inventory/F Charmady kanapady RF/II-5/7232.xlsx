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E:\Madhu\RFO Documnets\Naveen Sir RFO\187 Format\F Charmady kanapady RF\II-5\"/>
    </mc:Choice>
  </mc:AlternateContent>
  <xr:revisionPtr revIDLastSave="0" documentId="13_ncr:1_{F3960CB6-112C-4198-9D49-4853F8352D9F}" xr6:coauthVersionLast="47" xr6:coauthVersionMax="47" xr10:uidLastSave="{00000000-0000-0000-0000-000000000000}"/>
  <bookViews>
    <workbookView xWindow="-120" yWindow="-120" windowWidth="29040" windowHeight="15720" activeTab="5" xr2:uid="{00000000-000D-0000-FFFF-FFFF00000000}"/>
  </bookViews>
  <sheets>
    <sheet name="Form 1" sheetId="4" r:id="rId1"/>
    <sheet name="Form II" sheetId="5" r:id="rId2"/>
    <sheet name="Sheet2" sheetId="12" r:id="rId3"/>
    <sheet name="Sheet3" sheetId="13" r:id="rId4"/>
    <sheet name="F-B" sheetId="8" r:id="rId5"/>
    <sheet name="Form C" sheetId="9" r:id="rId6"/>
  </sheets>
  <definedNames>
    <definedName name="_xlnm.Print_Titles" localSheetId="4">'F-B'!$1:$1</definedName>
    <definedName name="_xlnm.Print_Titles" localSheetId="0">'Form 1'!$4:$4</definedName>
    <definedName name="_xlnm.Print_Titles" localSheetId="5">'Form C'!$1:$1</definedName>
    <definedName name="_xlnm.Print_Titles" localSheetId="1">'Form II'!$4:$4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5" i="5" l="1"/>
  <c r="C7" i="5"/>
  <c r="C8" i="5"/>
  <c r="C9" i="5"/>
  <c r="C10" i="5"/>
  <c r="B30" i="8"/>
  <c r="B22" i="8"/>
  <c r="B12" i="8"/>
</calcChain>
</file>

<file path=xl/sharedStrings.xml><?xml version="1.0" encoding="utf-8"?>
<sst xmlns="http://schemas.openxmlformats.org/spreadsheetml/2006/main" count="297" uniqueCount="195">
  <si>
    <t>Form I</t>
  </si>
  <si>
    <t>PLOT APPROACH FORM</t>
  </si>
  <si>
    <t xml:space="preserve">Name of Division: </t>
  </si>
  <si>
    <t>SI.No</t>
  </si>
  <si>
    <t>Heading</t>
  </si>
  <si>
    <t>Description</t>
  </si>
  <si>
    <t>Range</t>
  </si>
  <si>
    <t>Block and/or beat</t>
  </si>
  <si>
    <t>Compartment</t>
  </si>
  <si>
    <t>Grid</t>
  </si>
  <si>
    <t>Latitude</t>
  </si>
  <si>
    <t>Longitude</t>
  </si>
  <si>
    <t>Journey/approach to the plot</t>
  </si>
  <si>
    <t>Ocular stock assessment</t>
  </si>
  <si>
    <t>General observational information</t>
  </si>
  <si>
    <t>Conspicuous features</t>
  </si>
  <si>
    <t>Removal of fuel wood and fodder</t>
  </si>
  <si>
    <t>Form II</t>
  </si>
  <si>
    <t>PLOT DESCRIPTION FORM</t>
  </si>
  <si>
    <t>Remarks</t>
  </si>
  <si>
    <t>LAT.</t>
  </si>
  <si>
    <t>LONG.</t>
  </si>
  <si>
    <t>ALT.</t>
  </si>
  <si>
    <t>Legal Status</t>
  </si>
  <si>
    <t>Land Use</t>
  </si>
  <si>
    <t>General topography</t>
  </si>
  <si>
    <t>Slope</t>
  </si>
  <si>
    <t>Aspect</t>
  </si>
  <si>
    <t>Rock and geology</t>
  </si>
  <si>
    <t>Sedimentary Rocks / Metamorphic Rocks / Ignecious Rocks</t>
  </si>
  <si>
    <t>Soil data</t>
  </si>
  <si>
    <t>Soil erosion</t>
  </si>
  <si>
    <t>Crop composition</t>
  </si>
  <si>
    <t xml:space="preserve">Injury/ damage to crop, if any </t>
  </si>
  <si>
    <t>Biotic Influence</t>
  </si>
  <si>
    <t>Grazing incidence</t>
  </si>
  <si>
    <t>Presence of bamboos</t>
  </si>
  <si>
    <t>Presence of grasses</t>
  </si>
  <si>
    <t>Presence of weeds</t>
  </si>
  <si>
    <t xml:space="preserve">Invasive Species </t>
  </si>
  <si>
    <t>Plantation status</t>
  </si>
  <si>
    <t>water bodies</t>
  </si>
  <si>
    <t>Drivers of degradation</t>
  </si>
  <si>
    <t xml:space="preserve">    PLOT ENUMERATION FORM – B (3m X 3m Plot)       Grid No:</t>
  </si>
  <si>
    <t xml:space="preserve">    Grid No:  </t>
  </si>
  <si>
    <t xml:space="preserve">NORTH EAST CORNER </t>
  </si>
  <si>
    <t>Sl. No</t>
  </si>
  <si>
    <t>Species name</t>
  </si>
  <si>
    <t>Local name</t>
  </si>
  <si>
    <t>Collar Dia
In cm (if any)</t>
  </si>
  <si>
    <t>Height 
(in m)</t>
  </si>
  <si>
    <t>NTFP utility</t>
  </si>
  <si>
    <t>Remarks, if any, about the condition of shrub vegetation</t>
  </si>
  <si>
    <t>Part of the plant body</t>
  </si>
  <si>
    <t>Approx. weight and or no.</t>
  </si>
  <si>
    <t>OBSERVATIONS RECORDED</t>
  </si>
  <si>
    <t>Wieght of  humas &amp; Soil carbon, Forest floor of  1m X 1m plot ( within the main plot)</t>
  </si>
  <si>
    <t xml:space="preserve">Weight  of All Woody litter i.e., all branches below 5cm Dia in 3m X 3m Plot </t>
  </si>
  <si>
    <t xml:space="preserve">Weight  of All dead wood above 5cm Dia  in 5m X 5m Plot </t>
  </si>
  <si>
    <t xml:space="preserve">SOUTH WEST CORNER </t>
  </si>
  <si>
    <t xml:space="preserve">          PLOT ENUMERATION FORM – C (1m X 1m Plot)    Grid No: </t>
  </si>
  <si>
    <t>Height  (in cm)</t>
  </si>
  <si>
    <t>Remarks, if any, about the condition of herbal vegetation</t>
  </si>
  <si>
    <t>Part of the plant</t>
  </si>
  <si>
    <t>Approx. weight</t>
  </si>
  <si>
    <t>body</t>
  </si>
  <si>
    <t>and or no.</t>
  </si>
  <si>
    <t xml:space="preserve"> Grid No: </t>
  </si>
  <si>
    <t>SOUTH WEST CORNER</t>
  </si>
  <si>
    <t>Block and Compartment</t>
  </si>
  <si>
    <t>Regeneration status(general observation)</t>
  </si>
  <si>
    <t>or no.</t>
  </si>
  <si>
    <t>Sec &amp; or  beat</t>
  </si>
  <si>
    <t xml:space="preserve"> NORTH WEST CORNER </t>
  </si>
  <si>
    <t>SOUTH EAST CORNER</t>
  </si>
  <si>
    <t xml:space="preserve">Schleichera oleosa , Terminalia paniculata , Tabernamontana heyneana , Albizzia amara , Macaranga peltata </t>
  </si>
  <si>
    <t xml:space="preserve">Grasses - Anthroxon ramosa , </t>
  </si>
  <si>
    <t xml:space="preserve">Bamboos -Bambusa bambos </t>
  </si>
  <si>
    <t xml:space="preserve">Herbs -Derris sp , Gymnostachia sp </t>
  </si>
  <si>
    <t xml:space="preserve">Shrubs - Cinonanthus-mala elangi , Chukrasia tabularis , Clerodendrum infortunatum , Ziziphus regusa </t>
  </si>
  <si>
    <t xml:space="preserve">Underwood species –Tabernamontana heyneana , Manoon fragrans , Heliscteres isora , Olea dioca </t>
  </si>
  <si>
    <t xml:space="preserve">Climbers -Gnetum ula , Spatholobus sp , Getonia floribunda </t>
  </si>
  <si>
    <t xml:space="preserve">Rattans –Calamus thwiitesii </t>
  </si>
  <si>
    <t xml:space="preserve">NTFP yieding sps – Mallotus philippensis </t>
  </si>
  <si>
    <t>685 ft</t>
  </si>
  <si>
    <r>
      <rPr>
        <b/>
        <sz val="12"/>
        <rFont val="Times New Roman"/>
        <family val="1"/>
      </rPr>
      <t xml:space="preserve">Reserve Forest </t>
    </r>
    <r>
      <rPr>
        <sz val="12"/>
        <rFont val="Times New Roman"/>
        <family val="1"/>
      </rPr>
      <t>/ Protected Forest/ Un classed Forest /Private Forest/ Private Land</t>
    </r>
  </si>
  <si>
    <r>
      <t>Closed Forest /</t>
    </r>
    <r>
      <rPr>
        <b/>
        <sz val="12"/>
        <rFont val="Times New Roman"/>
        <family val="1"/>
      </rPr>
      <t xml:space="preserve">Dense Forest </t>
    </r>
    <r>
      <rPr>
        <sz val="12"/>
        <rFont val="Times New Roman"/>
        <family val="1"/>
      </rPr>
      <t>/Open Forest / Scrub</t>
    </r>
  </si>
  <si>
    <r>
      <t xml:space="preserve">Flat / </t>
    </r>
    <r>
      <rPr>
        <b/>
        <sz val="12"/>
        <rFont val="Times New Roman"/>
        <family val="1"/>
      </rPr>
      <t xml:space="preserve">Gently rolling </t>
    </r>
    <r>
      <rPr>
        <sz val="12"/>
        <rFont val="Times New Roman"/>
        <family val="1"/>
      </rPr>
      <t>/ Ravines / Gullies / Hilly /Very Hilly</t>
    </r>
  </si>
  <si>
    <r>
      <t>Upto 3° /</t>
    </r>
    <r>
      <rPr>
        <b/>
        <sz val="12"/>
        <rFont val="Times New Roman"/>
        <family val="1"/>
      </rPr>
      <t xml:space="preserve">4°-15°/ </t>
    </r>
    <r>
      <rPr>
        <sz val="12"/>
        <rFont val="Times New Roman"/>
        <family val="1"/>
      </rPr>
      <t>16°-40° /41° and Above</t>
    </r>
  </si>
  <si>
    <r>
      <t>Northern / NE/Eastern / SE /Southern /SW /Western/ NW /</t>
    </r>
    <r>
      <rPr>
        <b/>
        <sz val="12"/>
        <rFont val="Times New Roman"/>
        <family val="1"/>
      </rPr>
      <t>No aspect</t>
    </r>
  </si>
  <si>
    <t>Permiability-moderate</t>
  </si>
  <si>
    <r>
      <t>Heavy / Moderate /</t>
    </r>
    <r>
      <rPr>
        <b/>
        <sz val="12"/>
        <rFont val="Times New Roman"/>
        <family val="1"/>
      </rPr>
      <t>Mild</t>
    </r>
    <r>
      <rPr>
        <sz val="12"/>
        <rFont val="Times New Roman"/>
        <family val="1"/>
      </rPr>
      <t xml:space="preserve"> /No erosion</t>
    </r>
  </si>
  <si>
    <t xml:space="preserve">Macaranga peltata , Tabernamontana heyneana , Strychnos nux-vomica </t>
  </si>
  <si>
    <r>
      <t xml:space="preserve">Adequate/ </t>
    </r>
    <r>
      <rPr>
        <b/>
        <sz val="12"/>
        <rFont val="Times New Roman"/>
        <family val="1"/>
      </rPr>
      <t>Moderate</t>
    </r>
    <r>
      <rPr>
        <sz val="12"/>
        <rFont val="Times New Roman"/>
        <family val="1"/>
      </rPr>
      <t>/ Poor /Absent</t>
    </r>
  </si>
  <si>
    <r>
      <t xml:space="preserve">Top drying / Lopping / Girdling / Scarring / </t>
    </r>
    <r>
      <rPr>
        <b/>
        <sz val="12"/>
        <rFont val="Times New Roman"/>
        <family val="1"/>
      </rPr>
      <t xml:space="preserve">Damage by natural calamities </t>
    </r>
    <r>
      <rPr>
        <sz val="12"/>
        <rFont val="Times New Roman"/>
        <family val="1"/>
      </rPr>
      <t>/ None</t>
    </r>
  </si>
  <si>
    <t>Microbes, Insects,</t>
  </si>
  <si>
    <r>
      <t xml:space="preserve">Heavy / Moderate / Light / </t>
    </r>
    <r>
      <rPr>
        <b/>
        <sz val="12"/>
        <rFont val="Times New Roman"/>
        <family val="1"/>
      </rPr>
      <t>None</t>
    </r>
  </si>
  <si>
    <r>
      <rPr>
        <b/>
        <sz val="12"/>
        <rFont val="Times New Roman"/>
        <family val="1"/>
      </rPr>
      <t>Present</t>
    </r>
    <r>
      <rPr>
        <sz val="12"/>
        <rFont val="Times New Roman"/>
        <family val="1"/>
      </rPr>
      <t xml:space="preserve"> / Absent</t>
    </r>
  </si>
  <si>
    <r>
      <t xml:space="preserve">Very dense / Dense / Moderate / </t>
    </r>
    <r>
      <rPr>
        <b/>
        <sz val="12"/>
        <rFont val="Times New Roman"/>
        <family val="1"/>
      </rPr>
      <t>Scanty</t>
    </r>
    <r>
      <rPr>
        <sz val="12"/>
        <rFont val="Times New Roman"/>
        <family val="1"/>
      </rPr>
      <t xml:space="preserve"> / Absent</t>
    </r>
  </si>
  <si>
    <r>
      <t xml:space="preserve">Very dense / Dense / Moderate / Scanty / </t>
    </r>
    <r>
      <rPr>
        <b/>
        <sz val="12"/>
        <rFont val="Times New Roman"/>
        <family val="1"/>
      </rPr>
      <t>Absent</t>
    </r>
  </si>
  <si>
    <t>Trewia nudiflora</t>
  </si>
  <si>
    <t xml:space="preserve">Tabernamontana heyneana </t>
  </si>
  <si>
    <t xml:space="preserve">Strychnos nux-vomica </t>
  </si>
  <si>
    <t>Spatholobus sp</t>
  </si>
  <si>
    <t xml:space="preserve">Glochidiom johnstonei </t>
  </si>
  <si>
    <t>Macaranga peltata</t>
  </si>
  <si>
    <t xml:space="preserve">Schleichera oleosa </t>
  </si>
  <si>
    <t>Terminalia paniculata</t>
  </si>
  <si>
    <t>Sterculia guttata</t>
  </si>
  <si>
    <t>Xylia xylocarpa</t>
  </si>
  <si>
    <t>Ailanthus malabarica</t>
  </si>
  <si>
    <t>Aporosa lindleyana</t>
  </si>
  <si>
    <t>Getonia floribunda</t>
  </si>
  <si>
    <t>Holigarna arnattiana</t>
  </si>
  <si>
    <t>Calycopperis floribunda</t>
  </si>
  <si>
    <t>Chukrasia tabularis</t>
  </si>
  <si>
    <t>Mallotus philippensis</t>
  </si>
  <si>
    <t>Clerodendrum infortunatum</t>
  </si>
  <si>
    <t>Piper nigrum</t>
  </si>
  <si>
    <t>stream</t>
  </si>
  <si>
    <t>1.2kg</t>
  </si>
  <si>
    <t>1kg</t>
  </si>
  <si>
    <t>Manoon fragrans</t>
  </si>
  <si>
    <t>Actinodaphne hookeri</t>
  </si>
  <si>
    <t xml:space="preserve">Myristica malabarica </t>
  </si>
  <si>
    <t xml:space="preserve">Mallotus philippensis </t>
  </si>
  <si>
    <t>Travel from Ujire to charmady    upto     N  13.057469   E 75.425061   by vehicle then travel in the SW direction upto a distance of   850m to reach the grid.</t>
  </si>
  <si>
    <t>Belthangady</t>
  </si>
  <si>
    <t xml:space="preserve">Charmady kanapady RF </t>
  </si>
  <si>
    <t>II-5</t>
  </si>
  <si>
    <t>Tract -Undulating</t>
  </si>
  <si>
    <t>Aspect -No fix</t>
  </si>
  <si>
    <t>Canopy Dencity - 0.83</t>
  </si>
  <si>
    <t>Soil -Humus rich loamy</t>
  </si>
  <si>
    <t>Weeds -NIL</t>
  </si>
  <si>
    <t>NIL</t>
  </si>
  <si>
    <t>Stream nearby</t>
  </si>
  <si>
    <t>Stream in plot</t>
  </si>
  <si>
    <t>Texture-  Clayey loam</t>
  </si>
  <si>
    <t>Depth- Shallow</t>
  </si>
  <si>
    <t>Unknwon</t>
  </si>
  <si>
    <t>65g</t>
  </si>
  <si>
    <t>30g</t>
  </si>
  <si>
    <t>Mangalore Division</t>
  </si>
  <si>
    <t>Maddarasa</t>
  </si>
  <si>
    <t>Sudugenasu</t>
  </si>
  <si>
    <t>Ramapatre</t>
  </si>
  <si>
    <t>Visha puri</t>
  </si>
  <si>
    <t>Kakechapaya</t>
  </si>
  <si>
    <t>Kunkumada Mara</t>
  </si>
  <si>
    <t>Esaga</t>
  </si>
  <si>
    <t>Kaalumenasu</t>
  </si>
  <si>
    <t>Latex</t>
  </si>
  <si>
    <t>Bark</t>
  </si>
  <si>
    <t>Leaves</t>
  </si>
  <si>
    <t>Fruit</t>
  </si>
  <si>
    <t>fruit</t>
  </si>
  <si>
    <t>leaves</t>
  </si>
  <si>
    <t>Seed</t>
  </si>
  <si>
    <r>
      <t>Heavily / Moderately / Mildly /</t>
    </r>
    <r>
      <rPr>
        <b/>
        <sz val="12"/>
        <rFont val="Times New Roman"/>
        <family val="1"/>
      </rPr>
      <t>Not degrated</t>
    </r>
  </si>
  <si>
    <t>Form III</t>
  </si>
  <si>
    <t>FORM – A1</t>
  </si>
  <si>
    <t>PLOT ENUMERATION (31.62mX 31.62m Central Plot/lateral plot)</t>
  </si>
  <si>
    <t>Compartment No: II-5</t>
  </si>
  <si>
    <t xml:space="preserve">Block /Village: Charmady kanapady RF </t>
  </si>
  <si>
    <t xml:space="preserve">Beat: </t>
  </si>
  <si>
    <t>Range: Belthangady</t>
  </si>
  <si>
    <t>Division: Mangalore</t>
  </si>
  <si>
    <t>GBH 
(cm)</t>
  </si>
  <si>
    <t>GBH (OB) (cm)</t>
  </si>
  <si>
    <t>Height of selected dominant trees (m)</t>
  </si>
  <si>
    <t>Remarks, if any, about the tree condition</t>
  </si>
  <si>
    <t>Part of the tree</t>
  </si>
  <si>
    <t>LAT: 13.073762</t>
  </si>
  <si>
    <t>LONG: 75.423805</t>
  </si>
  <si>
    <t>Grid No:7232</t>
  </si>
  <si>
    <t>ALT: 685 ft</t>
  </si>
  <si>
    <t>FORM-A2</t>
  </si>
  <si>
    <t>BAMBOO CLUMP ENUMERATION (31.62mX 31.62m Plot)</t>
  </si>
  <si>
    <t>Clump dia in cm</t>
  </si>
  <si>
    <t>Green sound culms</t>
  </si>
  <si>
    <t>Green damaged/ twisted</t>
  </si>
  <si>
    <t>Dry culms</t>
  </si>
  <si>
    <t>Remarks, if any, about the clump condition</t>
  </si>
  <si>
    <t>Current</t>
  </si>
  <si>
    <t>One to</t>
  </si>
  <si>
    <t>Over two</t>
  </si>
  <si>
    <t>Sound</t>
  </si>
  <si>
    <t>Damaged/ twisted</t>
  </si>
  <si>
    <t>years</t>
  </si>
  <si>
    <t>two years</t>
  </si>
  <si>
    <t>a</t>
  </si>
  <si>
    <t>b</t>
  </si>
  <si>
    <t>c</t>
  </si>
  <si>
    <t>Nill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</si>
</sst>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0.0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i/>
      <sz val="12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u/>
      <sz val="12"/>
      <color theme="1"/>
      <name val="Times New Roman"/>
      <family val="1"/>
    </font>
    <font>
      <i/>
      <sz val="12"/>
      <color theme="1"/>
      <name val="Times New Roman"/>
      <family val="1"/>
    </font>
    <font>
      <b/>
      <sz val="16"/>
      <color theme="1"/>
      <name val="Times New Roman"/>
      <family val="1"/>
    </font>
    <font>
      <b/>
      <sz val="11"/>
      <color theme="1"/>
      <name val="Times New Roman"/>
      <family val="1"/>
    </font>
    <font>
      <b/>
      <sz val="10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/>
      <top style="medium">
        <color rgb="FF000000"/>
      </top>
      <bottom style="thin">
        <color indexed="64"/>
      </bottom>
      <diagonal/>
    </border>
    <border>
      <left/>
      <right/>
      <top style="medium">
        <color rgb="FF000000"/>
      </top>
      <bottom style="thin">
        <color indexed="64"/>
      </bottom>
      <diagonal/>
    </border>
    <border>
      <left/>
      <right style="thin">
        <color indexed="64"/>
      </right>
      <top style="medium">
        <color rgb="FF000000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93">
    <xf numFmtId="0" fontId="0" fillId="0" borderId="0" xfId="0"/>
    <xf numFmtId="0" fontId="3" fillId="0" borderId="0" xfId="0" applyFont="1"/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164" fontId="3" fillId="0" borderId="1" xfId="0" applyNumberFormat="1" applyFont="1" applyBorder="1" applyAlignment="1">
      <alignment horizontal="left" vertical="center" wrapText="1"/>
    </xf>
    <xf numFmtId="0" fontId="3" fillId="2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4" fillId="0" borderId="0" xfId="0" applyFont="1"/>
    <xf numFmtId="0" fontId="3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5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164" fontId="4" fillId="0" borderId="1" xfId="0" applyNumberFormat="1" applyFont="1" applyBorder="1" applyAlignment="1">
      <alignment horizontal="left" vertical="center" wrapText="1"/>
    </xf>
    <xf numFmtId="0" fontId="4" fillId="0" borderId="1" xfId="0" applyFont="1" applyBorder="1" applyAlignment="1">
      <alignment horizontal="justify" vertical="center" wrapText="1"/>
    </xf>
    <xf numFmtId="0" fontId="4" fillId="0" borderId="1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2" fontId="4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4" fillId="0" borderId="4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/>
    <xf numFmtId="0" fontId="6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6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5" fillId="0" borderId="0" xfId="0" applyFont="1" applyAlignment="1">
      <alignment horizontal="right" vertical="center"/>
    </xf>
    <xf numFmtId="0" fontId="5" fillId="0" borderId="0" xfId="0" applyFont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7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5" xfId="0" applyFont="1" applyBorder="1" applyAlignment="1">
      <alignment horizontal="left" vertical="center" wrapText="1"/>
    </xf>
    <xf numFmtId="0" fontId="5" fillId="0" borderId="8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8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7" fillId="0" borderId="0" xfId="0" applyFont="1"/>
    <xf numFmtId="0" fontId="12" fillId="0" borderId="0" xfId="0" applyFont="1" applyAlignment="1">
      <alignment horizontal="center" vertical="center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13" fillId="0" borderId="13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10" fillId="0" borderId="21" xfId="0" applyFont="1" applyBorder="1" applyAlignment="1">
      <alignment horizontal="center" vertical="center" wrapText="1"/>
    </xf>
    <xf numFmtId="0" fontId="10" fillId="0" borderId="22" xfId="0" applyFont="1" applyBorder="1" applyAlignment="1">
      <alignment horizontal="center" vertical="center" wrapText="1"/>
    </xf>
    <xf numFmtId="0" fontId="10" fillId="0" borderId="23" xfId="0" applyFont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1"/>
  <sheetViews>
    <sheetView view="pageBreakPreview" zoomScaleSheetLayoutView="100" workbookViewId="0">
      <selection activeCell="C8" sqref="C8"/>
    </sheetView>
  </sheetViews>
  <sheetFormatPr defaultColWidth="9.140625" defaultRowHeight="24.75" customHeight="1" x14ac:dyDescent="0.25"/>
  <cols>
    <col min="1" max="1" width="8.140625" style="1" customWidth="1"/>
    <col min="2" max="2" width="34.42578125" style="1" bestFit="1" customWidth="1"/>
    <col min="3" max="3" width="53.85546875" style="1" customWidth="1"/>
    <col min="4" max="16384" width="9.140625" style="1"/>
  </cols>
  <sheetData>
    <row r="1" spans="1:3" ht="24.75" customHeight="1" x14ac:dyDescent="0.25">
      <c r="A1" s="46" t="s">
        <v>0</v>
      </c>
      <c r="B1" s="46"/>
      <c r="C1" s="46"/>
    </row>
    <row r="2" spans="1:3" ht="24.75" customHeight="1" x14ac:dyDescent="0.25">
      <c r="A2" s="46" t="s">
        <v>1</v>
      </c>
      <c r="B2" s="46"/>
      <c r="C2" s="46"/>
    </row>
    <row r="3" spans="1:3" s="2" customFormat="1" ht="24.75" customHeight="1" x14ac:dyDescent="0.25">
      <c r="A3" s="46" t="s">
        <v>2</v>
      </c>
      <c r="B3" s="46"/>
      <c r="C3" s="43" t="s">
        <v>143</v>
      </c>
    </row>
    <row r="4" spans="1:3" s="4" customFormat="1" ht="24.75" customHeight="1" x14ac:dyDescent="0.25">
      <c r="A4" s="3" t="s">
        <v>3</v>
      </c>
      <c r="B4" s="3" t="s">
        <v>4</v>
      </c>
      <c r="C4" s="3" t="s">
        <v>5</v>
      </c>
    </row>
    <row r="5" spans="1:3" ht="25.5" customHeight="1" x14ac:dyDescent="0.25">
      <c r="A5" s="3">
        <v>1</v>
      </c>
      <c r="B5" s="41" t="s">
        <v>6</v>
      </c>
      <c r="C5" s="6" t="s">
        <v>127</v>
      </c>
    </row>
    <row r="6" spans="1:3" ht="25.5" customHeight="1" x14ac:dyDescent="0.25">
      <c r="A6" s="3">
        <v>2</v>
      </c>
      <c r="B6" s="41" t="s">
        <v>7</v>
      </c>
      <c r="C6" s="7" t="s">
        <v>128</v>
      </c>
    </row>
    <row r="7" spans="1:3" ht="25.5" customHeight="1" x14ac:dyDescent="0.25">
      <c r="A7" s="3">
        <v>3</v>
      </c>
      <c r="B7" s="41" t="s">
        <v>8</v>
      </c>
      <c r="C7" s="7" t="s">
        <v>129</v>
      </c>
    </row>
    <row r="8" spans="1:3" ht="25.5" customHeight="1" x14ac:dyDescent="0.25">
      <c r="A8" s="3">
        <v>4</v>
      </c>
      <c r="B8" s="41" t="s">
        <v>9</v>
      </c>
      <c r="C8" s="7">
        <v>7232</v>
      </c>
    </row>
    <row r="9" spans="1:3" ht="25.5" customHeight="1" x14ac:dyDescent="0.25">
      <c r="A9" s="3">
        <v>5</v>
      </c>
      <c r="B9" s="41" t="s">
        <v>10</v>
      </c>
      <c r="C9" s="8">
        <v>13.073762</v>
      </c>
    </row>
    <row r="10" spans="1:3" ht="25.5" customHeight="1" x14ac:dyDescent="0.25">
      <c r="A10" s="3">
        <v>6</v>
      </c>
      <c r="B10" s="41" t="s">
        <v>11</v>
      </c>
      <c r="C10" s="8">
        <v>75.423805000000002</v>
      </c>
    </row>
    <row r="11" spans="1:3" ht="47.25" x14ac:dyDescent="0.25">
      <c r="A11" s="3">
        <v>7</v>
      </c>
      <c r="B11" s="41" t="s">
        <v>12</v>
      </c>
      <c r="C11" s="8" t="s">
        <v>126</v>
      </c>
    </row>
    <row r="12" spans="1:3" ht="47.25" x14ac:dyDescent="0.25">
      <c r="A12" s="3">
        <v>8</v>
      </c>
      <c r="B12" s="41" t="s">
        <v>13</v>
      </c>
      <c r="C12" s="9" t="s">
        <v>75</v>
      </c>
    </row>
    <row r="13" spans="1:3" ht="25.5" customHeight="1" x14ac:dyDescent="0.25">
      <c r="A13" s="47">
        <v>9</v>
      </c>
      <c r="B13" s="48" t="s">
        <v>14</v>
      </c>
      <c r="C13" s="5" t="s">
        <v>130</v>
      </c>
    </row>
    <row r="14" spans="1:3" ht="25.5" customHeight="1" x14ac:dyDescent="0.25">
      <c r="A14" s="47"/>
      <c r="B14" s="48"/>
      <c r="C14" s="5" t="s">
        <v>131</v>
      </c>
    </row>
    <row r="15" spans="1:3" ht="25.5" customHeight="1" x14ac:dyDescent="0.25">
      <c r="A15" s="47"/>
      <c r="B15" s="48"/>
      <c r="C15" s="5" t="s">
        <v>132</v>
      </c>
    </row>
    <row r="16" spans="1:3" ht="25.5" customHeight="1" x14ac:dyDescent="0.25">
      <c r="A16" s="47"/>
      <c r="B16" s="48"/>
      <c r="C16" s="5" t="s">
        <v>133</v>
      </c>
    </row>
    <row r="17" spans="1:3" ht="25.5" customHeight="1" x14ac:dyDescent="0.25">
      <c r="A17" s="47"/>
      <c r="B17" s="48"/>
      <c r="C17" s="5" t="s">
        <v>76</v>
      </c>
    </row>
    <row r="18" spans="1:3" ht="25.5" customHeight="1" x14ac:dyDescent="0.25">
      <c r="A18" s="47"/>
      <c r="B18" s="48"/>
      <c r="C18" s="5" t="s">
        <v>134</v>
      </c>
    </row>
    <row r="19" spans="1:3" ht="25.5" customHeight="1" x14ac:dyDescent="0.25">
      <c r="A19" s="47"/>
      <c r="B19" s="48"/>
      <c r="C19" s="5" t="s">
        <v>77</v>
      </c>
    </row>
    <row r="20" spans="1:3" ht="25.5" customHeight="1" x14ac:dyDescent="0.25">
      <c r="A20" s="47"/>
      <c r="B20" s="48"/>
      <c r="C20" s="5" t="s">
        <v>78</v>
      </c>
    </row>
    <row r="21" spans="1:3" ht="31.5" x14ac:dyDescent="0.25">
      <c r="A21" s="47"/>
      <c r="B21" s="48"/>
      <c r="C21" s="5" t="s">
        <v>79</v>
      </c>
    </row>
    <row r="22" spans="1:3" ht="31.5" x14ac:dyDescent="0.25">
      <c r="A22" s="47"/>
      <c r="B22" s="48"/>
      <c r="C22" s="5" t="s">
        <v>80</v>
      </c>
    </row>
    <row r="23" spans="1:3" ht="25.5" customHeight="1" x14ac:dyDescent="0.25">
      <c r="A23" s="47"/>
      <c r="B23" s="48"/>
      <c r="C23" s="5" t="s">
        <v>81</v>
      </c>
    </row>
    <row r="24" spans="1:3" ht="25.5" customHeight="1" x14ac:dyDescent="0.25">
      <c r="A24" s="47"/>
      <c r="B24" s="48"/>
      <c r="C24" s="5" t="s">
        <v>82</v>
      </c>
    </row>
    <row r="25" spans="1:3" ht="25.5" customHeight="1" x14ac:dyDescent="0.25">
      <c r="A25" s="47"/>
      <c r="B25" s="48"/>
      <c r="C25" s="5" t="s">
        <v>83</v>
      </c>
    </row>
    <row r="26" spans="1:3" ht="25.5" customHeight="1" x14ac:dyDescent="0.25">
      <c r="A26" s="3">
        <v>10</v>
      </c>
      <c r="B26" s="41" t="s">
        <v>15</v>
      </c>
      <c r="C26" s="5" t="s">
        <v>136</v>
      </c>
    </row>
    <row r="27" spans="1:3" ht="25.5" customHeight="1" x14ac:dyDescent="0.25">
      <c r="A27" s="3">
        <v>11</v>
      </c>
      <c r="B27" s="41" t="s">
        <v>16</v>
      </c>
      <c r="C27" s="5" t="s">
        <v>135</v>
      </c>
    </row>
    <row r="28" spans="1:3" ht="24.75" customHeight="1" x14ac:dyDescent="0.25">
      <c r="A28" s="13"/>
    </row>
    <row r="29" spans="1:3" ht="24.75" customHeight="1" x14ac:dyDescent="0.25">
      <c r="A29" s="14"/>
    </row>
    <row r="30" spans="1:3" ht="24.75" customHeight="1" x14ac:dyDescent="0.25">
      <c r="A30" s="15"/>
    </row>
    <row r="31" spans="1:3" ht="24.75" customHeight="1" x14ac:dyDescent="0.25">
      <c r="A31" s="15"/>
    </row>
    <row r="32" spans="1:3" ht="24.75" customHeight="1" x14ac:dyDescent="0.25">
      <c r="A32" s="15"/>
    </row>
    <row r="33" spans="1:1" ht="24.75" customHeight="1" x14ac:dyDescent="0.25">
      <c r="A33" s="15"/>
    </row>
    <row r="34" spans="1:1" ht="24.75" customHeight="1" x14ac:dyDescent="0.25">
      <c r="A34" s="15"/>
    </row>
    <row r="35" spans="1:1" ht="24.75" customHeight="1" x14ac:dyDescent="0.25">
      <c r="A35" s="15"/>
    </row>
    <row r="46" spans="1:1" ht="24.75" customHeight="1" x14ac:dyDescent="0.25">
      <c r="A46" s="15"/>
    </row>
    <row r="47" spans="1:1" ht="24.75" customHeight="1" x14ac:dyDescent="0.25">
      <c r="A47" s="15"/>
    </row>
    <row r="48" spans="1:1" ht="24.75" customHeight="1" x14ac:dyDescent="0.25">
      <c r="A48" s="15"/>
    </row>
    <row r="49" spans="1:1" ht="24.75" customHeight="1" x14ac:dyDescent="0.25">
      <c r="A49" s="15"/>
    </row>
    <row r="50" spans="1:1" ht="24.75" customHeight="1" x14ac:dyDescent="0.25">
      <c r="A50" s="15"/>
    </row>
    <row r="51" spans="1:1" ht="24.75" customHeight="1" x14ac:dyDescent="0.25">
      <c r="A51" s="15"/>
    </row>
    <row r="52" spans="1:1" ht="24.75" customHeight="1" x14ac:dyDescent="0.25">
      <c r="A52" s="15"/>
    </row>
    <row r="53" spans="1:1" ht="24.75" customHeight="1" x14ac:dyDescent="0.25">
      <c r="A53" s="15"/>
    </row>
    <row r="54" spans="1:1" ht="24.75" customHeight="1" x14ac:dyDescent="0.25">
      <c r="A54" s="15"/>
    </row>
    <row r="55" spans="1:1" ht="24.75" customHeight="1" x14ac:dyDescent="0.25">
      <c r="A55" s="14"/>
    </row>
    <row r="63" spans="1:1" ht="24.75" customHeight="1" x14ac:dyDescent="0.25">
      <c r="A63" s="15"/>
    </row>
    <row r="71" spans="1:1" ht="24.75" customHeight="1" x14ac:dyDescent="0.25">
      <c r="A71" s="13"/>
    </row>
  </sheetData>
  <mergeCells count="5">
    <mergeCell ref="A1:C1"/>
    <mergeCell ref="A2:C2"/>
    <mergeCell ref="A3:B3"/>
    <mergeCell ref="A13:A25"/>
    <mergeCell ref="B13:B25"/>
  </mergeCells>
  <printOptions horizontalCentered="1"/>
  <pageMargins left="0.31496062992125984" right="0.23622047244094491" top="0.27559055118110237" bottom="0.19685039370078741" header="0.15748031496062992" footer="0.15748031496062992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3"/>
  <sheetViews>
    <sheetView view="pageBreakPreview" zoomScaleSheetLayoutView="100" workbookViewId="0">
      <selection activeCell="C11" sqref="C11"/>
    </sheetView>
  </sheetViews>
  <sheetFormatPr defaultColWidth="9.140625" defaultRowHeight="25.5" customHeight="1" x14ac:dyDescent="0.25"/>
  <cols>
    <col min="1" max="1" width="6.5703125" style="13" bestFit="1" customWidth="1"/>
    <col min="2" max="2" width="42.85546875" style="13" bestFit="1" customWidth="1"/>
    <col min="3" max="3" width="49.5703125" style="13" customWidth="1"/>
    <col min="4" max="16384" width="9.140625" style="13"/>
  </cols>
  <sheetData>
    <row r="1" spans="1:3" ht="25.5" customHeight="1" x14ac:dyDescent="0.25">
      <c r="A1" s="49" t="s">
        <v>17</v>
      </c>
      <c r="B1" s="49"/>
      <c r="C1" s="49"/>
    </row>
    <row r="2" spans="1:3" ht="25.5" customHeight="1" x14ac:dyDescent="0.25">
      <c r="A2" s="49" t="s">
        <v>18</v>
      </c>
      <c r="B2" s="49"/>
      <c r="C2" s="49"/>
    </row>
    <row r="3" spans="1:3" s="14" customFormat="1" ht="25.5" customHeight="1" x14ac:dyDescent="0.25">
      <c r="A3" s="49" t="s">
        <v>2</v>
      </c>
      <c r="B3" s="49"/>
      <c r="C3" s="43" t="s">
        <v>143</v>
      </c>
    </row>
    <row r="4" spans="1:3" s="17" customFormat="1" ht="25.5" customHeight="1" x14ac:dyDescent="0.25">
      <c r="A4" s="16" t="s">
        <v>3</v>
      </c>
      <c r="B4" s="16" t="s">
        <v>5</v>
      </c>
      <c r="C4" s="16" t="s">
        <v>19</v>
      </c>
    </row>
    <row r="5" spans="1:3" ht="24" customHeight="1" x14ac:dyDescent="0.25">
      <c r="A5" s="10">
        <v>1</v>
      </c>
      <c r="B5" s="42" t="s">
        <v>6</v>
      </c>
      <c r="C5" s="18" t="str">
        <f>'Form 1'!C5</f>
        <v>Belthangady</v>
      </c>
    </row>
    <row r="6" spans="1:3" ht="24" customHeight="1" x14ac:dyDescent="0.25">
      <c r="A6" s="10">
        <v>2</v>
      </c>
      <c r="B6" s="42" t="s">
        <v>72</v>
      </c>
      <c r="C6" s="18"/>
    </row>
    <row r="7" spans="1:3" ht="24" customHeight="1" x14ac:dyDescent="0.25">
      <c r="A7" s="10">
        <v>3</v>
      </c>
      <c r="B7" s="42" t="s">
        <v>69</v>
      </c>
      <c r="C7" s="18" t="str">
        <f>'Form 1'!C6</f>
        <v xml:space="preserve">Charmady kanapady RF </v>
      </c>
    </row>
    <row r="8" spans="1:3" ht="24" customHeight="1" x14ac:dyDescent="0.25">
      <c r="A8" s="10">
        <v>4</v>
      </c>
      <c r="B8" s="42" t="s">
        <v>9</v>
      </c>
      <c r="C8" s="18">
        <f>'Form 1'!C8</f>
        <v>7232</v>
      </c>
    </row>
    <row r="9" spans="1:3" ht="24" customHeight="1" x14ac:dyDescent="0.25">
      <c r="A9" s="10">
        <v>5</v>
      </c>
      <c r="B9" s="42" t="s">
        <v>20</v>
      </c>
      <c r="C9" s="19">
        <f>'Form 1'!C9</f>
        <v>13.073762</v>
      </c>
    </row>
    <row r="10" spans="1:3" ht="24" customHeight="1" x14ac:dyDescent="0.25">
      <c r="A10" s="10">
        <v>6</v>
      </c>
      <c r="B10" s="42" t="s">
        <v>21</v>
      </c>
      <c r="C10" s="19">
        <f>'Form 1'!C10</f>
        <v>75.423805000000002</v>
      </c>
    </row>
    <row r="11" spans="1:3" ht="24" customHeight="1" x14ac:dyDescent="0.25">
      <c r="A11" s="10">
        <v>7</v>
      </c>
      <c r="B11" s="42" t="s">
        <v>22</v>
      </c>
      <c r="C11" s="18" t="s">
        <v>84</v>
      </c>
    </row>
    <row r="12" spans="1:3" ht="31.5" x14ac:dyDescent="0.25">
      <c r="A12" s="10">
        <v>8</v>
      </c>
      <c r="B12" s="42" t="s">
        <v>23</v>
      </c>
      <c r="C12" s="18" t="s">
        <v>85</v>
      </c>
    </row>
    <row r="13" spans="1:3" ht="24" customHeight="1" x14ac:dyDescent="0.25">
      <c r="A13" s="10">
        <v>9</v>
      </c>
      <c r="B13" s="42" t="s">
        <v>24</v>
      </c>
      <c r="C13" s="18" t="s">
        <v>86</v>
      </c>
    </row>
    <row r="14" spans="1:3" ht="31.5" x14ac:dyDescent="0.25">
      <c r="A14" s="10">
        <v>10</v>
      </c>
      <c r="B14" s="42" t="s">
        <v>25</v>
      </c>
      <c r="C14" s="18" t="s">
        <v>87</v>
      </c>
    </row>
    <row r="15" spans="1:3" ht="24" customHeight="1" x14ac:dyDescent="0.25">
      <c r="A15" s="10">
        <v>11</v>
      </c>
      <c r="B15" s="42" t="s">
        <v>26</v>
      </c>
      <c r="C15" s="20" t="s">
        <v>88</v>
      </c>
    </row>
    <row r="16" spans="1:3" ht="31.5" x14ac:dyDescent="0.25">
      <c r="A16" s="10">
        <v>12</v>
      </c>
      <c r="B16" s="42" t="s">
        <v>27</v>
      </c>
      <c r="C16" s="20" t="s">
        <v>89</v>
      </c>
    </row>
    <row r="17" spans="1:3" ht="31.5" x14ac:dyDescent="0.25">
      <c r="A17" s="10">
        <v>13</v>
      </c>
      <c r="B17" s="42" t="s">
        <v>28</v>
      </c>
      <c r="C17" s="20" t="s">
        <v>29</v>
      </c>
    </row>
    <row r="18" spans="1:3" ht="24" customHeight="1" x14ac:dyDescent="0.25">
      <c r="A18" s="50">
        <v>14</v>
      </c>
      <c r="B18" s="51" t="s">
        <v>30</v>
      </c>
      <c r="C18" s="20" t="s">
        <v>138</v>
      </c>
    </row>
    <row r="19" spans="1:3" ht="24" customHeight="1" x14ac:dyDescent="0.25">
      <c r="A19" s="50"/>
      <c r="B19" s="51"/>
      <c r="C19" s="20" t="s">
        <v>139</v>
      </c>
    </row>
    <row r="20" spans="1:3" ht="24" customHeight="1" x14ac:dyDescent="0.25">
      <c r="A20" s="50"/>
      <c r="B20" s="51"/>
      <c r="C20" s="21" t="s">
        <v>90</v>
      </c>
    </row>
    <row r="21" spans="1:3" ht="24" customHeight="1" x14ac:dyDescent="0.25">
      <c r="A21" s="10">
        <v>15</v>
      </c>
      <c r="B21" s="42" t="s">
        <v>31</v>
      </c>
      <c r="C21" s="20" t="s">
        <v>91</v>
      </c>
    </row>
    <row r="22" spans="1:3" ht="31.5" x14ac:dyDescent="0.25">
      <c r="A22" s="10">
        <v>16</v>
      </c>
      <c r="B22" s="42" t="s">
        <v>32</v>
      </c>
      <c r="C22" s="20" t="s">
        <v>92</v>
      </c>
    </row>
    <row r="23" spans="1:3" ht="24" customHeight="1" x14ac:dyDescent="0.25">
      <c r="A23" s="10">
        <v>17</v>
      </c>
      <c r="B23" s="42" t="s">
        <v>70</v>
      </c>
      <c r="C23" s="20" t="s">
        <v>93</v>
      </c>
    </row>
    <row r="24" spans="1:3" ht="31.5" x14ac:dyDescent="0.25">
      <c r="A24" s="10">
        <v>18</v>
      </c>
      <c r="B24" s="42" t="s">
        <v>33</v>
      </c>
      <c r="C24" s="20" t="s">
        <v>94</v>
      </c>
    </row>
    <row r="25" spans="1:3" ht="24" customHeight="1" x14ac:dyDescent="0.25">
      <c r="A25" s="10">
        <v>19</v>
      </c>
      <c r="B25" s="42" t="s">
        <v>34</v>
      </c>
      <c r="C25" s="20" t="s">
        <v>95</v>
      </c>
    </row>
    <row r="26" spans="1:3" ht="24" customHeight="1" x14ac:dyDescent="0.25">
      <c r="A26" s="10">
        <v>20</v>
      </c>
      <c r="B26" s="42" t="s">
        <v>35</v>
      </c>
      <c r="C26" s="21" t="s">
        <v>96</v>
      </c>
    </row>
    <row r="27" spans="1:3" ht="24" customHeight="1" x14ac:dyDescent="0.25">
      <c r="A27" s="10">
        <v>21</v>
      </c>
      <c r="B27" s="42" t="s">
        <v>36</v>
      </c>
      <c r="C27" s="20" t="s">
        <v>97</v>
      </c>
    </row>
    <row r="28" spans="1:3" ht="24" customHeight="1" x14ac:dyDescent="0.25">
      <c r="A28" s="10">
        <v>22</v>
      </c>
      <c r="B28" s="42" t="s">
        <v>37</v>
      </c>
      <c r="C28" s="20" t="s">
        <v>98</v>
      </c>
    </row>
    <row r="29" spans="1:3" ht="24" customHeight="1" x14ac:dyDescent="0.25">
      <c r="A29" s="10">
        <v>23</v>
      </c>
      <c r="B29" s="42" t="s">
        <v>38</v>
      </c>
      <c r="C29" s="20" t="s">
        <v>99</v>
      </c>
    </row>
    <row r="30" spans="1:3" ht="24" customHeight="1" x14ac:dyDescent="0.25">
      <c r="A30" s="10">
        <v>24</v>
      </c>
      <c r="B30" s="42" t="s">
        <v>39</v>
      </c>
      <c r="C30" s="20" t="s">
        <v>135</v>
      </c>
    </row>
    <row r="31" spans="1:3" ht="24" customHeight="1" x14ac:dyDescent="0.25">
      <c r="A31" s="10">
        <v>25</v>
      </c>
      <c r="B31" s="42" t="s">
        <v>40</v>
      </c>
      <c r="C31" s="20" t="s">
        <v>135</v>
      </c>
    </row>
    <row r="32" spans="1:3" ht="24" customHeight="1" x14ac:dyDescent="0.25">
      <c r="A32" s="10">
        <v>26</v>
      </c>
      <c r="B32" s="42" t="s">
        <v>41</v>
      </c>
      <c r="C32" s="20" t="s">
        <v>137</v>
      </c>
    </row>
    <row r="33" spans="1:3" ht="24" customHeight="1" x14ac:dyDescent="0.25">
      <c r="A33" s="10">
        <v>27</v>
      </c>
      <c r="B33" s="42" t="s">
        <v>42</v>
      </c>
      <c r="C33" s="18" t="s">
        <v>159</v>
      </c>
    </row>
  </sheetData>
  <mergeCells count="5">
    <mergeCell ref="A1:C1"/>
    <mergeCell ref="A2:C2"/>
    <mergeCell ref="A3:B3"/>
    <mergeCell ref="A18:A20"/>
    <mergeCell ref="B18:B20"/>
  </mergeCells>
  <printOptions horizontalCentered="1"/>
  <pageMargins left="0.70866141732283472" right="0.70866141732283472" top="0.19685039370078741" bottom="0.35433070866141736" header="0.31496062992125984" footer="0.31496062992125984"/>
  <pageSetup scale="90" orientation="portrait" copies="6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E85DAC-E50C-4E7D-9A7A-AF745ADB27DD}">
  <dimension ref="A1:I42"/>
  <sheetViews>
    <sheetView workbookViewId="0">
      <selection activeCell="G21" sqref="G21"/>
    </sheetView>
  </sheetViews>
  <sheetFormatPr defaultRowHeight="15" x14ac:dyDescent="0.25"/>
  <cols>
    <col min="1" max="1" width="6" customWidth="1"/>
    <col min="2" max="2" width="25" bestFit="1" customWidth="1"/>
    <col min="9" max="9" width="10" customWidth="1"/>
  </cols>
  <sheetData>
    <row r="1" spans="1:9" s="65" customFormat="1" ht="15.6" customHeight="1" x14ac:dyDescent="0.25">
      <c r="A1" s="64" t="s">
        <v>160</v>
      </c>
      <c r="B1" s="64"/>
      <c r="C1" s="64"/>
      <c r="D1" s="64"/>
      <c r="E1" s="64"/>
      <c r="F1" s="64"/>
      <c r="G1" s="64"/>
      <c r="H1" s="64"/>
      <c r="I1" s="64"/>
    </row>
    <row r="2" spans="1:9" s="65" customFormat="1" ht="15.6" customHeight="1" x14ac:dyDescent="0.25">
      <c r="A2" s="64" t="s">
        <v>161</v>
      </c>
      <c r="B2" s="64"/>
      <c r="C2" s="64"/>
      <c r="D2" s="64"/>
      <c r="E2" s="64"/>
      <c r="F2" s="64"/>
      <c r="G2" s="64"/>
      <c r="H2" s="64"/>
      <c r="I2" s="64"/>
    </row>
    <row r="3" spans="1:9" s="65" customFormat="1" ht="15.6" customHeight="1" x14ac:dyDescent="0.25">
      <c r="A3" s="64" t="s">
        <v>162</v>
      </c>
      <c r="B3" s="64"/>
      <c r="C3" s="64"/>
      <c r="D3" s="64"/>
      <c r="E3" s="64"/>
      <c r="F3" s="64"/>
      <c r="G3" s="64"/>
      <c r="H3" s="64"/>
      <c r="I3" s="64"/>
    </row>
    <row r="4" spans="1:9" s="65" customFormat="1" ht="15.6" customHeight="1" x14ac:dyDescent="0.25">
      <c r="A4" s="66"/>
      <c r="B4" s="66"/>
      <c r="C4" s="66"/>
      <c r="D4" s="66"/>
      <c r="E4" s="66"/>
      <c r="F4" s="66"/>
      <c r="G4" s="66"/>
      <c r="H4" s="66"/>
      <c r="I4" s="66"/>
    </row>
    <row r="5" spans="1:9" s="70" customFormat="1" ht="33" customHeight="1" x14ac:dyDescent="0.25">
      <c r="A5" s="67" t="s">
        <v>163</v>
      </c>
      <c r="B5" s="68"/>
      <c r="C5" s="69"/>
      <c r="D5" s="67" t="s">
        <v>164</v>
      </c>
      <c r="E5" s="68"/>
      <c r="F5" s="68"/>
      <c r="G5" s="69"/>
      <c r="H5" s="67" t="s">
        <v>165</v>
      </c>
      <c r="I5" s="69"/>
    </row>
    <row r="6" spans="1:9" s="70" customFormat="1" ht="33" customHeight="1" x14ac:dyDescent="0.25">
      <c r="A6" s="67" t="s">
        <v>166</v>
      </c>
      <c r="B6" s="68"/>
      <c r="C6" s="69"/>
      <c r="D6" s="67" t="s">
        <v>167</v>
      </c>
      <c r="E6" s="68"/>
      <c r="F6" s="68"/>
      <c r="G6" s="69"/>
      <c r="H6" s="67" t="s">
        <v>176</v>
      </c>
      <c r="I6" s="69"/>
    </row>
    <row r="7" spans="1:9" s="70" customFormat="1" ht="33" customHeight="1" x14ac:dyDescent="0.25">
      <c r="A7" s="67" t="s">
        <v>173</v>
      </c>
      <c r="B7" s="68"/>
      <c r="C7" s="69"/>
      <c r="D7" s="67" t="s">
        <v>174</v>
      </c>
      <c r="E7" s="68"/>
      <c r="F7" s="68"/>
      <c r="G7" s="69"/>
      <c r="H7" s="67" t="s">
        <v>175</v>
      </c>
      <c r="I7" s="69"/>
    </row>
    <row r="8" spans="1:9" s="65" customFormat="1" ht="15.6" customHeight="1" x14ac:dyDescent="0.25">
      <c r="A8" s="17"/>
      <c r="B8" s="71"/>
      <c r="C8" s="17"/>
      <c r="D8" s="17"/>
      <c r="E8" s="17"/>
      <c r="F8" s="17"/>
      <c r="G8" s="17"/>
      <c r="H8" s="17"/>
      <c r="I8" s="17"/>
    </row>
    <row r="9" spans="1:9" s="65" customFormat="1" ht="15.75" x14ac:dyDescent="0.25">
      <c r="A9" s="47" t="s">
        <v>46</v>
      </c>
      <c r="B9" s="47" t="s">
        <v>47</v>
      </c>
      <c r="C9" s="47" t="s">
        <v>48</v>
      </c>
      <c r="D9" s="47" t="s">
        <v>168</v>
      </c>
      <c r="E9" s="47" t="s">
        <v>169</v>
      </c>
      <c r="F9" s="47" t="s">
        <v>170</v>
      </c>
      <c r="G9" s="47" t="s">
        <v>51</v>
      </c>
      <c r="H9" s="47"/>
      <c r="I9" s="47" t="s">
        <v>171</v>
      </c>
    </row>
    <row r="10" spans="1:9" s="65" customFormat="1" ht="63" x14ac:dyDescent="0.25">
      <c r="A10" s="47"/>
      <c r="B10" s="47"/>
      <c r="C10" s="47"/>
      <c r="D10" s="47"/>
      <c r="E10" s="47"/>
      <c r="F10" s="47"/>
      <c r="G10" s="44" t="s">
        <v>172</v>
      </c>
      <c r="H10" s="44" t="s">
        <v>54</v>
      </c>
      <c r="I10" s="47"/>
    </row>
    <row r="11" spans="1:9" ht="15.75" x14ac:dyDescent="0.25">
      <c r="A11" s="72">
        <v>1</v>
      </c>
      <c r="B11" s="45" t="s">
        <v>100</v>
      </c>
      <c r="C11" s="72"/>
      <c r="D11" s="45">
        <v>78</v>
      </c>
      <c r="E11" s="72"/>
      <c r="F11" s="72">
        <v>14</v>
      </c>
      <c r="G11" s="72"/>
      <c r="H11" s="72"/>
      <c r="I11" s="72"/>
    </row>
    <row r="12" spans="1:9" ht="15.75" x14ac:dyDescent="0.25">
      <c r="A12" s="72">
        <v>2</v>
      </c>
      <c r="B12" s="45" t="s">
        <v>101</v>
      </c>
      <c r="C12" s="72"/>
      <c r="D12" s="45">
        <v>44</v>
      </c>
      <c r="E12" s="72"/>
      <c r="F12" s="72">
        <v>8</v>
      </c>
      <c r="G12" s="72"/>
      <c r="H12" s="72"/>
      <c r="I12" s="72"/>
    </row>
    <row r="13" spans="1:9" ht="15.75" x14ac:dyDescent="0.25">
      <c r="A13" s="72">
        <v>3</v>
      </c>
      <c r="B13" s="45" t="s">
        <v>101</v>
      </c>
      <c r="C13" s="72"/>
      <c r="D13" s="45">
        <v>32</v>
      </c>
      <c r="E13" s="72"/>
      <c r="F13" s="72">
        <v>10</v>
      </c>
      <c r="G13" s="72"/>
      <c r="H13" s="72"/>
      <c r="I13" s="72"/>
    </row>
    <row r="14" spans="1:9" ht="15.75" x14ac:dyDescent="0.25">
      <c r="A14" s="72">
        <v>4</v>
      </c>
      <c r="B14" s="45" t="s">
        <v>101</v>
      </c>
      <c r="C14" s="72"/>
      <c r="D14" s="45">
        <v>38</v>
      </c>
      <c r="E14" s="72"/>
      <c r="F14" s="72">
        <v>8</v>
      </c>
      <c r="G14" s="72"/>
      <c r="H14" s="72"/>
      <c r="I14" s="72"/>
    </row>
    <row r="15" spans="1:9" ht="15.75" x14ac:dyDescent="0.25">
      <c r="A15" s="72">
        <v>5</v>
      </c>
      <c r="B15" s="45" t="s">
        <v>101</v>
      </c>
      <c r="C15" s="72"/>
      <c r="D15" s="45">
        <v>59</v>
      </c>
      <c r="E15" s="72"/>
      <c r="F15" s="72">
        <v>8.5</v>
      </c>
      <c r="G15" s="72"/>
      <c r="H15" s="72"/>
      <c r="I15" s="72"/>
    </row>
    <row r="16" spans="1:9" ht="15.75" x14ac:dyDescent="0.25">
      <c r="A16" s="72">
        <v>6</v>
      </c>
      <c r="B16" s="45" t="s">
        <v>102</v>
      </c>
      <c r="C16" s="72"/>
      <c r="D16" s="45">
        <v>48</v>
      </c>
      <c r="E16" s="72"/>
      <c r="F16" s="72">
        <v>10</v>
      </c>
      <c r="G16" s="72"/>
      <c r="H16" s="72"/>
      <c r="I16" s="72"/>
    </row>
    <row r="17" spans="1:9" ht="15.75" x14ac:dyDescent="0.25">
      <c r="A17" s="72">
        <v>7</v>
      </c>
      <c r="B17" s="45" t="s">
        <v>103</v>
      </c>
      <c r="C17" s="72"/>
      <c r="D17" s="45">
        <v>46</v>
      </c>
      <c r="E17" s="72"/>
      <c r="F17" s="72">
        <v>0</v>
      </c>
      <c r="G17" s="72"/>
      <c r="H17" s="72"/>
      <c r="I17" s="72"/>
    </row>
    <row r="18" spans="1:9" ht="15.75" x14ac:dyDescent="0.25">
      <c r="A18" s="72">
        <v>8</v>
      </c>
      <c r="B18" s="45" t="s">
        <v>101</v>
      </c>
      <c r="C18" s="72"/>
      <c r="D18" s="45">
        <v>36</v>
      </c>
      <c r="E18" s="72"/>
      <c r="F18" s="72">
        <v>9</v>
      </c>
      <c r="G18" s="72"/>
      <c r="H18" s="72"/>
      <c r="I18" s="72"/>
    </row>
    <row r="19" spans="1:9" ht="15.75" x14ac:dyDescent="0.25">
      <c r="A19" s="72">
        <v>9</v>
      </c>
      <c r="B19" s="45" t="s">
        <v>104</v>
      </c>
      <c r="C19" s="72"/>
      <c r="D19" s="45">
        <v>71</v>
      </c>
      <c r="E19" s="72"/>
      <c r="F19" s="72">
        <v>12</v>
      </c>
      <c r="G19" s="72"/>
      <c r="H19" s="72"/>
      <c r="I19" s="72"/>
    </row>
    <row r="20" spans="1:9" ht="15.75" x14ac:dyDescent="0.25">
      <c r="A20" s="72">
        <v>10</v>
      </c>
      <c r="B20" s="45" t="s">
        <v>105</v>
      </c>
      <c r="C20" s="72"/>
      <c r="D20" s="45">
        <v>48</v>
      </c>
      <c r="E20" s="72"/>
      <c r="F20" s="72">
        <v>11</v>
      </c>
      <c r="G20" s="72"/>
      <c r="H20" s="72"/>
      <c r="I20" s="72"/>
    </row>
    <row r="21" spans="1:9" ht="15.75" x14ac:dyDescent="0.25">
      <c r="A21" s="72">
        <v>11</v>
      </c>
      <c r="B21" s="45" t="s">
        <v>140</v>
      </c>
      <c r="C21" s="72"/>
      <c r="D21" s="45">
        <v>61</v>
      </c>
      <c r="E21" s="72"/>
      <c r="F21" s="72">
        <v>7</v>
      </c>
      <c r="G21" s="72"/>
      <c r="H21" s="72"/>
      <c r="I21" s="72"/>
    </row>
    <row r="22" spans="1:9" ht="15.75" x14ac:dyDescent="0.25">
      <c r="A22" s="72">
        <v>12</v>
      </c>
      <c r="B22" s="45" t="s">
        <v>105</v>
      </c>
      <c r="C22" s="72"/>
      <c r="D22" s="45">
        <v>78</v>
      </c>
      <c r="E22" s="72"/>
      <c r="F22" s="72">
        <v>15</v>
      </c>
      <c r="G22" s="72"/>
      <c r="H22" s="72"/>
      <c r="I22" s="72"/>
    </row>
    <row r="23" spans="1:9" ht="15.75" x14ac:dyDescent="0.25">
      <c r="A23" s="72">
        <v>13</v>
      </c>
      <c r="B23" s="45" t="s">
        <v>106</v>
      </c>
      <c r="C23" s="72"/>
      <c r="D23" s="45">
        <v>38</v>
      </c>
      <c r="E23" s="72"/>
      <c r="F23" s="72">
        <v>7</v>
      </c>
      <c r="G23" s="72"/>
      <c r="H23" s="72"/>
      <c r="I23" s="72"/>
    </row>
    <row r="24" spans="1:9" ht="15.75" x14ac:dyDescent="0.25">
      <c r="A24" s="72">
        <v>14</v>
      </c>
      <c r="B24" s="45" t="s">
        <v>106</v>
      </c>
      <c r="C24" s="72"/>
      <c r="D24" s="45">
        <v>48</v>
      </c>
      <c r="E24" s="72"/>
      <c r="F24" s="72">
        <v>8</v>
      </c>
      <c r="G24" s="72"/>
      <c r="H24" s="72"/>
      <c r="I24" s="72"/>
    </row>
    <row r="25" spans="1:9" ht="15.75" x14ac:dyDescent="0.25">
      <c r="A25" s="72">
        <v>15</v>
      </c>
      <c r="B25" s="45" t="s">
        <v>106</v>
      </c>
      <c r="C25" s="72"/>
      <c r="D25" s="45">
        <v>67</v>
      </c>
      <c r="E25" s="72"/>
      <c r="F25" s="72">
        <v>14</v>
      </c>
      <c r="G25" s="72"/>
      <c r="H25" s="72"/>
      <c r="I25" s="72"/>
    </row>
    <row r="26" spans="1:9" ht="15.75" x14ac:dyDescent="0.25">
      <c r="A26" s="72">
        <v>16</v>
      </c>
      <c r="B26" s="45" t="s">
        <v>106</v>
      </c>
      <c r="C26" s="72"/>
      <c r="D26" s="45">
        <v>55</v>
      </c>
      <c r="E26" s="72"/>
      <c r="F26" s="72">
        <v>11</v>
      </c>
      <c r="G26" s="72"/>
      <c r="H26" s="72"/>
      <c r="I26" s="72"/>
    </row>
    <row r="27" spans="1:9" ht="15.75" x14ac:dyDescent="0.25">
      <c r="A27" s="72">
        <v>17</v>
      </c>
      <c r="B27" s="45" t="s">
        <v>107</v>
      </c>
      <c r="C27" s="72"/>
      <c r="D27" s="45">
        <v>72</v>
      </c>
      <c r="E27" s="72"/>
      <c r="F27" s="72">
        <v>11</v>
      </c>
      <c r="G27" s="72"/>
      <c r="H27" s="72"/>
      <c r="I27" s="72"/>
    </row>
    <row r="28" spans="1:9" ht="15.75" x14ac:dyDescent="0.25">
      <c r="A28" s="72">
        <v>18</v>
      </c>
      <c r="B28" s="45" t="s">
        <v>108</v>
      </c>
      <c r="C28" s="72"/>
      <c r="D28" s="45">
        <v>118</v>
      </c>
      <c r="E28" s="72"/>
      <c r="F28" s="72">
        <v>17</v>
      </c>
      <c r="G28" s="72"/>
      <c r="H28" s="72"/>
      <c r="I28" s="72"/>
    </row>
    <row r="29" spans="1:9" ht="15.75" x14ac:dyDescent="0.25">
      <c r="A29" s="72">
        <v>19</v>
      </c>
      <c r="B29" s="45" t="s">
        <v>106</v>
      </c>
      <c r="C29" s="72"/>
      <c r="D29" s="45">
        <v>98</v>
      </c>
      <c r="E29" s="72"/>
      <c r="F29" s="72">
        <v>20</v>
      </c>
      <c r="G29" s="72"/>
      <c r="H29" s="72"/>
      <c r="I29" s="72"/>
    </row>
    <row r="30" spans="1:9" ht="15.75" x14ac:dyDescent="0.25">
      <c r="A30" s="72">
        <v>20</v>
      </c>
      <c r="B30" s="45" t="s">
        <v>106</v>
      </c>
      <c r="C30" s="72"/>
      <c r="D30" s="45">
        <v>158</v>
      </c>
      <c r="E30" s="72"/>
      <c r="F30" s="72">
        <v>19</v>
      </c>
      <c r="G30" s="72"/>
      <c r="H30" s="72"/>
      <c r="I30" s="72"/>
    </row>
    <row r="31" spans="1:9" ht="15.75" x14ac:dyDescent="0.25">
      <c r="A31" s="72">
        <v>21</v>
      </c>
      <c r="B31" s="45" t="s">
        <v>103</v>
      </c>
      <c r="C31" s="72"/>
      <c r="D31" s="45">
        <v>53</v>
      </c>
      <c r="E31" s="72"/>
      <c r="F31" s="72">
        <v>0</v>
      </c>
      <c r="G31" s="72"/>
      <c r="H31" s="72"/>
      <c r="I31" s="72"/>
    </row>
    <row r="32" spans="1:9" ht="15.75" x14ac:dyDescent="0.25">
      <c r="A32" s="72">
        <v>22</v>
      </c>
      <c r="B32" s="45" t="s">
        <v>103</v>
      </c>
      <c r="C32" s="72"/>
      <c r="D32" s="45">
        <v>48</v>
      </c>
      <c r="E32" s="72"/>
      <c r="F32" s="72">
        <v>0</v>
      </c>
      <c r="G32" s="72"/>
      <c r="H32" s="72"/>
      <c r="I32" s="72"/>
    </row>
    <row r="33" spans="1:9" ht="15.75" x14ac:dyDescent="0.25">
      <c r="A33" s="72">
        <v>23</v>
      </c>
      <c r="B33" s="45" t="s">
        <v>109</v>
      </c>
      <c r="C33" s="72"/>
      <c r="D33" s="45">
        <v>83</v>
      </c>
      <c r="E33" s="72"/>
      <c r="F33" s="72">
        <v>18</v>
      </c>
      <c r="G33" s="72"/>
      <c r="H33" s="72"/>
      <c r="I33" s="72"/>
    </row>
    <row r="34" spans="1:9" ht="15.75" x14ac:dyDescent="0.25">
      <c r="A34" s="72">
        <v>24</v>
      </c>
      <c r="B34" s="45" t="s">
        <v>110</v>
      </c>
      <c r="C34" s="72"/>
      <c r="D34" s="45">
        <v>94</v>
      </c>
      <c r="E34" s="72"/>
      <c r="F34" s="72">
        <v>19</v>
      </c>
      <c r="G34" s="72"/>
      <c r="H34" s="72"/>
      <c r="I34" s="72"/>
    </row>
    <row r="35" spans="1:9" ht="15.75" x14ac:dyDescent="0.25">
      <c r="A35" s="72">
        <v>25</v>
      </c>
      <c r="B35" s="45" t="s">
        <v>111</v>
      </c>
      <c r="C35" s="72"/>
      <c r="D35" s="45">
        <v>73</v>
      </c>
      <c r="E35" s="72"/>
      <c r="F35" s="72">
        <v>13.5</v>
      </c>
      <c r="G35" s="72"/>
      <c r="H35" s="72"/>
      <c r="I35" s="72"/>
    </row>
    <row r="36" spans="1:9" ht="15.75" x14ac:dyDescent="0.25">
      <c r="A36" s="72">
        <v>26</v>
      </c>
      <c r="B36" s="45" t="s">
        <v>112</v>
      </c>
      <c r="C36" s="72"/>
      <c r="D36" s="45">
        <v>38</v>
      </c>
      <c r="E36" s="72"/>
      <c r="F36" s="72">
        <v>0</v>
      </c>
      <c r="G36" s="72"/>
      <c r="H36" s="72"/>
      <c r="I36" s="72"/>
    </row>
    <row r="37" spans="1:9" ht="15.75" x14ac:dyDescent="0.25">
      <c r="A37" s="72">
        <v>27</v>
      </c>
      <c r="B37" s="45" t="s">
        <v>100</v>
      </c>
      <c r="C37" s="72"/>
      <c r="D37" s="45">
        <v>140</v>
      </c>
      <c r="E37" s="72"/>
      <c r="F37" s="72">
        <v>18</v>
      </c>
      <c r="G37" s="72"/>
      <c r="H37" s="72"/>
      <c r="I37" s="72"/>
    </row>
    <row r="38" spans="1:9" ht="15.75" x14ac:dyDescent="0.25">
      <c r="A38" s="72">
        <v>28</v>
      </c>
      <c r="B38" s="45" t="s">
        <v>106</v>
      </c>
      <c r="C38" s="72"/>
      <c r="D38" s="45">
        <v>106</v>
      </c>
      <c r="E38" s="72"/>
      <c r="F38" s="72">
        <v>18</v>
      </c>
      <c r="G38" s="72"/>
      <c r="H38" s="72"/>
      <c r="I38" s="72"/>
    </row>
    <row r="39" spans="1:9" ht="15.75" x14ac:dyDescent="0.25">
      <c r="A39" s="72">
        <v>29</v>
      </c>
      <c r="B39" s="45" t="s">
        <v>106</v>
      </c>
      <c r="C39" s="72"/>
      <c r="D39" s="45">
        <v>36</v>
      </c>
      <c r="E39" s="72"/>
      <c r="F39" s="72">
        <v>11</v>
      </c>
      <c r="G39" s="72"/>
      <c r="H39" s="72"/>
      <c r="I39" s="72"/>
    </row>
    <row r="40" spans="1:9" ht="15.75" x14ac:dyDescent="0.25">
      <c r="A40" s="72">
        <v>30</v>
      </c>
      <c r="B40" s="45" t="s">
        <v>106</v>
      </c>
      <c r="C40" s="72"/>
      <c r="D40" s="45">
        <v>93</v>
      </c>
      <c r="E40" s="72"/>
      <c r="F40" s="72">
        <v>19</v>
      </c>
      <c r="G40" s="72"/>
      <c r="H40" s="72"/>
      <c r="I40" s="72"/>
    </row>
    <row r="41" spans="1:9" ht="15.75" x14ac:dyDescent="0.25">
      <c r="A41" s="72">
        <v>31</v>
      </c>
      <c r="B41" s="45" t="s">
        <v>113</v>
      </c>
      <c r="C41" s="72"/>
      <c r="D41" s="45">
        <v>96</v>
      </c>
      <c r="E41" s="72"/>
      <c r="F41" s="72">
        <v>19</v>
      </c>
      <c r="G41" s="72"/>
      <c r="H41" s="72"/>
      <c r="I41" s="72"/>
    </row>
    <row r="42" spans="1:9" ht="15.75" x14ac:dyDescent="0.25">
      <c r="A42" s="72">
        <v>32</v>
      </c>
      <c r="B42" s="45" t="s">
        <v>114</v>
      </c>
      <c r="C42" s="72"/>
      <c r="D42" s="45">
        <v>43</v>
      </c>
      <c r="E42" s="72"/>
      <c r="F42" s="72">
        <v>0</v>
      </c>
      <c r="G42" s="72"/>
      <c r="H42" s="72"/>
      <c r="I42" s="72"/>
    </row>
  </sheetData>
  <mergeCells count="21">
    <mergeCell ref="G9:H9"/>
    <mergeCell ref="I9:I10"/>
    <mergeCell ref="A9:A10"/>
    <mergeCell ref="B9:B10"/>
    <mergeCell ref="C9:C10"/>
    <mergeCell ref="D9:D10"/>
    <mergeCell ref="E9:E10"/>
    <mergeCell ref="F9:F10"/>
    <mergeCell ref="A6:C6"/>
    <mergeCell ref="D6:G6"/>
    <mergeCell ref="H6:I6"/>
    <mergeCell ref="A7:C7"/>
    <mergeCell ref="D7:G7"/>
    <mergeCell ref="H7:I7"/>
    <mergeCell ref="A1:I1"/>
    <mergeCell ref="A2:I2"/>
    <mergeCell ref="A3:I3"/>
    <mergeCell ref="A4:I4"/>
    <mergeCell ref="A5:C5"/>
    <mergeCell ref="D5:G5"/>
    <mergeCell ref="H5:I5"/>
  </mergeCells>
  <printOptions horizontalCentered="1"/>
  <pageMargins left="0.36" right="0.17" top="0.31" bottom="0.17" header="0.31496062992125984" footer="0.31496062992125984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4E9AC-DB86-4BF1-BD13-946A35C013D8}">
  <dimension ref="A1:Q9"/>
  <sheetViews>
    <sheetView workbookViewId="0">
      <selection activeCell="L24" sqref="L24:L25"/>
    </sheetView>
  </sheetViews>
  <sheetFormatPr defaultRowHeight="15" x14ac:dyDescent="0.25"/>
  <cols>
    <col min="1" max="1" width="5.7109375" customWidth="1"/>
    <col min="2" max="2" width="7.85546875" customWidth="1"/>
    <col min="5" max="13" width="4.5703125" customWidth="1"/>
    <col min="17" max="17" width="12.42578125" customWidth="1"/>
  </cols>
  <sheetData>
    <row r="1" spans="1:17" s="74" customFormat="1" ht="20.25" x14ac:dyDescent="0.25">
      <c r="A1" s="73" t="s">
        <v>177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</row>
    <row r="2" spans="1:17" s="74" customFormat="1" ht="20.25" x14ac:dyDescent="0.25">
      <c r="A2" s="73" t="s">
        <v>178</v>
      </c>
      <c r="B2" s="73"/>
      <c r="C2" s="73"/>
      <c r="D2" s="73"/>
      <c r="E2" s="73"/>
      <c r="F2" s="73"/>
      <c r="G2" s="73"/>
      <c r="H2" s="73"/>
      <c r="I2" s="73"/>
      <c r="J2" s="73"/>
      <c r="K2" s="73"/>
      <c r="L2" s="73"/>
      <c r="M2" s="73"/>
      <c r="N2" s="73"/>
      <c r="O2" s="73"/>
      <c r="P2" s="73"/>
      <c r="Q2" s="73"/>
    </row>
    <row r="3" spans="1:17" s="74" customFormat="1" x14ac:dyDescent="0.25">
      <c r="A3" s="75"/>
    </row>
    <row r="4" spans="1:17" s="74" customFormat="1" ht="15.75" thickBot="1" x14ac:dyDescent="0.3">
      <c r="A4" s="75"/>
    </row>
    <row r="5" spans="1:17" s="74" customFormat="1" ht="16.5" thickBot="1" x14ac:dyDescent="0.3">
      <c r="A5" s="76" t="s">
        <v>46</v>
      </c>
      <c r="B5" s="76" t="s">
        <v>47</v>
      </c>
      <c r="C5" s="76" t="s">
        <v>48</v>
      </c>
      <c r="D5" s="76" t="s">
        <v>179</v>
      </c>
      <c r="E5" s="77" t="s">
        <v>180</v>
      </c>
      <c r="F5" s="78"/>
      <c r="G5" s="78"/>
      <c r="H5" s="78"/>
      <c r="I5" s="78"/>
      <c r="J5" s="78"/>
      <c r="K5" s="78"/>
      <c r="L5" s="78"/>
      <c r="M5" s="79"/>
      <c r="N5" s="76" t="s">
        <v>181</v>
      </c>
      <c r="O5" s="77" t="s">
        <v>182</v>
      </c>
      <c r="P5" s="79"/>
      <c r="Q5" s="76" t="s">
        <v>183</v>
      </c>
    </row>
    <row r="6" spans="1:17" s="74" customFormat="1" ht="15.75" x14ac:dyDescent="0.25">
      <c r="A6" s="80"/>
      <c r="B6" s="80"/>
      <c r="C6" s="80"/>
      <c r="D6" s="80"/>
      <c r="E6" s="81" t="s">
        <v>184</v>
      </c>
      <c r="F6" s="82"/>
      <c r="G6" s="83"/>
      <c r="H6" s="81" t="s">
        <v>185</v>
      </c>
      <c r="I6" s="82"/>
      <c r="J6" s="83"/>
      <c r="K6" s="81" t="s">
        <v>186</v>
      </c>
      <c r="L6" s="82"/>
      <c r="M6" s="83"/>
      <c r="N6" s="80"/>
      <c r="O6" s="76" t="s">
        <v>187</v>
      </c>
      <c r="P6" s="76" t="s">
        <v>188</v>
      </c>
      <c r="Q6" s="80"/>
    </row>
    <row r="7" spans="1:17" s="74" customFormat="1" ht="16.5" thickBot="1" x14ac:dyDescent="0.3">
      <c r="A7" s="80"/>
      <c r="B7" s="80"/>
      <c r="C7" s="84"/>
      <c r="D7" s="80"/>
      <c r="E7" s="85" t="s">
        <v>189</v>
      </c>
      <c r="F7" s="86"/>
      <c r="G7" s="87"/>
      <c r="H7" s="85" t="s">
        <v>190</v>
      </c>
      <c r="I7" s="86"/>
      <c r="J7" s="87"/>
      <c r="K7" s="85" t="s">
        <v>189</v>
      </c>
      <c r="L7" s="86"/>
      <c r="M7" s="87"/>
      <c r="N7" s="80"/>
      <c r="O7" s="80"/>
      <c r="P7" s="80"/>
      <c r="Q7" s="80"/>
    </row>
    <row r="8" spans="1:17" s="74" customFormat="1" ht="16.5" thickBot="1" x14ac:dyDescent="0.3">
      <c r="A8" s="88"/>
      <c r="B8" s="88"/>
      <c r="C8" s="88"/>
      <c r="D8" s="88"/>
      <c r="E8" s="89" t="s">
        <v>191</v>
      </c>
      <c r="F8" s="89" t="s">
        <v>192</v>
      </c>
      <c r="G8" s="89" t="s">
        <v>193</v>
      </c>
      <c r="H8" s="89" t="s">
        <v>191</v>
      </c>
      <c r="I8" s="89" t="s">
        <v>192</v>
      </c>
      <c r="J8" s="89" t="s">
        <v>193</v>
      </c>
      <c r="K8" s="89" t="s">
        <v>191</v>
      </c>
      <c r="L8" s="89" t="s">
        <v>192</v>
      </c>
      <c r="M8" s="89" t="s">
        <v>193</v>
      </c>
      <c r="N8" s="88"/>
      <c r="O8" s="88"/>
      <c r="P8" s="88"/>
      <c r="Q8" s="88"/>
    </row>
    <row r="9" spans="1:17" s="74" customFormat="1" ht="15.75" x14ac:dyDescent="0.25">
      <c r="A9" s="44">
        <v>1</v>
      </c>
      <c r="B9" s="90" t="s">
        <v>194</v>
      </c>
      <c r="C9" s="91"/>
      <c r="D9" s="91"/>
      <c r="E9" s="91"/>
      <c r="F9" s="91"/>
      <c r="G9" s="91"/>
      <c r="H9" s="91"/>
      <c r="I9" s="91"/>
      <c r="J9" s="91"/>
      <c r="K9" s="91"/>
      <c r="L9" s="91"/>
      <c r="M9" s="91"/>
      <c r="N9" s="91"/>
      <c r="O9" s="91"/>
      <c r="P9" s="91"/>
      <c r="Q9" s="92"/>
    </row>
  </sheetData>
  <mergeCells count="19">
    <mergeCell ref="B9:Q9"/>
    <mergeCell ref="E6:G6"/>
    <mergeCell ref="H6:J6"/>
    <mergeCell ref="K6:M6"/>
    <mergeCell ref="O6:O8"/>
    <mergeCell ref="P6:P8"/>
    <mergeCell ref="E7:G7"/>
    <mergeCell ref="H7:J7"/>
    <mergeCell ref="K7:M7"/>
    <mergeCell ref="A1:Q1"/>
    <mergeCell ref="A2:Q2"/>
    <mergeCell ref="A5:A8"/>
    <mergeCell ref="B5:B8"/>
    <mergeCell ref="C5:C8"/>
    <mergeCell ref="D5:D8"/>
    <mergeCell ref="E5:M5"/>
    <mergeCell ref="N5:N8"/>
    <mergeCell ref="O5:P5"/>
    <mergeCell ref="Q5:Q8"/>
  </mergeCells>
  <printOptions horizontalCentered="1"/>
  <pageMargins left="0.70866141732283472" right="0.70866141732283472" top="0.74803149606299213" bottom="0.74803149606299213" header="0.31496062992125984" footer="0.31496062992125984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33"/>
  <sheetViews>
    <sheetView view="pageBreakPreview" zoomScaleSheetLayoutView="100" workbookViewId="0">
      <selection activeCell="E31" sqref="E31:E32"/>
    </sheetView>
  </sheetViews>
  <sheetFormatPr defaultColWidth="9.140625" defaultRowHeight="15.75" x14ac:dyDescent="0.25"/>
  <cols>
    <col min="1" max="1" width="6.85546875" style="12" bestFit="1" customWidth="1"/>
    <col min="2" max="2" width="24.42578125" style="12" bestFit="1" customWidth="1"/>
    <col min="3" max="3" width="17" style="12" bestFit="1" customWidth="1"/>
    <col min="4" max="4" width="9.28515625" style="12" customWidth="1"/>
    <col min="5" max="5" width="7.7109375" style="12" customWidth="1"/>
    <col min="6" max="7" width="9.140625" style="12"/>
    <col min="8" max="8" width="16.5703125" style="12" customWidth="1"/>
    <col min="9" max="10" width="9.140625" style="12"/>
    <col min="11" max="11" width="10.28515625" style="12" bestFit="1" customWidth="1"/>
    <col min="12" max="16384" width="9.140625" style="12"/>
  </cols>
  <sheetData>
    <row r="1" spans="1:8" x14ac:dyDescent="0.25">
      <c r="A1" s="59" t="s">
        <v>43</v>
      </c>
      <c r="B1" s="59"/>
      <c r="C1" s="59"/>
      <c r="D1" s="59"/>
      <c r="E1" s="59"/>
      <c r="F1" s="59"/>
      <c r="G1" s="59"/>
      <c r="H1" s="59"/>
    </row>
    <row r="2" spans="1:8" s="22" customFormat="1" x14ac:dyDescent="0.25">
      <c r="B2" s="23" t="s">
        <v>44</v>
      </c>
      <c r="F2" s="60" t="s">
        <v>45</v>
      </c>
      <c r="G2" s="60"/>
      <c r="H2" s="60"/>
    </row>
    <row r="3" spans="1:8" x14ac:dyDescent="0.25">
      <c r="A3" s="54" t="s">
        <v>46</v>
      </c>
      <c r="B3" s="54" t="s">
        <v>47</v>
      </c>
      <c r="C3" s="54" t="s">
        <v>48</v>
      </c>
      <c r="D3" s="54" t="s">
        <v>49</v>
      </c>
      <c r="E3" s="54" t="s">
        <v>50</v>
      </c>
      <c r="F3" s="52" t="s">
        <v>51</v>
      </c>
      <c r="G3" s="52"/>
      <c r="H3" s="54" t="s">
        <v>52</v>
      </c>
    </row>
    <row r="4" spans="1:8" ht="63" x14ac:dyDescent="0.25">
      <c r="A4" s="55"/>
      <c r="B4" s="55"/>
      <c r="C4" s="55"/>
      <c r="D4" s="55"/>
      <c r="E4" s="55"/>
      <c r="F4" s="16" t="s">
        <v>53</v>
      </c>
      <c r="G4" s="16" t="s">
        <v>54</v>
      </c>
      <c r="H4" s="55"/>
    </row>
    <row r="5" spans="1:8" x14ac:dyDescent="0.25">
      <c r="A5" s="10">
        <v>1</v>
      </c>
      <c r="B5" s="11" t="s">
        <v>101</v>
      </c>
      <c r="C5" s="11" t="s">
        <v>144</v>
      </c>
      <c r="D5" s="11">
        <v>2.5</v>
      </c>
      <c r="E5" s="11">
        <v>3</v>
      </c>
      <c r="F5" s="11" t="s">
        <v>152</v>
      </c>
      <c r="G5" s="11">
        <v>8</v>
      </c>
      <c r="H5" s="11"/>
    </row>
    <row r="6" spans="1:8" x14ac:dyDescent="0.25">
      <c r="A6" s="24"/>
      <c r="B6" s="25"/>
      <c r="C6" s="26"/>
      <c r="D6" s="27"/>
      <c r="E6" s="28"/>
    </row>
    <row r="7" spans="1:8" x14ac:dyDescent="0.25">
      <c r="A7" s="52" t="s">
        <v>55</v>
      </c>
      <c r="B7" s="52"/>
      <c r="C7" s="52"/>
      <c r="D7" s="52"/>
      <c r="E7" s="52"/>
      <c r="F7" s="52"/>
      <c r="G7" s="52"/>
      <c r="H7" s="52"/>
    </row>
    <row r="8" spans="1:8" ht="27.75" customHeight="1" x14ac:dyDescent="0.25">
      <c r="A8" s="10">
        <v>1</v>
      </c>
      <c r="B8" s="58" t="s">
        <v>56</v>
      </c>
      <c r="C8" s="58"/>
      <c r="D8" s="58"/>
      <c r="E8" s="58"/>
      <c r="F8" s="58"/>
      <c r="G8" s="58"/>
      <c r="H8" s="29" t="s">
        <v>142</v>
      </c>
    </row>
    <row r="9" spans="1:8" x14ac:dyDescent="0.25">
      <c r="A9" s="10">
        <v>2</v>
      </c>
      <c r="B9" s="58" t="s">
        <v>57</v>
      </c>
      <c r="C9" s="58"/>
      <c r="D9" s="58"/>
      <c r="E9" s="58"/>
      <c r="F9" s="58"/>
      <c r="G9" s="58"/>
      <c r="H9" s="29" t="s">
        <v>120</v>
      </c>
    </row>
    <row r="10" spans="1:8" x14ac:dyDescent="0.25">
      <c r="A10" s="10">
        <v>3</v>
      </c>
      <c r="B10" s="58" t="s">
        <v>58</v>
      </c>
      <c r="C10" s="58"/>
      <c r="D10" s="58"/>
      <c r="E10" s="58"/>
      <c r="F10" s="58"/>
      <c r="G10" s="58"/>
      <c r="H10" s="29" t="s">
        <v>121</v>
      </c>
    </row>
    <row r="11" spans="1:8" x14ac:dyDescent="0.25">
      <c r="A11" s="24"/>
      <c r="B11" s="24"/>
      <c r="C11" s="24"/>
      <c r="D11" s="24"/>
      <c r="E11" s="24"/>
      <c r="F11" s="24"/>
      <c r="G11" s="24"/>
      <c r="H11" s="30"/>
    </row>
    <row r="12" spans="1:8" x14ac:dyDescent="0.25">
      <c r="B12" s="31" t="str">
        <f>B2</f>
        <v xml:space="preserve">    Grid No:  </v>
      </c>
      <c r="F12" s="31" t="s">
        <v>59</v>
      </c>
      <c r="G12" s="31"/>
    </row>
    <row r="13" spans="1:8" x14ac:dyDescent="0.25">
      <c r="A13" s="52" t="s">
        <v>46</v>
      </c>
      <c r="B13" s="52" t="s">
        <v>47</v>
      </c>
      <c r="C13" s="52" t="s">
        <v>48</v>
      </c>
      <c r="D13" s="54" t="s">
        <v>49</v>
      </c>
      <c r="E13" s="52" t="s">
        <v>50</v>
      </c>
      <c r="F13" s="52" t="s">
        <v>51</v>
      </c>
      <c r="G13" s="52"/>
      <c r="H13" s="52" t="s">
        <v>52</v>
      </c>
    </row>
    <row r="14" spans="1:8" ht="63" x14ac:dyDescent="0.25">
      <c r="A14" s="52"/>
      <c r="B14" s="52"/>
      <c r="C14" s="52"/>
      <c r="D14" s="55"/>
      <c r="E14" s="52"/>
      <c r="F14" s="16" t="s">
        <v>53</v>
      </c>
      <c r="G14" s="16" t="s">
        <v>54</v>
      </c>
      <c r="H14" s="52"/>
    </row>
    <row r="15" spans="1:8" x14ac:dyDescent="0.25">
      <c r="A15" s="10">
        <v>1</v>
      </c>
      <c r="B15" s="16" t="s">
        <v>119</v>
      </c>
      <c r="C15" s="16"/>
      <c r="D15" s="16"/>
      <c r="E15" s="16"/>
      <c r="F15" s="16"/>
      <c r="G15" s="16"/>
      <c r="H15" s="16"/>
    </row>
    <row r="16" spans="1:8" x14ac:dyDescent="0.25">
      <c r="A16" s="24"/>
      <c r="B16" s="32"/>
      <c r="C16" s="33"/>
      <c r="D16" s="24"/>
      <c r="E16" s="24"/>
      <c r="F16" s="24"/>
      <c r="G16" s="24"/>
      <c r="H16" s="24"/>
    </row>
    <row r="17" spans="1:8" x14ac:dyDescent="0.25">
      <c r="A17" s="52" t="s">
        <v>55</v>
      </c>
      <c r="B17" s="52"/>
      <c r="C17" s="52"/>
      <c r="D17" s="52"/>
      <c r="E17" s="52"/>
      <c r="F17" s="52"/>
      <c r="G17" s="52"/>
      <c r="H17" s="52"/>
    </row>
    <row r="18" spans="1:8" x14ac:dyDescent="0.25">
      <c r="A18" s="10">
        <v>1</v>
      </c>
      <c r="B18" s="58" t="s">
        <v>56</v>
      </c>
      <c r="C18" s="58"/>
      <c r="D18" s="58"/>
      <c r="E18" s="58"/>
      <c r="F18" s="58"/>
      <c r="G18" s="58"/>
      <c r="H18" s="10" t="s">
        <v>141</v>
      </c>
    </row>
    <row r="19" spans="1:8" x14ac:dyDescent="0.25">
      <c r="A19" s="10">
        <v>2</v>
      </c>
      <c r="B19" s="58" t="s">
        <v>57</v>
      </c>
      <c r="C19" s="58"/>
      <c r="D19" s="58"/>
      <c r="E19" s="58"/>
      <c r="F19" s="58"/>
      <c r="G19" s="58"/>
      <c r="H19" s="10">
        <v>0</v>
      </c>
    </row>
    <row r="20" spans="1:8" x14ac:dyDescent="0.25">
      <c r="A20" s="10">
        <v>3</v>
      </c>
      <c r="B20" s="58" t="s">
        <v>58</v>
      </c>
      <c r="C20" s="58"/>
      <c r="D20" s="58"/>
      <c r="E20" s="58"/>
      <c r="F20" s="58"/>
      <c r="G20" s="58"/>
      <c r="H20" s="10">
        <v>0</v>
      </c>
    </row>
    <row r="21" spans="1:8" x14ac:dyDescent="0.25">
      <c r="A21" s="24"/>
      <c r="B21" s="33"/>
      <c r="C21" s="33"/>
      <c r="D21" s="33"/>
      <c r="E21" s="33"/>
      <c r="F21" s="33"/>
      <c r="G21" s="33"/>
      <c r="H21" s="30"/>
    </row>
    <row r="22" spans="1:8" x14ac:dyDescent="0.25">
      <c r="B22" s="31" t="str">
        <f>B2</f>
        <v xml:space="preserve">    Grid No:  </v>
      </c>
      <c r="F22" s="23" t="s">
        <v>73</v>
      </c>
      <c r="G22" s="23"/>
    </row>
    <row r="23" spans="1:8" x14ac:dyDescent="0.25">
      <c r="A23" s="52" t="s">
        <v>46</v>
      </c>
      <c r="B23" s="52" t="s">
        <v>47</v>
      </c>
      <c r="C23" s="52" t="s">
        <v>48</v>
      </c>
      <c r="D23" s="54" t="s">
        <v>49</v>
      </c>
      <c r="E23" s="52" t="s">
        <v>50</v>
      </c>
      <c r="F23" s="52" t="s">
        <v>51</v>
      </c>
      <c r="G23" s="52"/>
      <c r="H23" s="52" t="s">
        <v>52</v>
      </c>
    </row>
    <row r="24" spans="1:8" ht="63" x14ac:dyDescent="0.25">
      <c r="A24" s="52"/>
      <c r="B24" s="52"/>
      <c r="C24" s="52"/>
      <c r="D24" s="55"/>
      <c r="E24" s="52"/>
      <c r="F24" s="16" t="s">
        <v>53</v>
      </c>
      <c r="G24" s="16" t="s">
        <v>54</v>
      </c>
      <c r="H24" s="52"/>
    </row>
    <row r="25" spans="1:8" s="22" customFormat="1" x14ac:dyDescent="0.25">
      <c r="A25" s="10">
        <v>1</v>
      </c>
      <c r="B25" s="34" t="s">
        <v>122</v>
      </c>
      <c r="C25" s="10" t="s">
        <v>148</v>
      </c>
      <c r="D25" s="10">
        <v>5</v>
      </c>
      <c r="E25" s="10">
        <v>4</v>
      </c>
      <c r="F25" s="10" t="s">
        <v>153</v>
      </c>
      <c r="G25" s="10">
        <v>24</v>
      </c>
      <c r="H25" s="10"/>
    </row>
    <row r="26" spans="1:8" s="22" customFormat="1" x14ac:dyDescent="0.25">
      <c r="A26" s="10">
        <v>2</v>
      </c>
      <c r="B26" s="34" t="s">
        <v>123</v>
      </c>
      <c r="C26" s="10" t="s">
        <v>145</v>
      </c>
      <c r="D26" s="10">
        <v>2.2000000000000002</v>
      </c>
      <c r="E26" s="10">
        <v>3</v>
      </c>
      <c r="F26" s="10" t="s">
        <v>153</v>
      </c>
      <c r="G26" s="10">
        <v>7</v>
      </c>
      <c r="H26" s="10"/>
    </row>
    <row r="27" spans="1:8" s="22" customFormat="1" x14ac:dyDescent="0.25">
      <c r="A27" s="10">
        <v>3</v>
      </c>
      <c r="B27" s="34" t="s">
        <v>115</v>
      </c>
      <c r="C27" s="10" t="s">
        <v>147</v>
      </c>
      <c r="D27" s="10">
        <v>2.2000000000000002</v>
      </c>
      <c r="E27" s="10">
        <v>3</v>
      </c>
      <c r="F27" s="10" t="s">
        <v>154</v>
      </c>
      <c r="G27" s="10">
        <v>8</v>
      </c>
      <c r="H27" s="10"/>
    </row>
    <row r="28" spans="1:8" s="22" customFormat="1" x14ac:dyDescent="0.25">
      <c r="A28" s="10">
        <v>4</v>
      </c>
      <c r="B28" s="34" t="s">
        <v>124</v>
      </c>
      <c r="C28" s="10" t="s">
        <v>146</v>
      </c>
      <c r="D28" s="10">
        <v>2.1</v>
      </c>
      <c r="E28" s="10">
        <v>2.5</v>
      </c>
      <c r="F28" s="10" t="s">
        <v>155</v>
      </c>
      <c r="G28" s="10">
        <v>5</v>
      </c>
      <c r="H28" s="10"/>
    </row>
    <row r="29" spans="1:8" x14ac:dyDescent="0.25">
      <c r="A29" s="24"/>
      <c r="B29" s="24"/>
      <c r="C29" s="24"/>
      <c r="D29" s="24"/>
      <c r="E29" s="24"/>
      <c r="F29" s="24"/>
      <c r="G29" s="24"/>
      <c r="H29" s="24"/>
    </row>
    <row r="30" spans="1:8" x14ac:dyDescent="0.25">
      <c r="B30" s="31" t="str">
        <f>B2</f>
        <v xml:space="preserve">    Grid No:  </v>
      </c>
      <c r="F30" s="53" t="s">
        <v>74</v>
      </c>
      <c r="G30" s="53"/>
      <c r="H30" s="53"/>
    </row>
    <row r="31" spans="1:8" x14ac:dyDescent="0.25">
      <c r="A31" s="54" t="s">
        <v>46</v>
      </c>
      <c r="B31" s="54" t="s">
        <v>47</v>
      </c>
      <c r="C31" s="54" t="s">
        <v>48</v>
      </c>
      <c r="D31" s="54" t="s">
        <v>49</v>
      </c>
      <c r="E31" s="54" t="s">
        <v>50</v>
      </c>
      <c r="F31" s="56" t="s">
        <v>51</v>
      </c>
      <c r="G31" s="57"/>
      <c r="H31" s="54" t="s">
        <v>52</v>
      </c>
    </row>
    <row r="32" spans="1:8" ht="63" x14ac:dyDescent="0.25">
      <c r="A32" s="55"/>
      <c r="B32" s="55"/>
      <c r="C32" s="55"/>
      <c r="D32" s="55"/>
      <c r="E32" s="55"/>
      <c r="F32" s="16" t="s">
        <v>53</v>
      </c>
      <c r="G32" s="16" t="s">
        <v>54</v>
      </c>
      <c r="H32" s="55"/>
    </row>
    <row r="33" spans="1:8" s="22" customFormat="1" x14ac:dyDescent="0.25">
      <c r="A33" s="35">
        <v>1</v>
      </c>
      <c r="B33" s="34" t="s">
        <v>125</v>
      </c>
      <c r="C33" s="10" t="s">
        <v>149</v>
      </c>
      <c r="D33" s="35">
        <v>2.5</v>
      </c>
      <c r="E33" s="36">
        <v>3</v>
      </c>
      <c r="F33" s="21" t="s">
        <v>156</v>
      </c>
      <c r="G33" s="21">
        <v>7</v>
      </c>
      <c r="H33" s="21"/>
    </row>
  </sheetData>
  <mergeCells count="39">
    <mergeCell ref="A1:H1"/>
    <mergeCell ref="F2:H2"/>
    <mergeCell ref="A3:A4"/>
    <mergeCell ref="B3:B4"/>
    <mergeCell ref="C3:C4"/>
    <mergeCell ref="D3:D4"/>
    <mergeCell ref="E3:E4"/>
    <mergeCell ref="F3:G3"/>
    <mergeCell ref="H3:H4"/>
    <mergeCell ref="A7:H7"/>
    <mergeCell ref="B8:G8"/>
    <mergeCell ref="B9:G9"/>
    <mergeCell ref="B10:G10"/>
    <mergeCell ref="A13:A14"/>
    <mergeCell ref="B13:B14"/>
    <mergeCell ref="C13:C14"/>
    <mergeCell ref="D13:D14"/>
    <mergeCell ref="E13:E14"/>
    <mergeCell ref="F13:G13"/>
    <mergeCell ref="H13:H14"/>
    <mergeCell ref="A17:H17"/>
    <mergeCell ref="B18:G18"/>
    <mergeCell ref="B19:G19"/>
    <mergeCell ref="B20:G20"/>
    <mergeCell ref="A23:A24"/>
    <mergeCell ref="B23:B24"/>
    <mergeCell ref="C23:C24"/>
    <mergeCell ref="D23:D24"/>
    <mergeCell ref="E23:E24"/>
    <mergeCell ref="F23:G23"/>
    <mergeCell ref="H23:H24"/>
    <mergeCell ref="F30:H30"/>
    <mergeCell ref="A31:A32"/>
    <mergeCell ref="B31:B32"/>
    <mergeCell ref="C31:C32"/>
    <mergeCell ref="D31:D32"/>
    <mergeCell ref="E31:E32"/>
    <mergeCell ref="F31:G31"/>
    <mergeCell ref="H31:H32"/>
  </mergeCells>
  <printOptions horizontalCentered="1"/>
  <pageMargins left="0.15748031496062992" right="0.23622047244094491" top="0.39370078740157483" bottom="0.27559055118110237" header="0.15748031496062992" footer="0.15748031496062992"/>
  <pageSetup scale="95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9"/>
  <sheetViews>
    <sheetView tabSelected="1" view="pageBreakPreview" zoomScale="85" zoomScaleNormal="85" zoomScaleSheetLayoutView="85" workbookViewId="0">
      <selection activeCell="W4" sqref="W4"/>
    </sheetView>
  </sheetViews>
  <sheetFormatPr defaultColWidth="9.140625" defaultRowHeight="15.75" x14ac:dyDescent="0.25"/>
  <cols>
    <col min="1" max="1" width="6.5703125" style="12" customWidth="1"/>
    <col min="2" max="2" width="31.5703125" style="12" bestFit="1" customWidth="1"/>
    <col min="3" max="3" width="20.28515625" style="26" bestFit="1" customWidth="1"/>
    <col min="4" max="4" width="9.140625" style="12"/>
    <col min="5" max="6" width="10.28515625" style="12" customWidth="1"/>
    <col min="7" max="7" width="17" style="12" customWidth="1"/>
    <col min="8" max="16384" width="9.140625" style="12"/>
  </cols>
  <sheetData>
    <row r="1" spans="1:7" x14ac:dyDescent="0.25">
      <c r="A1" s="59" t="s">
        <v>60</v>
      </c>
      <c r="B1" s="59"/>
      <c r="C1" s="59"/>
      <c r="D1" s="59"/>
      <c r="E1" s="59"/>
      <c r="F1" s="59"/>
      <c r="G1" s="59"/>
    </row>
    <row r="2" spans="1:7" x14ac:dyDescent="0.25">
      <c r="E2" s="60" t="s">
        <v>45</v>
      </c>
      <c r="F2" s="60"/>
      <c r="G2" s="60"/>
    </row>
    <row r="3" spans="1:7" x14ac:dyDescent="0.25">
      <c r="A3" s="52" t="s">
        <v>46</v>
      </c>
      <c r="B3" s="52" t="s">
        <v>47</v>
      </c>
      <c r="C3" s="51" t="s">
        <v>48</v>
      </c>
      <c r="D3" s="52" t="s">
        <v>61</v>
      </c>
      <c r="E3" s="52" t="s">
        <v>51</v>
      </c>
      <c r="F3" s="52"/>
      <c r="G3" s="52" t="s">
        <v>62</v>
      </c>
    </row>
    <row r="4" spans="1:7" ht="31.5" x14ac:dyDescent="0.25">
      <c r="A4" s="52"/>
      <c r="B4" s="52"/>
      <c r="C4" s="51"/>
      <c r="D4" s="52"/>
      <c r="E4" s="16" t="s">
        <v>63</v>
      </c>
      <c r="F4" s="16" t="s">
        <v>64</v>
      </c>
      <c r="G4" s="52"/>
    </row>
    <row r="5" spans="1:7" x14ac:dyDescent="0.25">
      <c r="A5" s="52"/>
      <c r="B5" s="52"/>
      <c r="C5" s="51"/>
      <c r="D5" s="52"/>
      <c r="E5" s="16" t="s">
        <v>65</v>
      </c>
      <c r="F5" s="16" t="s">
        <v>71</v>
      </c>
      <c r="G5" s="52"/>
    </row>
    <row r="6" spans="1:7" x14ac:dyDescent="0.25">
      <c r="A6" s="10">
        <v>1</v>
      </c>
      <c r="B6" s="16" t="s">
        <v>115</v>
      </c>
      <c r="C6" s="37" t="s">
        <v>147</v>
      </c>
      <c r="D6" s="16">
        <v>100</v>
      </c>
      <c r="E6" s="16" t="s">
        <v>157</v>
      </c>
      <c r="F6" s="16">
        <v>400</v>
      </c>
      <c r="G6" s="16"/>
    </row>
    <row r="7" spans="1:7" x14ac:dyDescent="0.25">
      <c r="A7" s="10">
        <v>2</v>
      </c>
      <c r="B7" s="16" t="s">
        <v>116</v>
      </c>
      <c r="C7" s="37" t="s">
        <v>149</v>
      </c>
      <c r="D7" s="16">
        <v>120</v>
      </c>
      <c r="E7" s="16" t="s">
        <v>155</v>
      </c>
      <c r="F7" s="16">
        <v>480</v>
      </c>
      <c r="G7" s="16"/>
    </row>
    <row r="8" spans="1:7" x14ac:dyDescent="0.25">
      <c r="A8" s="10">
        <v>3</v>
      </c>
      <c r="B8" s="16" t="s">
        <v>117</v>
      </c>
      <c r="C8" s="37" t="s">
        <v>150</v>
      </c>
      <c r="D8" s="16">
        <v>110</v>
      </c>
      <c r="E8" s="16" t="s">
        <v>154</v>
      </c>
      <c r="F8" s="16">
        <v>460</v>
      </c>
      <c r="G8" s="16"/>
    </row>
    <row r="9" spans="1:7" x14ac:dyDescent="0.25">
      <c r="A9" s="10">
        <v>4</v>
      </c>
      <c r="B9" s="16" t="s">
        <v>117</v>
      </c>
      <c r="C9" s="37" t="s">
        <v>150</v>
      </c>
      <c r="D9" s="16">
        <v>80</v>
      </c>
      <c r="E9" s="16" t="s">
        <v>154</v>
      </c>
      <c r="F9" s="16">
        <v>380</v>
      </c>
      <c r="G9" s="16"/>
    </row>
    <row r="10" spans="1:7" x14ac:dyDescent="0.25">
      <c r="A10" s="10">
        <v>5</v>
      </c>
      <c r="B10" s="16" t="s">
        <v>118</v>
      </c>
      <c r="C10" s="37" t="s">
        <v>151</v>
      </c>
      <c r="D10" s="16">
        <v>20</v>
      </c>
      <c r="E10" s="16" t="s">
        <v>158</v>
      </c>
      <c r="F10" s="16">
        <v>100</v>
      </c>
      <c r="G10" s="16"/>
    </row>
    <row r="11" spans="1:7" x14ac:dyDescent="0.25">
      <c r="A11" s="10">
        <v>6</v>
      </c>
      <c r="B11" s="16" t="s">
        <v>117</v>
      </c>
      <c r="C11" s="37" t="s">
        <v>150</v>
      </c>
      <c r="D11" s="16">
        <v>60</v>
      </c>
      <c r="E11" s="16" t="s">
        <v>154</v>
      </c>
      <c r="F11" s="16">
        <v>300</v>
      </c>
      <c r="G11" s="16"/>
    </row>
    <row r="12" spans="1:7" x14ac:dyDescent="0.25">
      <c r="A12" s="10">
        <v>7</v>
      </c>
      <c r="B12" s="16" t="s">
        <v>117</v>
      </c>
      <c r="C12" s="37" t="s">
        <v>150</v>
      </c>
      <c r="D12" s="16">
        <v>70</v>
      </c>
      <c r="E12" s="16" t="s">
        <v>154</v>
      </c>
      <c r="F12" s="16">
        <v>350</v>
      </c>
      <c r="G12" s="16"/>
    </row>
    <row r="13" spans="1:7" x14ac:dyDescent="0.25">
      <c r="A13" s="52" t="s">
        <v>55</v>
      </c>
      <c r="B13" s="52"/>
      <c r="C13" s="52"/>
      <c r="D13" s="52"/>
      <c r="E13" s="52"/>
      <c r="F13" s="52"/>
      <c r="G13" s="52"/>
    </row>
    <row r="14" spans="1:7" x14ac:dyDescent="0.25">
      <c r="A14" s="24"/>
      <c r="B14" s="30"/>
      <c r="C14" s="33"/>
      <c r="D14" s="24"/>
      <c r="E14" s="30"/>
      <c r="F14" s="30"/>
      <c r="G14" s="30"/>
    </row>
    <row r="15" spans="1:7" s="22" customFormat="1" x14ac:dyDescent="0.25">
      <c r="B15" s="38" t="s">
        <v>67</v>
      </c>
      <c r="C15" s="39"/>
      <c r="E15" s="59" t="s">
        <v>68</v>
      </c>
      <c r="F15" s="59"/>
      <c r="G15" s="59"/>
    </row>
    <row r="16" spans="1:7" x14ac:dyDescent="0.25">
      <c r="A16" s="52" t="s">
        <v>46</v>
      </c>
      <c r="B16" s="52" t="s">
        <v>47</v>
      </c>
      <c r="C16" s="61" t="s">
        <v>48</v>
      </c>
      <c r="D16" s="52" t="s">
        <v>61</v>
      </c>
      <c r="E16" s="52" t="s">
        <v>51</v>
      </c>
      <c r="F16" s="52"/>
      <c r="G16" s="52" t="s">
        <v>62</v>
      </c>
    </row>
    <row r="17" spans="1:7" ht="31.5" x14ac:dyDescent="0.25">
      <c r="A17" s="52"/>
      <c r="B17" s="52"/>
      <c r="C17" s="62"/>
      <c r="D17" s="52"/>
      <c r="E17" s="16" t="s">
        <v>63</v>
      </c>
      <c r="F17" s="16" t="s">
        <v>64</v>
      </c>
      <c r="G17" s="52"/>
    </row>
    <row r="18" spans="1:7" ht="31.5" x14ac:dyDescent="0.25">
      <c r="A18" s="52"/>
      <c r="B18" s="52"/>
      <c r="C18" s="63"/>
      <c r="D18" s="52"/>
      <c r="E18" s="16" t="s">
        <v>65</v>
      </c>
      <c r="F18" s="16" t="s">
        <v>66</v>
      </c>
      <c r="G18" s="52"/>
    </row>
    <row r="19" spans="1:7" s="22" customFormat="1" x14ac:dyDescent="0.25">
      <c r="A19" s="35">
        <v>1</v>
      </c>
      <c r="B19" s="21" t="s">
        <v>119</v>
      </c>
      <c r="C19" s="40"/>
      <c r="D19" s="35"/>
      <c r="E19" s="21"/>
      <c r="F19" s="21"/>
      <c r="G19" s="21"/>
    </row>
  </sheetData>
  <mergeCells count="16">
    <mergeCell ref="A1:G1"/>
    <mergeCell ref="E2:G2"/>
    <mergeCell ref="A3:A5"/>
    <mergeCell ref="B3:B5"/>
    <mergeCell ref="C3:C5"/>
    <mergeCell ref="D3:D5"/>
    <mergeCell ref="E3:F3"/>
    <mergeCell ref="G3:G5"/>
    <mergeCell ref="A13:G13"/>
    <mergeCell ref="E15:G15"/>
    <mergeCell ref="A16:A18"/>
    <mergeCell ref="B16:B18"/>
    <mergeCell ref="C16:C18"/>
    <mergeCell ref="D16:D18"/>
    <mergeCell ref="E16:F16"/>
    <mergeCell ref="G16:G18"/>
  </mergeCells>
  <printOptions horizontalCentered="1"/>
  <pageMargins left="0.23622047244094491" right="0.39370078740157483" top="0.31496062992125984" bottom="0.19685039370078741" header="0.31496062992125984" footer="0.31496062992125984"/>
  <pageSetup scale="95" orientation="portrait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4</vt:i4>
      </vt:variant>
    </vt:vector>
  </HeadingPairs>
  <TitlesOfParts>
    <vt:vector size="10" baseType="lpstr">
      <vt:lpstr>Form 1</vt:lpstr>
      <vt:lpstr>Form II</vt:lpstr>
      <vt:lpstr>Sheet2</vt:lpstr>
      <vt:lpstr>Sheet3</vt:lpstr>
      <vt:lpstr>F-B</vt:lpstr>
      <vt:lpstr>Form C</vt:lpstr>
      <vt:lpstr>'F-B'!Print_Titles</vt:lpstr>
      <vt:lpstr>'Form 1'!Print_Titles</vt:lpstr>
      <vt:lpstr>'Form C'!Print_Titles</vt:lpstr>
      <vt:lpstr>'Form II'!Print_Titles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Admin</cp:lastModifiedBy>
  <cp:lastPrinted>2024-10-24T11:53:32Z</cp:lastPrinted>
  <dcterms:created xsi:type="dcterms:W3CDTF">2023-09-21T06:16:02Z</dcterms:created>
  <dcterms:modified xsi:type="dcterms:W3CDTF">2024-10-24T11:53:35Z</dcterms:modified>
</cp:coreProperties>
</file>