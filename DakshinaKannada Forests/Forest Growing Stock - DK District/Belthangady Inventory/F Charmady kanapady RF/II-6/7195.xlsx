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6\"/>
    </mc:Choice>
  </mc:AlternateContent>
  <xr:revisionPtr revIDLastSave="0" documentId="13_ncr:1_{1B5A1C53-91C1-478C-8BA9-CA9B87D7D9D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8" i="5"/>
  <c r="C7" i="5"/>
  <c r="C5" i="5"/>
  <c r="C10" i="5"/>
  <c r="C9" i="5"/>
  <c r="B32" i="8"/>
  <c r="B26" i="8"/>
  <c r="B13" i="8"/>
</calcChain>
</file>

<file path=xl/sharedStrings.xml><?xml version="1.0" encoding="utf-8"?>
<sst xmlns="http://schemas.openxmlformats.org/spreadsheetml/2006/main" count="312" uniqueCount="196">
  <si>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</si>
  <si>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</si>
  <si>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</si>
  <si>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</si>
  <si>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</si>
  <si>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</si>
  <si>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</si>
  <si>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</si>
  <si>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</si>
  <si>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</si>
  <si>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</si>
  <si>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</si>
  <si>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</si>
  <si>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</si>
  <si>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</si>
  <si>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</si>
  <si>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</si>
  <si>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</si>
  <si>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</si>
  <si>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</si>
  <si>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</si>
  <si>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</si>
  <si>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</si>
  <si>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</si>
  <si>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</si>
  <si>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</si>
  <si>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</si>
  <si>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</si>
  <si>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</si>
  <si>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</si>
  <si>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</si>
  <si>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</si>
  <si>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</si>
  <si>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</si>
  <si>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</si>
  <si>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</si>
  <si>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</si>
  <si>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</si>
  <si>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</si>
  <si>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</si>
  <si>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</si>
  <si>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</si>
  <si>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</si>
  <si>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</si>
  <si>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</si>
  <si>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</si>
  <si>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</si>
  <si>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</si>
  <si>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</si>
  <si>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</si>
  <si>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</si>
  <si>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</si>
  <si>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</si>
  <si>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</si>
  <si>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</si>
  <si>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</si>
  <si>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</si>
  <si>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</si>
  <si>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</si>
  <si>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</si>
  <si>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</si>
  <si>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</si>
  <si>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</si>
  <si>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</si>
  <si>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</si>
  <si>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</si>
  <si>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</si>
  <si>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</si>
  <si>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</si>
  <si>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</si>
  <si>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</si>
  <si>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</si>
  <si>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</si>
  <si>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</si>
  <si>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</si>
  <si>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</si>
  <si>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</si>
  <si>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</si>
  <si>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Flat / Gently rolling / Ravines / Gullies / Hilly /Very Hilly</t>
  </si>
  <si>
    <t>Upto 3° /4°-15°/ 16°-40° /41° and Above</t>
  </si>
  <si>
    <t>Northern / NE/Eastern / SE /Southern /SW /Western/ NW /No aspect</t>
  </si>
  <si>
    <t>NIL</t>
  </si>
  <si>
    <t>Mangalore</t>
  </si>
  <si>
    <t>Soil -   Humus rich loamy soil</t>
  </si>
  <si>
    <t xml:space="preserve">Kingiyodendron pinnatum , Garcinia morella , Veteria indica , Strombosia ceylanica </t>
  </si>
  <si>
    <t>Canopy Dencity -  0.83</t>
  </si>
  <si>
    <t xml:space="preserve">Grasses -  Panicum sp , Digiteria sp </t>
  </si>
  <si>
    <t xml:space="preserve">Weeds -  Amranthus sp , Strobilanthus sp </t>
  </si>
  <si>
    <t xml:space="preserve">Bamboos -  Ochlandra sp </t>
  </si>
  <si>
    <t>Herbs -  Oxalis conciculata, Melanstoma malabarica</t>
  </si>
  <si>
    <t>Shrubs - Phyllanthus pulcher , Litsia ghatica</t>
  </si>
  <si>
    <t xml:space="preserve">Underwood species –  Ceiba pentandra , Manoon fragrans </t>
  </si>
  <si>
    <t xml:space="preserve">Climbers - Allophylus cobbe , Ventilago sp </t>
  </si>
  <si>
    <t xml:space="preserve">Rattans – Calamus thwiitesii , Calamus rotung </t>
  </si>
  <si>
    <t>NTFP yieding sps –Myristica malabarica , Canarium strictum</t>
  </si>
  <si>
    <t>Deep Dense forest</t>
  </si>
  <si>
    <r>
      <t>Heavy / Moderate /Mild /</t>
    </r>
    <r>
      <rPr>
        <b/>
        <sz val="12"/>
        <rFont val="Times New Roman"/>
        <family val="1"/>
      </rPr>
      <t>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</si>
  <si>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</si>
  <si>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</si>
  <si>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</si>
  <si>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</si>
  <si>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</si>
  <si>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Texture- Silty loam</t>
  </si>
  <si>
    <t>Depth- Deep</t>
  </si>
  <si>
    <t>Permiability-Good</t>
  </si>
  <si>
    <t xml:space="preserve">Manoon fragrans , Diospyros candolleana , Garcinia morella , Myristica malabarica </t>
  </si>
  <si>
    <t xml:space="preserve">Manoon fragrans </t>
  </si>
  <si>
    <t xml:space="preserve">Diospyros candolleana </t>
  </si>
  <si>
    <t xml:space="preserve">Aporosa lindleyana </t>
  </si>
  <si>
    <t xml:space="preserve">Phyllanthus pulcher </t>
  </si>
  <si>
    <t xml:space="preserve">Myristica malabarica </t>
  </si>
  <si>
    <t>Strombosia ceylanica</t>
  </si>
  <si>
    <t xml:space="preserve">Kingiyodendron pinnatum </t>
  </si>
  <si>
    <t xml:space="preserve">Garcinia morella </t>
  </si>
  <si>
    <t>Humbotiana burnonese</t>
  </si>
  <si>
    <t>Oxalis corniculata</t>
  </si>
  <si>
    <t xml:space="preserve">Derris sp </t>
  </si>
  <si>
    <t>Tottea siquosa</t>
  </si>
  <si>
    <t xml:space="preserve">Psychotria flavida </t>
  </si>
  <si>
    <t xml:space="preserve">Simplocaoccus sp </t>
  </si>
  <si>
    <t xml:space="preserve">Ventilago sp </t>
  </si>
  <si>
    <t xml:space="preserve">Hemidesmus indicus </t>
  </si>
  <si>
    <t>Kaadu coffe</t>
  </si>
  <si>
    <t>Kaadu coffee</t>
  </si>
  <si>
    <t>92g</t>
  </si>
  <si>
    <t>280g</t>
  </si>
  <si>
    <t>460g</t>
  </si>
  <si>
    <t>Holigarna arnattiana</t>
  </si>
  <si>
    <t xml:space="preserve">Holegere </t>
  </si>
  <si>
    <t>76g</t>
  </si>
  <si>
    <t>320g</t>
  </si>
  <si>
    <t>860g</t>
  </si>
  <si>
    <t>Litsia ghatica</t>
  </si>
  <si>
    <t xml:space="preserve">Strombosia ceylanica </t>
  </si>
  <si>
    <t>Myristica malabarica</t>
  </si>
  <si>
    <t>Rampatre</t>
  </si>
  <si>
    <t>Travel from Ujire towards Bheetige Charmady  up to N  13.058933°  E  75.403615° by vehicle and then walk  850  m in the bearing of  2  degree to reach the grid.</t>
  </si>
  <si>
    <t>Tract -  Undulating</t>
  </si>
  <si>
    <t>Aspect -  NO fix</t>
  </si>
  <si>
    <t>Stream nearby</t>
  </si>
  <si>
    <t>860 ft</t>
  </si>
  <si>
    <t>Belthangady</t>
  </si>
  <si>
    <t>Charmady Kanapady RF</t>
  </si>
  <si>
    <t>II-6</t>
  </si>
  <si>
    <t>Ponpuli</t>
  </si>
  <si>
    <t>Anekolu</t>
  </si>
  <si>
    <t>Kaadu Ashoka</t>
  </si>
  <si>
    <t>Chai pini</t>
  </si>
  <si>
    <t>Ghattada gida</t>
  </si>
  <si>
    <t>Kalavari</t>
  </si>
  <si>
    <t>Handi Balli</t>
  </si>
  <si>
    <t>Bala Dadli</t>
  </si>
  <si>
    <t>Haruge</t>
  </si>
  <si>
    <t>Halina gida</t>
  </si>
  <si>
    <t>Leaves</t>
  </si>
  <si>
    <t xml:space="preserve">Fruit </t>
  </si>
  <si>
    <t xml:space="preserve">Flower </t>
  </si>
  <si>
    <t>Stem</t>
  </si>
  <si>
    <t>Resin</t>
  </si>
  <si>
    <t>Root</t>
  </si>
  <si>
    <r>
      <t>Heavily / Moderately / Mildly /</t>
    </r>
    <r>
      <rPr>
        <b/>
        <sz val="12"/>
        <rFont val="Times New Roman"/>
        <family val="1"/>
      </rPr>
      <t>Not degrated</t>
    </r>
  </si>
  <si>
    <t>Form III</t>
  </si>
  <si>
    <t>FORM – A1</t>
  </si>
  <si>
    <t>PLOT ENUMERATION (31.62mX 31.62m Central Plot/lateral plot)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</si>
  <si>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</si>
  <si>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</si>
  <si>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</si>
  <si>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</si>
  <si>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</si>
  <si>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</si>
  <si>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</si>
  <si>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</si>
  <si>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</si>
  <si>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Compartment No: II-6</t>
  </si>
  <si>
    <t>Grid No:7195</t>
  </si>
  <si>
    <t>LAT: 13.067013</t>
  </si>
  <si>
    <t>LONG: 75.40304</t>
  </si>
  <si>
    <t>ALT: 860 ft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</si>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</sst>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7" sqref="C7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4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82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" customHeight="1" x14ac:dyDescent="0.25">
      <c r="A5" s="4">
        <v>1</v>
      </c>
      <c r="B5" s="43" t="s">
        <v>6</v>
      </c>
      <c r="C5" s="7" t="s">
        <v>141</v>
      </c>
    </row>
    <row r="6" spans="1:3" ht="24" customHeight="1" x14ac:dyDescent="0.25">
      <c r="A6" s="4">
        <v>2</v>
      </c>
      <c r="B6" s="43" t="s">
        <v>7</v>
      </c>
      <c r="C6" s="8" t="s">
        <v>142</v>
      </c>
    </row>
    <row r="7" spans="1:3" ht="24" customHeight="1" x14ac:dyDescent="0.25">
      <c r="A7" s="4">
        <v>3</v>
      </c>
      <c r="B7" s="43" t="s">
        <v>8</v>
      </c>
      <c r="C7" s="8" t="s">
        <v>143</v>
      </c>
    </row>
    <row r="8" spans="1:3" ht="24" customHeight="1" x14ac:dyDescent="0.25">
      <c r="A8" s="4">
        <v>4</v>
      </c>
      <c r="B8" s="43" t="s">
        <v>9</v>
      </c>
      <c r="C8" s="8">
        <v>7195</v>
      </c>
    </row>
    <row r="9" spans="1:3" ht="24" customHeight="1" x14ac:dyDescent="0.25">
      <c r="A9" s="4">
        <v>5</v>
      </c>
      <c r="B9" s="43" t="s">
        <v>10</v>
      </c>
      <c r="C9" s="9">
        <v>13.067012999999999</v>
      </c>
    </row>
    <row r="10" spans="1:3" ht="24" customHeight="1" x14ac:dyDescent="0.25">
      <c r="A10" s="4">
        <v>6</v>
      </c>
      <c r="B10" s="43" t="s">
        <v>11</v>
      </c>
      <c r="C10" s="9">
        <v>75.403040000000004</v>
      </c>
    </row>
    <row r="11" spans="1:3" ht="45" x14ac:dyDescent="0.25">
      <c r="A11" s="4">
        <v>7</v>
      </c>
      <c r="B11" s="43" t="s">
        <v>12</v>
      </c>
      <c r="C11" s="65" t="s">
        <v>136</v>
      </c>
    </row>
    <row r="12" spans="1:3" ht="31.5" x14ac:dyDescent="0.25">
      <c r="A12" s="4">
        <v>8</v>
      </c>
      <c r="B12" s="43" t="s">
        <v>13</v>
      </c>
      <c r="C12" s="10" t="s">
        <v>84</v>
      </c>
    </row>
    <row r="13" spans="1:3" ht="24" customHeight="1" x14ac:dyDescent="0.25">
      <c r="A13" s="48">
        <v>9</v>
      </c>
      <c r="B13" s="49" t="s">
        <v>14</v>
      </c>
      <c r="C13" s="6" t="s">
        <v>137</v>
      </c>
    </row>
    <row r="14" spans="1:3" ht="24" customHeight="1" x14ac:dyDescent="0.25">
      <c r="A14" s="48"/>
      <c r="B14" s="49"/>
      <c r="C14" s="6" t="s">
        <v>138</v>
      </c>
    </row>
    <row r="15" spans="1:3" ht="24" customHeight="1" x14ac:dyDescent="0.25">
      <c r="A15" s="48"/>
      <c r="B15" s="49"/>
      <c r="C15" s="6" t="s">
        <v>85</v>
      </c>
    </row>
    <row r="16" spans="1:3" ht="24" customHeight="1" x14ac:dyDescent="0.25">
      <c r="A16" s="48"/>
      <c r="B16" s="49"/>
      <c r="C16" s="6" t="s">
        <v>83</v>
      </c>
    </row>
    <row r="17" spans="1:3" ht="24" customHeight="1" x14ac:dyDescent="0.25">
      <c r="A17" s="48"/>
      <c r="B17" s="49"/>
      <c r="C17" s="6" t="s">
        <v>86</v>
      </c>
    </row>
    <row r="18" spans="1:3" ht="24" customHeight="1" x14ac:dyDescent="0.25">
      <c r="A18" s="48"/>
      <c r="B18" s="49"/>
      <c r="C18" s="6" t="s">
        <v>87</v>
      </c>
    </row>
    <row r="19" spans="1:3" ht="24" customHeight="1" x14ac:dyDescent="0.25">
      <c r="A19" s="48"/>
      <c r="B19" s="49"/>
      <c r="C19" s="6" t="s">
        <v>88</v>
      </c>
    </row>
    <row r="20" spans="1:3" ht="24" customHeight="1" x14ac:dyDescent="0.25">
      <c r="A20" s="48"/>
      <c r="B20" s="49"/>
      <c r="C20" s="6" t="s">
        <v>89</v>
      </c>
    </row>
    <row r="21" spans="1:3" ht="24" customHeight="1" x14ac:dyDescent="0.25">
      <c r="A21" s="48"/>
      <c r="B21" s="49"/>
      <c r="C21" s="6" t="s">
        <v>90</v>
      </c>
    </row>
    <row r="22" spans="1:3" ht="24" customHeight="1" x14ac:dyDescent="0.25">
      <c r="A22" s="48"/>
      <c r="B22" s="49"/>
      <c r="C22" s="6" t="s">
        <v>91</v>
      </c>
    </row>
    <row r="23" spans="1:3" ht="24" customHeight="1" x14ac:dyDescent="0.25">
      <c r="A23" s="48"/>
      <c r="B23" s="49"/>
      <c r="C23" s="6" t="s">
        <v>92</v>
      </c>
    </row>
    <row r="24" spans="1:3" ht="24" customHeight="1" x14ac:dyDescent="0.25">
      <c r="A24" s="48"/>
      <c r="B24" s="49"/>
      <c r="C24" s="6" t="s">
        <v>93</v>
      </c>
    </row>
    <row r="25" spans="1:3" ht="24" customHeight="1" x14ac:dyDescent="0.25">
      <c r="A25" s="48"/>
      <c r="B25" s="49"/>
      <c r="C25" s="6" t="s">
        <v>94</v>
      </c>
    </row>
    <row r="26" spans="1:3" ht="24" customHeight="1" x14ac:dyDescent="0.25">
      <c r="A26" s="4">
        <v>10</v>
      </c>
      <c r="B26" s="43" t="s">
        <v>15</v>
      </c>
      <c r="C26" s="6" t="s">
        <v>95</v>
      </c>
    </row>
    <row r="27" spans="1:3" ht="24" customHeight="1" x14ac:dyDescent="0.25">
      <c r="A27" s="4">
        <v>11</v>
      </c>
      <c r="B27" s="43" t="s">
        <v>16</v>
      </c>
      <c r="C27" s="6" t="s">
        <v>81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2.85546875" style="14" bestFit="1" customWidth="1"/>
    <col min="3" max="3" width="48.28515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3.2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3.25" customHeight="1" x14ac:dyDescent="0.25">
      <c r="A6" s="11">
        <v>2</v>
      </c>
      <c r="B6" s="44" t="s">
        <v>72</v>
      </c>
      <c r="C6" s="20"/>
    </row>
    <row r="7" spans="1:3" ht="23.25" customHeight="1" x14ac:dyDescent="0.25">
      <c r="A7" s="11">
        <v>3</v>
      </c>
      <c r="B7" s="44" t="s">
        <v>69</v>
      </c>
      <c r="C7" s="20" t="str">
        <f>'Form 1'!C6</f>
        <v>Charmady Kanapady RF</v>
      </c>
    </row>
    <row r="8" spans="1:3" ht="23.25" customHeight="1" x14ac:dyDescent="0.25">
      <c r="A8" s="11">
        <v>4</v>
      </c>
      <c r="B8" s="44" t="s">
        <v>9</v>
      </c>
      <c r="C8" s="20">
        <f>'Form 1'!C8</f>
        <v>7195</v>
      </c>
    </row>
    <row r="9" spans="1:3" ht="23.25" customHeight="1" x14ac:dyDescent="0.25">
      <c r="A9" s="11">
        <v>5</v>
      </c>
      <c r="B9" s="44" t="s">
        <v>20</v>
      </c>
      <c r="C9" s="21">
        <f>'Form 1'!C9</f>
        <v>13.067012999999999</v>
      </c>
    </row>
    <row r="10" spans="1:3" ht="23.25" customHeight="1" x14ac:dyDescent="0.25">
      <c r="A10" s="11">
        <v>6</v>
      </c>
      <c r="B10" s="44" t="s">
        <v>21</v>
      </c>
      <c r="C10" s="21">
        <f>'Form 1'!C10</f>
        <v>75.403040000000004</v>
      </c>
    </row>
    <row r="11" spans="1:3" ht="23.25" customHeight="1" x14ac:dyDescent="0.25">
      <c r="A11" s="11">
        <v>7</v>
      </c>
      <c r="B11" s="44" t="s">
        <v>22</v>
      </c>
      <c r="C11" s="20" t="s">
        <v>140</v>
      </c>
    </row>
    <row r="12" spans="1:3" ht="31.5" x14ac:dyDescent="0.25">
      <c r="A12" s="11">
        <v>8</v>
      </c>
      <c r="B12" s="44" t="s">
        <v>23</v>
      </c>
      <c r="C12" s="20" t="s">
        <v>75</v>
      </c>
    </row>
    <row r="13" spans="1:3" ht="23.25" customHeight="1" x14ac:dyDescent="0.25">
      <c r="A13" s="11">
        <v>9</v>
      </c>
      <c r="B13" s="44" t="s">
        <v>24</v>
      </c>
      <c r="C13" s="20" t="s">
        <v>76</v>
      </c>
    </row>
    <row r="14" spans="1:3" ht="23.25" customHeight="1" x14ac:dyDescent="0.25">
      <c r="A14" s="11">
        <v>10</v>
      </c>
      <c r="B14" s="44" t="s">
        <v>25</v>
      </c>
      <c r="C14" s="20" t="s">
        <v>78</v>
      </c>
    </row>
    <row r="15" spans="1:3" ht="23.25" customHeight="1" x14ac:dyDescent="0.25">
      <c r="A15" s="11">
        <v>11</v>
      </c>
      <c r="B15" s="44" t="s">
        <v>26</v>
      </c>
      <c r="C15" s="22" t="s">
        <v>79</v>
      </c>
    </row>
    <row r="16" spans="1:3" ht="31.5" x14ac:dyDescent="0.25">
      <c r="A16" s="11">
        <v>12</v>
      </c>
      <c r="B16" s="44" t="s">
        <v>27</v>
      </c>
      <c r="C16" s="22" t="s">
        <v>80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3.25" customHeight="1" x14ac:dyDescent="0.25">
      <c r="A18" s="51">
        <v>14</v>
      </c>
      <c r="B18" s="52" t="s">
        <v>30</v>
      </c>
      <c r="C18" s="22" t="s">
        <v>102</v>
      </c>
    </row>
    <row r="19" spans="1:3" ht="23.25" customHeight="1" x14ac:dyDescent="0.25">
      <c r="A19" s="51"/>
      <c r="B19" s="52"/>
      <c r="C19" s="22" t="s">
        <v>103</v>
      </c>
    </row>
    <row r="20" spans="1:3" ht="23.25" customHeight="1" x14ac:dyDescent="0.25">
      <c r="A20" s="51"/>
      <c r="B20" s="52"/>
      <c r="C20" s="23" t="s">
        <v>104</v>
      </c>
    </row>
    <row r="21" spans="1:3" ht="23.25" customHeight="1" x14ac:dyDescent="0.25">
      <c r="A21" s="11">
        <v>15</v>
      </c>
      <c r="B21" s="44" t="s">
        <v>31</v>
      </c>
      <c r="C21" s="22" t="s">
        <v>96</v>
      </c>
    </row>
    <row r="22" spans="1:3" ht="31.5" x14ac:dyDescent="0.25">
      <c r="A22" s="11">
        <v>16</v>
      </c>
      <c r="B22" s="44" t="s">
        <v>32</v>
      </c>
      <c r="C22" s="22" t="s">
        <v>105</v>
      </c>
    </row>
    <row r="23" spans="1:3" ht="23.25" customHeight="1" x14ac:dyDescent="0.25">
      <c r="A23" s="11">
        <v>17</v>
      </c>
      <c r="B23" s="44" t="s">
        <v>70</v>
      </c>
      <c r="C23" s="22" t="s">
        <v>97</v>
      </c>
    </row>
    <row r="24" spans="1:3" ht="31.5" x14ac:dyDescent="0.25">
      <c r="A24" s="11">
        <v>18</v>
      </c>
      <c r="B24" s="44" t="s">
        <v>33</v>
      </c>
      <c r="C24" s="22" t="s">
        <v>98</v>
      </c>
    </row>
    <row r="25" spans="1:3" ht="23.25" customHeight="1" x14ac:dyDescent="0.25">
      <c r="A25" s="11">
        <v>19</v>
      </c>
      <c r="B25" s="44" t="s">
        <v>34</v>
      </c>
      <c r="C25" s="22" t="s">
        <v>77</v>
      </c>
    </row>
    <row r="26" spans="1:3" ht="23.25" customHeight="1" x14ac:dyDescent="0.25">
      <c r="A26" s="11">
        <v>20</v>
      </c>
      <c r="B26" s="44" t="s">
        <v>35</v>
      </c>
      <c r="C26" s="23" t="s">
        <v>99</v>
      </c>
    </row>
    <row r="27" spans="1:3" ht="23.25" customHeight="1" x14ac:dyDescent="0.25">
      <c r="A27" s="11">
        <v>21</v>
      </c>
      <c r="B27" s="44" t="s">
        <v>36</v>
      </c>
      <c r="C27" s="22" t="s">
        <v>100</v>
      </c>
    </row>
    <row r="28" spans="1:3" ht="23.25" customHeight="1" x14ac:dyDescent="0.25">
      <c r="A28" s="11">
        <v>22</v>
      </c>
      <c r="B28" s="44" t="s">
        <v>37</v>
      </c>
      <c r="C28" s="22" t="s">
        <v>101</v>
      </c>
    </row>
    <row r="29" spans="1:3" ht="23.25" customHeight="1" x14ac:dyDescent="0.25">
      <c r="A29" s="11">
        <v>23</v>
      </c>
      <c r="B29" s="44" t="s">
        <v>38</v>
      </c>
      <c r="C29" s="22" t="s">
        <v>101</v>
      </c>
    </row>
    <row r="30" spans="1:3" ht="23.25" customHeight="1" x14ac:dyDescent="0.25">
      <c r="A30" s="11">
        <v>24</v>
      </c>
      <c r="B30" s="44" t="s">
        <v>39</v>
      </c>
      <c r="C30" s="22" t="s">
        <v>81</v>
      </c>
    </row>
    <row r="31" spans="1:3" ht="23.25" customHeight="1" x14ac:dyDescent="0.25">
      <c r="A31" s="11">
        <v>25</v>
      </c>
      <c r="B31" s="44" t="s">
        <v>40</v>
      </c>
      <c r="C31" s="22" t="s">
        <v>81</v>
      </c>
    </row>
    <row r="32" spans="1:3" ht="23.25" customHeight="1" x14ac:dyDescent="0.25">
      <c r="A32" s="11">
        <v>26</v>
      </c>
      <c r="B32" s="44" t="s">
        <v>41</v>
      </c>
      <c r="C32" s="22" t="s">
        <v>139</v>
      </c>
    </row>
    <row r="33" spans="1:3" ht="23.25" customHeight="1" x14ac:dyDescent="0.25">
      <c r="A33" s="11">
        <v>27</v>
      </c>
      <c r="B33" s="44" t="s">
        <v>42</v>
      </c>
      <c r="C33" s="20" t="s">
        <v>160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BFC6-494E-4053-956C-67ADDBC1810B}">
  <dimension ref="A1:I36"/>
  <sheetViews>
    <sheetView workbookViewId="0">
      <selection activeCell="O17" sqref="O17"/>
    </sheetView>
  </sheetViews>
  <sheetFormatPr defaultRowHeight="15" x14ac:dyDescent="0.25"/>
  <cols>
    <col min="2" max="2" width="24.140625" bestFit="1" customWidth="1"/>
  </cols>
  <sheetData>
    <row r="1" spans="1:9" s="67" customFormat="1" ht="15.6" customHeight="1" x14ac:dyDescent="0.25">
      <c r="A1" s="66" t="s">
        <v>161</v>
      </c>
      <c r="B1" s="66"/>
      <c r="C1" s="66"/>
      <c r="D1" s="66"/>
      <c r="E1" s="66"/>
      <c r="F1" s="66"/>
      <c r="G1" s="66"/>
      <c r="H1" s="66"/>
      <c r="I1" s="66"/>
    </row>
    <row r="2" spans="1:9" s="67" customFormat="1" ht="15.6" customHeight="1" x14ac:dyDescent="0.25">
      <c r="A2" s="66" t="s">
        <v>162</v>
      </c>
      <c r="B2" s="66"/>
      <c r="C2" s="66"/>
      <c r="D2" s="66"/>
      <c r="E2" s="66"/>
      <c r="F2" s="66"/>
      <c r="G2" s="66"/>
      <c r="H2" s="66"/>
      <c r="I2" s="66"/>
    </row>
    <row r="3" spans="1:9" s="67" customFormat="1" ht="15.6" customHeight="1" x14ac:dyDescent="0.25">
      <c r="A3" s="66" t="s">
        <v>163</v>
      </c>
      <c r="B3" s="66"/>
      <c r="C3" s="66"/>
      <c r="D3" s="66"/>
      <c r="E3" s="66"/>
      <c r="F3" s="66"/>
      <c r="G3" s="66"/>
      <c r="H3" s="66"/>
      <c r="I3" s="66"/>
    </row>
    <row r="4" spans="1:9" s="67" customFormat="1" ht="15.6" customHeight="1" x14ac:dyDescent="0.25">
      <c r="A4" s="68"/>
      <c r="B4" s="68"/>
      <c r="C4" s="68"/>
      <c r="D4" s="68"/>
      <c r="E4" s="68"/>
      <c r="F4" s="68"/>
      <c r="G4" s="68"/>
      <c r="H4" s="68"/>
      <c r="I4" s="68"/>
    </row>
    <row r="5" spans="1:9" s="72" customFormat="1" ht="33" customHeight="1" x14ac:dyDescent="0.25">
      <c r="A5" s="69" t="s">
        <v>173</v>
      </c>
      <c r="B5" s="70"/>
      <c r="C5" s="71"/>
      <c r="D5" s="69" t="s">
        <v>164</v>
      </c>
      <c r="E5" s="70"/>
      <c r="F5" s="70"/>
      <c r="G5" s="71"/>
      <c r="H5" s="69" t="s">
        <v>165</v>
      </c>
      <c r="I5" s="71"/>
    </row>
    <row r="6" spans="1:9" s="72" customFormat="1" ht="33" customHeight="1" x14ac:dyDescent="0.25">
      <c r="A6" s="69" t="s">
        <v>166</v>
      </c>
      <c r="B6" s="70"/>
      <c r="C6" s="71"/>
      <c r="D6" s="69" t="s">
        <v>167</v>
      </c>
      <c r="E6" s="70"/>
      <c r="F6" s="70"/>
      <c r="G6" s="71"/>
      <c r="H6" s="69" t="s">
        <v>177</v>
      </c>
      <c r="I6" s="71"/>
    </row>
    <row r="7" spans="1:9" s="72" customFormat="1" ht="33" customHeight="1" x14ac:dyDescent="0.25">
      <c r="A7" s="69" t="s">
        <v>175</v>
      </c>
      <c r="B7" s="70"/>
      <c r="C7" s="71"/>
      <c r="D7" s="69" t="s">
        <v>176</v>
      </c>
      <c r="E7" s="70"/>
      <c r="F7" s="70"/>
      <c r="G7" s="71"/>
      <c r="H7" s="69" t="s">
        <v>174</v>
      </c>
      <c r="I7" s="71"/>
    </row>
    <row r="8" spans="1:9" s="67" customFormat="1" ht="15.6" customHeight="1" x14ac:dyDescent="0.25">
      <c r="A8" s="19"/>
      <c r="B8" s="73"/>
      <c r="C8" s="19"/>
      <c r="D8" s="19"/>
      <c r="E8" s="19"/>
      <c r="F8" s="19"/>
      <c r="G8" s="19"/>
      <c r="H8" s="19"/>
      <c r="I8" s="19"/>
    </row>
    <row r="9" spans="1:9" s="67" customFormat="1" ht="15.75" x14ac:dyDescent="0.25">
      <c r="A9" s="48" t="s">
        <v>46</v>
      </c>
      <c r="B9" s="48" t="s">
        <v>47</v>
      </c>
      <c r="C9" s="48" t="s">
        <v>48</v>
      </c>
      <c r="D9" s="48" t="s">
        <v>168</v>
      </c>
      <c r="E9" s="48" t="s">
        <v>169</v>
      </c>
      <c r="F9" s="48" t="s">
        <v>170</v>
      </c>
      <c r="G9" s="48" t="s">
        <v>51</v>
      </c>
      <c r="H9" s="48"/>
      <c r="I9" s="48" t="s">
        <v>171</v>
      </c>
    </row>
    <row r="10" spans="1:9" s="67" customFormat="1" ht="63" x14ac:dyDescent="0.25">
      <c r="A10" s="48"/>
      <c r="B10" s="48"/>
      <c r="C10" s="48"/>
      <c r="D10" s="48"/>
      <c r="E10" s="48"/>
      <c r="F10" s="48"/>
      <c r="G10" s="45" t="s">
        <v>172</v>
      </c>
      <c r="H10" s="45" t="s">
        <v>54</v>
      </c>
      <c r="I10" s="48"/>
    </row>
    <row r="11" spans="1:9" ht="15.75" x14ac:dyDescent="0.25">
      <c r="A11" s="74">
        <v>1</v>
      </c>
      <c r="B11" s="46" t="s">
        <v>106</v>
      </c>
      <c r="C11" s="74"/>
      <c r="D11" s="46">
        <v>68</v>
      </c>
      <c r="E11" s="74"/>
      <c r="F11" s="74">
        <v>11</v>
      </c>
      <c r="G11" s="74"/>
      <c r="H11" s="74"/>
      <c r="I11" s="74"/>
    </row>
    <row r="12" spans="1:9" ht="15.75" x14ac:dyDescent="0.25">
      <c r="A12" s="74">
        <v>2</v>
      </c>
      <c r="B12" s="46" t="s">
        <v>107</v>
      </c>
      <c r="C12" s="74"/>
      <c r="D12" s="46">
        <v>129</v>
      </c>
      <c r="E12" s="74"/>
      <c r="F12" s="74">
        <v>14</v>
      </c>
      <c r="G12" s="74"/>
      <c r="H12" s="74"/>
      <c r="I12" s="74"/>
    </row>
    <row r="13" spans="1:9" ht="15.75" x14ac:dyDescent="0.25">
      <c r="A13" s="74">
        <v>3</v>
      </c>
      <c r="B13" s="46" t="s">
        <v>108</v>
      </c>
      <c r="C13" s="74"/>
      <c r="D13" s="46">
        <v>132</v>
      </c>
      <c r="E13" s="74"/>
      <c r="F13" s="74">
        <v>14</v>
      </c>
      <c r="G13" s="74"/>
      <c r="H13" s="74"/>
      <c r="I13" s="74"/>
    </row>
    <row r="14" spans="1:9" ht="15.75" x14ac:dyDescent="0.25">
      <c r="A14" s="74">
        <v>4</v>
      </c>
      <c r="B14" s="46" t="s">
        <v>109</v>
      </c>
      <c r="C14" s="74"/>
      <c r="D14" s="46">
        <v>68</v>
      </c>
      <c r="E14" s="74"/>
      <c r="F14" s="74">
        <v>12</v>
      </c>
      <c r="G14" s="74"/>
      <c r="H14" s="74"/>
      <c r="I14" s="74"/>
    </row>
    <row r="15" spans="1:9" ht="15.75" x14ac:dyDescent="0.25">
      <c r="A15" s="74">
        <v>5</v>
      </c>
      <c r="B15" s="46" t="s">
        <v>110</v>
      </c>
      <c r="C15" s="74"/>
      <c r="D15" s="46">
        <v>78</v>
      </c>
      <c r="E15" s="74"/>
      <c r="F15" s="74">
        <v>17</v>
      </c>
      <c r="G15" s="74"/>
      <c r="H15" s="74"/>
      <c r="I15" s="74"/>
    </row>
    <row r="16" spans="1:9" ht="15.75" x14ac:dyDescent="0.25">
      <c r="A16" s="74">
        <v>6</v>
      </c>
      <c r="B16" s="46" t="s">
        <v>111</v>
      </c>
      <c r="C16" s="74"/>
      <c r="D16" s="46">
        <v>46</v>
      </c>
      <c r="E16" s="74"/>
      <c r="F16" s="74">
        <v>11</v>
      </c>
      <c r="G16" s="74"/>
      <c r="H16" s="74"/>
      <c r="I16" s="74"/>
    </row>
    <row r="17" spans="1:9" ht="15.75" x14ac:dyDescent="0.25">
      <c r="A17" s="74">
        <v>7</v>
      </c>
      <c r="B17" s="46" t="s">
        <v>111</v>
      </c>
      <c r="C17" s="74"/>
      <c r="D17" s="46">
        <v>71</v>
      </c>
      <c r="E17" s="74"/>
      <c r="F17" s="74">
        <v>14</v>
      </c>
      <c r="G17" s="74"/>
      <c r="H17" s="74"/>
      <c r="I17" s="74"/>
    </row>
    <row r="18" spans="1:9" ht="15.75" x14ac:dyDescent="0.25">
      <c r="A18" s="74">
        <v>8</v>
      </c>
      <c r="B18" s="46" t="s">
        <v>110</v>
      </c>
      <c r="C18" s="74"/>
      <c r="D18" s="46">
        <v>82</v>
      </c>
      <c r="E18" s="74"/>
      <c r="F18" s="74">
        <v>14</v>
      </c>
      <c r="G18" s="74"/>
      <c r="H18" s="74"/>
      <c r="I18" s="74"/>
    </row>
    <row r="19" spans="1:9" ht="15.75" x14ac:dyDescent="0.25">
      <c r="A19" s="74">
        <v>9</v>
      </c>
      <c r="B19" s="46" t="s">
        <v>112</v>
      </c>
      <c r="C19" s="74"/>
      <c r="D19" s="46">
        <v>46</v>
      </c>
      <c r="E19" s="74"/>
      <c r="F19" s="74">
        <v>12.5</v>
      </c>
      <c r="G19" s="74"/>
      <c r="H19" s="74"/>
      <c r="I19" s="74"/>
    </row>
    <row r="20" spans="1:9" ht="15.75" x14ac:dyDescent="0.25">
      <c r="A20" s="74">
        <v>10</v>
      </c>
      <c r="B20" s="46" t="s">
        <v>110</v>
      </c>
      <c r="C20" s="74"/>
      <c r="D20" s="46">
        <v>72</v>
      </c>
      <c r="E20" s="74"/>
      <c r="F20" s="74">
        <v>13</v>
      </c>
      <c r="G20" s="74"/>
      <c r="H20" s="74"/>
      <c r="I20" s="74"/>
    </row>
    <row r="21" spans="1:9" ht="15.75" x14ac:dyDescent="0.25">
      <c r="A21" s="74">
        <v>11</v>
      </c>
      <c r="B21" s="46" t="s">
        <v>110</v>
      </c>
      <c r="C21" s="74"/>
      <c r="D21" s="46">
        <v>98</v>
      </c>
      <c r="E21" s="74"/>
      <c r="F21" s="74">
        <v>15</v>
      </c>
      <c r="G21" s="74"/>
      <c r="H21" s="74"/>
      <c r="I21" s="74"/>
    </row>
    <row r="22" spans="1:9" ht="15.75" x14ac:dyDescent="0.25">
      <c r="A22" s="74">
        <v>12</v>
      </c>
      <c r="B22" s="46" t="s">
        <v>106</v>
      </c>
      <c r="C22" s="74"/>
      <c r="D22" s="46">
        <v>46</v>
      </c>
      <c r="E22" s="74"/>
      <c r="F22" s="74">
        <v>10</v>
      </c>
      <c r="G22" s="74"/>
      <c r="H22" s="74"/>
      <c r="I22" s="74"/>
    </row>
    <row r="23" spans="1:9" ht="15.75" x14ac:dyDescent="0.25">
      <c r="A23" s="74">
        <v>13</v>
      </c>
      <c r="B23" s="46" t="s">
        <v>113</v>
      </c>
      <c r="C23" s="74"/>
      <c r="D23" s="46">
        <v>49</v>
      </c>
      <c r="E23" s="74"/>
      <c r="F23" s="74">
        <v>12</v>
      </c>
      <c r="G23" s="74"/>
      <c r="H23" s="74"/>
      <c r="I23" s="74"/>
    </row>
    <row r="24" spans="1:9" ht="15.75" x14ac:dyDescent="0.25">
      <c r="A24" s="74">
        <v>14</v>
      </c>
      <c r="B24" s="46" t="s">
        <v>106</v>
      </c>
      <c r="C24" s="74"/>
      <c r="D24" s="46">
        <v>51</v>
      </c>
      <c r="E24" s="74"/>
      <c r="F24" s="74">
        <v>15</v>
      </c>
      <c r="G24" s="74"/>
      <c r="H24" s="74"/>
      <c r="I24" s="74"/>
    </row>
    <row r="25" spans="1:9" ht="15.75" x14ac:dyDescent="0.25">
      <c r="A25" s="74">
        <v>15</v>
      </c>
      <c r="B25" s="46" t="s">
        <v>113</v>
      </c>
      <c r="C25" s="74"/>
      <c r="D25" s="46">
        <v>61</v>
      </c>
      <c r="E25" s="74"/>
      <c r="F25" s="74">
        <v>11</v>
      </c>
      <c r="G25" s="74"/>
      <c r="H25" s="74"/>
      <c r="I25" s="74"/>
    </row>
    <row r="26" spans="1:9" ht="15.75" x14ac:dyDescent="0.25">
      <c r="A26" s="74">
        <v>16</v>
      </c>
      <c r="B26" s="46" t="s">
        <v>113</v>
      </c>
      <c r="C26" s="74"/>
      <c r="D26" s="46">
        <v>66</v>
      </c>
      <c r="E26" s="74"/>
      <c r="F26" s="74">
        <v>11.5</v>
      </c>
      <c r="G26" s="74"/>
      <c r="H26" s="74"/>
      <c r="I26" s="74"/>
    </row>
    <row r="27" spans="1:9" ht="15.75" x14ac:dyDescent="0.25">
      <c r="A27" s="74">
        <v>17</v>
      </c>
      <c r="B27" s="46" t="s">
        <v>114</v>
      </c>
      <c r="C27" s="74"/>
      <c r="D27" s="46">
        <v>32</v>
      </c>
      <c r="E27" s="74"/>
      <c r="F27" s="74">
        <v>9</v>
      </c>
      <c r="G27" s="74"/>
      <c r="H27" s="74"/>
      <c r="I27" s="74"/>
    </row>
    <row r="28" spans="1:9" ht="15.75" x14ac:dyDescent="0.25">
      <c r="A28" s="74">
        <v>18</v>
      </c>
      <c r="B28" s="46" t="s">
        <v>113</v>
      </c>
      <c r="C28" s="74"/>
      <c r="D28" s="46">
        <v>46</v>
      </c>
      <c r="E28" s="74"/>
      <c r="F28" s="74">
        <v>8</v>
      </c>
      <c r="G28" s="74"/>
      <c r="H28" s="74"/>
      <c r="I28" s="74"/>
    </row>
    <row r="29" spans="1:9" ht="15.75" x14ac:dyDescent="0.25">
      <c r="A29" s="74">
        <v>19</v>
      </c>
      <c r="B29" s="46" t="s">
        <v>113</v>
      </c>
      <c r="C29" s="74"/>
      <c r="D29" s="46">
        <v>51</v>
      </c>
      <c r="E29" s="74"/>
      <c r="F29" s="74">
        <v>8</v>
      </c>
      <c r="G29" s="74"/>
      <c r="H29" s="74"/>
      <c r="I29" s="74"/>
    </row>
    <row r="30" spans="1:9" ht="15.75" x14ac:dyDescent="0.25">
      <c r="A30" s="74">
        <v>20</v>
      </c>
      <c r="B30" s="46" t="s">
        <v>106</v>
      </c>
      <c r="C30" s="74"/>
      <c r="D30" s="46">
        <v>48</v>
      </c>
      <c r="E30" s="74"/>
      <c r="F30" s="74">
        <v>10</v>
      </c>
      <c r="G30" s="74"/>
      <c r="H30" s="74"/>
      <c r="I30" s="74"/>
    </row>
    <row r="31" spans="1:9" ht="15.75" x14ac:dyDescent="0.25">
      <c r="A31" s="74">
        <v>21</v>
      </c>
      <c r="B31" s="46" t="s">
        <v>109</v>
      </c>
      <c r="C31" s="74"/>
      <c r="D31" s="46">
        <v>47</v>
      </c>
      <c r="E31" s="74"/>
      <c r="F31" s="74">
        <v>13</v>
      </c>
      <c r="G31" s="74"/>
      <c r="H31" s="74"/>
      <c r="I31" s="74"/>
    </row>
    <row r="32" spans="1:9" ht="15.75" x14ac:dyDescent="0.25">
      <c r="A32" s="74">
        <v>22</v>
      </c>
      <c r="B32" s="46" t="s">
        <v>108</v>
      </c>
      <c r="C32" s="74"/>
      <c r="D32" s="46">
        <v>81</v>
      </c>
      <c r="E32" s="74"/>
      <c r="F32" s="74">
        <v>14</v>
      </c>
      <c r="G32" s="74"/>
      <c r="H32" s="74"/>
      <c r="I32" s="74"/>
    </row>
    <row r="33" spans="1:9" ht="15.75" x14ac:dyDescent="0.25">
      <c r="A33" s="74">
        <v>23</v>
      </c>
      <c r="B33" s="46" t="s">
        <v>112</v>
      </c>
      <c r="C33" s="74"/>
      <c r="D33" s="46">
        <v>61</v>
      </c>
      <c r="E33" s="74"/>
      <c r="F33" s="74">
        <v>11</v>
      </c>
      <c r="G33" s="74"/>
      <c r="H33" s="74"/>
      <c r="I33" s="74"/>
    </row>
    <row r="34" spans="1:9" ht="15.75" x14ac:dyDescent="0.25">
      <c r="A34" s="74">
        <v>24</v>
      </c>
      <c r="B34" s="46" t="s">
        <v>110</v>
      </c>
      <c r="C34" s="74"/>
      <c r="D34" s="46">
        <v>107</v>
      </c>
      <c r="E34" s="74"/>
      <c r="F34" s="74">
        <v>16</v>
      </c>
      <c r="G34" s="74"/>
      <c r="H34" s="74"/>
      <c r="I34" s="74"/>
    </row>
    <row r="35" spans="1:9" ht="15.75" x14ac:dyDescent="0.25">
      <c r="A35" s="74">
        <v>25</v>
      </c>
      <c r="B35" s="46" t="s">
        <v>112</v>
      </c>
      <c r="C35" s="74"/>
      <c r="D35" s="46">
        <v>61</v>
      </c>
      <c r="E35" s="74"/>
      <c r="F35" s="74">
        <v>14</v>
      </c>
      <c r="G35" s="74"/>
      <c r="H35" s="74"/>
      <c r="I35" s="74"/>
    </row>
    <row r="36" spans="1:9" ht="15.75" x14ac:dyDescent="0.25">
      <c r="A36" s="74">
        <v>26</v>
      </c>
      <c r="B36" s="46" t="s">
        <v>110</v>
      </c>
      <c r="C36" s="74"/>
      <c r="D36" s="46">
        <v>66</v>
      </c>
      <c r="E36" s="74"/>
      <c r="F36" s="74">
        <v>12</v>
      </c>
      <c r="G36" s="74"/>
      <c r="H36" s="74"/>
      <c r="I36" s="74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31" right="0.2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9C56-622F-42AE-8590-CF29AC5682D3}">
  <dimension ref="A1:Q9"/>
  <sheetViews>
    <sheetView workbookViewId="0">
      <selection activeCell="F19" sqref="F1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178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179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180</v>
      </c>
      <c r="E5" s="79" t="s">
        <v>181</v>
      </c>
      <c r="F5" s="80"/>
      <c r="G5" s="80"/>
      <c r="H5" s="80"/>
      <c r="I5" s="80"/>
      <c r="J5" s="80"/>
      <c r="K5" s="80"/>
      <c r="L5" s="80"/>
      <c r="M5" s="81"/>
      <c r="N5" s="78" t="s">
        <v>182</v>
      </c>
      <c r="O5" s="79" t="s">
        <v>183</v>
      </c>
      <c r="P5" s="81"/>
      <c r="Q5" s="78" t="s">
        <v>184</v>
      </c>
    </row>
    <row r="6" spans="1:17" s="76" customFormat="1" ht="15.75" x14ac:dyDescent="0.25">
      <c r="A6" s="82"/>
      <c r="B6" s="82"/>
      <c r="C6" s="82"/>
      <c r="D6" s="82"/>
      <c r="E6" s="83" t="s">
        <v>185</v>
      </c>
      <c r="F6" s="84"/>
      <c r="G6" s="85"/>
      <c r="H6" s="83" t="s">
        <v>186</v>
      </c>
      <c r="I6" s="84"/>
      <c r="J6" s="85"/>
      <c r="K6" s="83" t="s">
        <v>187</v>
      </c>
      <c r="L6" s="84"/>
      <c r="M6" s="85"/>
      <c r="N6" s="82"/>
      <c r="O6" s="78" t="s">
        <v>188</v>
      </c>
      <c r="P6" s="78" t="s">
        <v>189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190</v>
      </c>
      <c r="F7" s="88"/>
      <c r="G7" s="89"/>
      <c r="H7" s="87" t="s">
        <v>191</v>
      </c>
      <c r="I7" s="88"/>
      <c r="J7" s="89"/>
      <c r="K7" s="87" t="s">
        <v>190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192</v>
      </c>
      <c r="F8" s="91" t="s">
        <v>193</v>
      </c>
      <c r="G8" s="91" t="s">
        <v>194</v>
      </c>
      <c r="H8" s="91" t="s">
        <v>192</v>
      </c>
      <c r="I8" s="91" t="s">
        <v>193</v>
      </c>
      <c r="J8" s="91" t="s">
        <v>194</v>
      </c>
      <c r="K8" s="91" t="s">
        <v>192</v>
      </c>
      <c r="L8" s="91" t="s">
        <v>193</v>
      </c>
      <c r="M8" s="91" t="s">
        <v>194</v>
      </c>
      <c r="N8" s="90"/>
      <c r="O8" s="90"/>
      <c r="P8" s="90"/>
      <c r="Q8" s="90"/>
    </row>
    <row r="9" spans="1:17" s="76" customFormat="1" ht="15.75" x14ac:dyDescent="0.25">
      <c r="A9" s="45">
        <v>1</v>
      </c>
      <c r="B9" s="92" t="s">
        <v>195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topLeftCell="A13" zoomScaleSheetLayoutView="100" workbookViewId="0">
      <selection activeCell="B24" sqref="B24:G24"/>
    </sheetView>
  </sheetViews>
  <sheetFormatPr defaultColWidth="9.140625" defaultRowHeight="15.75" x14ac:dyDescent="0.25"/>
  <cols>
    <col min="1" max="1" width="6.85546875" style="13" bestFit="1" customWidth="1"/>
    <col min="2" max="2" width="26" style="13" bestFit="1" customWidth="1"/>
    <col min="3" max="3" width="15.28515625" style="13" bestFit="1" customWidth="1"/>
    <col min="4" max="4" width="9.28515625" style="13" customWidth="1"/>
    <col min="5" max="5" width="7.7109375" style="13" customWidth="1"/>
    <col min="6" max="7" width="9.140625" style="13"/>
    <col min="8" max="8" width="13.425781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60" t="s">
        <v>43</v>
      </c>
      <c r="B1" s="60"/>
      <c r="C1" s="60"/>
      <c r="D1" s="60"/>
      <c r="E1" s="60"/>
      <c r="F1" s="60"/>
      <c r="G1" s="60"/>
      <c r="H1" s="60"/>
    </row>
    <row r="2" spans="1:8" s="24" customFormat="1" x14ac:dyDescent="0.25">
      <c r="B2" s="25" t="s">
        <v>44</v>
      </c>
      <c r="F2" s="61" t="s">
        <v>45</v>
      </c>
      <c r="G2" s="61"/>
      <c r="H2" s="61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3" t="s">
        <v>51</v>
      </c>
      <c r="G3" s="53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109</v>
      </c>
      <c r="C5" s="12" t="s">
        <v>145</v>
      </c>
      <c r="D5" s="12">
        <v>4.5</v>
      </c>
      <c r="E5" s="12">
        <v>3</v>
      </c>
      <c r="F5" s="12" t="s">
        <v>154</v>
      </c>
      <c r="G5" s="12">
        <v>13</v>
      </c>
      <c r="H5" s="12"/>
    </row>
    <row r="6" spans="1:8" x14ac:dyDescent="0.25">
      <c r="A6" s="11">
        <v>2</v>
      </c>
      <c r="B6" s="12" t="s">
        <v>113</v>
      </c>
      <c r="C6" s="12" t="s">
        <v>144</v>
      </c>
      <c r="D6" s="12">
        <v>3.5</v>
      </c>
      <c r="E6" s="12">
        <v>2</v>
      </c>
      <c r="F6" s="12" t="s">
        <v>155</v>
      </c>
      <c r="G6" s="12">
        <v>7</v>
      </c>
      <c r="H6" s="12"/>
    </row>
    <row r="7" spans="1:8" x14ac:dyDescent="0.25">
      <c r="A7" s="26"/>
      <c r="B7" s="27"/>
      <c r="C7" s="28"/>
      <c r="D7" s="29"/>
      <c r="E7" s="30"/>
    </row>
    <row r="8" spans="1:8" x14ac:dyDescent="0.25">
      <c r="A8" s="53" t="s">
        <v>55</v>
      </c>
      <c r="B8" s="53"/>
      <c r="C8" s="53"/>
      <c r="D8" s="53"/>
      <c r="E8" s="53"/>
      <c r="F8" s="53"/>
      <c r="G8" s="53"/>
      <c r="H8" s="53"/>
    </row>
    <row r="9" spans="1:8" x14ac:dyDescent="0.25">
      <c r="A9" s="11">
        <v>1</v>
      </c>
      <c r="B9" s="59" t="s">
        <v>56</v>
      </c>
      <c r="C9" s="59"/>
      <c r="D9" s="59"/>
      <c r="E9" s="59"/>
      <c r="F9" s="59"/>
      <c r="G9" s="59"/>
      <c r="H9" s="31" t="s">
        <v>124</v>
      </c>
    </row>
    <row r="10" spans="1:8" x14ac:dyDescent="0.25">
      <c r="A10" s="11">
        <v>2</v>
      </c>
      <c r="B10" s="59" t="s">
        <v>57</v>
      </c>
      <c r="C10" s="59"/>
      <c r="D10" s="59"/>
      <c r="E10" s="59"/>
      <c r="F10" s="59"/>
      <c r="G10" s="59"/>
      <c r="H10" s="31" t="s">
        <v>125</v>
      </c>
    </row>
    <row r="11" spans="1:8" x14ac:dyDescent="0.25">
      <c r="A11" s="11">
        <v>3</v>
      </c>
      <c r="B11" s="59" t="s">
        <v>58</v>
      </c>
      <c r="C11" s="59"/>
      <c r="D11" s="59"/>
      <c r="E11" s="59"/>
      <c r="F11" s="59"/>
      <c r="G11" s="59"/>
      <c r="H11" s="31" t="s">
        <v>126</v>
      </c>
    </row>
    <row r="12" spans="1:8" x14ac:dyDescent="0.25">
      <c r="A12" s="26"/>
      <c r="B12" s="26"/>
      <c r="C12" s="26"/>
      <c r="D12" s="26"/>
      <c r="E12" s="26"/>
      <c r="F12" s="26"/>
      <c r="G12" s="26"/>
      <c r="H12" s="32"/>
    </row>
    <row r="13" spans="1:8" x14ac:dyDescent="0.25">
      <c r="B13" s="33" t="str">
        <f>B2</f>
        <v xml:space="preserve">    Grid No:  </v>
      </c>
      <c r="F13" s="33" t="s">
        <v>59</v>
      </c>
      <c r="G13" s="33"/>
    </row>
    <row r="14" spans="1:8" x14ac:dyDescent="0.25">
      <c r="A14" s="53" t="s">
        <v>46</v>
      </c>
      <c r="B14" s="53" t="s">
        <v>47</v>
      </c>
      <c r="C14" s="53" t="s">
        <v>48</v>
      </c>
      <c r="D14" s="55" t="s">
        <v>49</v>
      </c>
      <c r="E14" s="53" t="s">
        <v>50</v>
      </c>
      <c r="F14" s="53" t="s">
        <v>51</v>
      </c>
      <c r="G14" s="53"/>
      <c r="H14" s="53" t="s">
        <v>52</v>
      </c>
    </row>
    <row r="15" spans="1:8" ht="63" x14ac:dyDescent="0.25">
      <c r="A15" s="53"/>
      <c r="B15" s="53"/>
      <c r="C15" s="53"/>
      <c r="D15" s="56"/>
      <c r="E15" s="53"/>
      <c r="F15" s="18" t="s">
        <v>53</v>
      </c>
      <c r="G15" s="18" t="s">
        <v>54</v>
      </c>
      <c r="H15" s="53"/>
    </row>
    <row r="16" spans="1:8" x14ac:dyDescent="0.25">
      <c r="A16" s="11">
        <v>1</v>
      </c>
      <c r="B16" s="18" t="s">
        <v>114</v>
      </c>
      <c r="C16" s="18" t="s">
        <v>146</v>
      </c>
      <c r="D16" s="18">
        <v>7.2</v>
      </c>
      <c r="E16" s="18">
        <v>5</v>
      </c>
      <c r="F16" s="18" t="s">
        <v>156</v>
      </c>
      <c r="G16" s="18">
        <v>36</v>
      </c>
      <c r="H16" s="18"/>
    </row>
    <row r="17" spans="1:8" x14ac:dyDescent="0.25">
      <c r="A17" s="11">
        <v>2</v>
      </c>
      <c r="B17" s="18" t="s">
        <v>112</v>
      </c>
      <c r="C17" s="18" t="s">
        <v>147</v>
      </c>
      <c r="D17" s="18">
        <v>4.5</v>
      </c>
      <c r="E17" s="18">
        <v>4</v>
      </c>
      <c r="F17" s="18" t="s">
        <v>157</v>
      </c>
      <c r="G17" s="18">
        <v>16</v>
      </c>
      <c r="H17" s="18"/>
    </row>
    <row r="18" spans="1:8" x14ac:dyDescent="0.25">
      <c r="A18" s="11">
        <v>3</v>
      </c>
      <c r="B18" s="18" t="s">
        <v>127</v>
      </c>
      <c r="C18" s="18" t="s">
        <v>128</v>
      </c>
      <c r="D18" s="18">
        <v>3.5</v>
      </c>
      <c r="E18" s="18">
        <v>2</v>
      </c>
      <c r="F18" s="18" t="s">
        <v>158</v>
      </c>
      <c r="G18" s="18">
        <v>7</v>
      </c>
      <c r="H18" s="18"/>
    </row>
    <row r="19" spans="1:8" x14ac:dyDescent="0.25">
      <c r="A19" s="11">
        <v>4</v>
      </c>
      <c r="B19" s="18" t="s">
        <v>127</v>
      </c>
      <c r="C19" s="18" t="s">
        <v>128</v>
      </c>
      <c r="D19" s="18">
        <v>6.5</v>
      </c>
      <c r="E19" s="18">
        <v>4</v>
      </c>
      <c r="F19" s="18" t="s">
        <v>158</v>
      </c>
      <c r="G19" s="18">
        <v>25</v>
      </c>
      <c r="H19" s="18"/>
    </row>
    <row r="20" spans="1:8" x14ac:dyDescent="0.25">
      <c r="A20" s="26"/>
      <c r="B20" s="34"/>
      <c r="C20" s="35"/>
      <c r="D20" s="26"/>
      <c r="E20" s="26"/>
      <c r="F20" s="26"/>
      <c r="G20" s="26"/>
      <c r="H20" s="26"/>
    </row>
    <row r="21" spans="1:8" x14ac:dyDescent="0.25">
      <c r="A21" s="53" t="s">
        <v>55</v>
      </c>
      <c r="B21" s="53"/>
      <c r="C21" s="53"/>
      <c r="D21" s="53"/>
      <c r="E21" s="53"/>
      <c r="F21" s="53"/>
      <c r="G21" s="53"/>
      <c r="H21" s="53"/>
    </row>
    <row r="22" spans="1:8" x14ac:dyDescent="0.25">
      <c r="A22" s="11">
        <v>1</v>
      </c>
      <c r="B22" s="59" t="s">
        <v>56</v>
      </c>
      <c r="C22" s="59"/>
      <c r="D22" s="59"/>
      <c r="E22" s="59"/>
      <c r="F22" s="59"/>
      <c r="G22" s="59"/>
      <c r="H22" s="11" t="s">
        <v>129</v>
      </c>
    </row>
    <row r="23" spans="1:8" x14ac:dyDescent="0.25">
      <c r="A23" s="11">
        <v>2</v>
      </c>
      <c r="B23" s="59" t="s">
        <v>57</v>
      </c>
      <c r="C23" s="59"/>
      <c r="D23" s="59"/>
      <c r="E23" s="59"/>
      <c r="F23" s="59"/>
      <c r="G23" s="59"/>
      <c r="H23" s="11" t="s">
        <v>130</v>
      </c>
    </row>
    <row r="24" spans="1:8" x14ac:dyDescent="0.25">
      <c r="A24" s="11">
        <v>3</v>
      </c>
      <c r="B24" s="59" t="s">
        <v>58</v>
      </c>
      <c r="C24" s="59"/>
      <c r="D24" s="59"/>
      <c r="E24" s="59"/>
      <c r="F24" s="59"/>
      <c r="G24" s="59"/>
      <c r="H24" s="11" t="s">
        <v>131</v>
      </c>
    </row>
    <row r="25" spans="1:8" x14ac:dyDescent="0.25">
      <c r="A25" s="26"/>
      <c r="B25" s="35"/>
      <c r="C25" s="35"/>
      <c r="D25" s="35"/>
      <c r="E25" s="35"/>
      <c r="F25" s="35"/>
      <c r="G25" s="35"/>
      <c r="H25" s="32"/>
    </row>
    <row r="26" spans="1:8" x14ac:dyDescent="0.25">
      <c r="B26" s="33" t="str">
        <f>B2</f>
        <v xml:space="preserve">    Grid No:  </v>
      </c>
      <c r="F26" s="25" t="s">
        <v>73</v>
      </c>
      <c r="G26" s="25"/>
    </row>
    <row r="27" spans="1:8" x14ac:dyDescent="0.25">
      <c r="A27" s="53" t="s">
        <v>46</v>
      </c>
      <c r="B27" s="53" t="s">
        <v>47</v>
      </c>
      <c r="C27" s="53" t="s">
        <v>48</v>
      </c>
      <c r="D27" s="55" t="s">
        <v>49</v>
      </c>
      <c r="E27" s="53" t="s">
        <v>50</v>
      </c>
      <c r="F27" s="53" t="s">
        <v>51</v>
      </c>
      <c r="G27" s="53"/>
      <c r="H27" s="53" t="s">
        <v>52</v>
      </c>
    </row>
    <row r="28" spans="1:8" ht="63" x14ac:dyDescent="0.25">
      <c r="A28" s="53"/>
      <c r="B28" s="53"/>
      <c r="C28" s="53"/>
      <c r="D28" s="56"/>
      <c r="E28" s="53"/>
      <c r="F28" s="18" t="s">
        <v>53</v>
      </c>
      <c r="G28" s="18" t="s">
        <v>54</v>
      </c>
      <c r="H28" s="53"/>
    </row>
    <row r="29" spans="1:8" s="24" customFormat="1" x14ac:dyDescent="0.25">
      <c r="A29" s="11">
        <v>1</v>
      </c>
      <c r="B29" s="36" t="s">
        <v>132</v>
      </c>
      <c r="C29" s="11" t="s">
        <v>148</v>
      </c>
      <c r="D29" s="11">
        <v>4.5</v>
      </c>
      <c r="E29" s="11">
        <v>4</v>
      </c>
      <c r="F29" s="11" t="s">
        <v>154</v>
      </c>
      <c r="G29" s="11">
        <v>17</v>
      </c>
      <c r="H29" s="11"/>
    </row>
    <row r="30" spans="1:8" s="24" customFormat="1" x14ac:dyDescent="0.25">
      <c r="A30" s="11">
        <v>2</v>
      </c>
      <c r="B30" s="36" t="s">
        <v>133</v>
      </c>
      <c r="C30" s="11" t="s">
        <v>149</v>
      </c>
      <c r="D30" s="11">
        <v>3.5</v>
      </c>
      <c r="E30" s="11">
        <v>3</v>
      </c>
      <c r="F30" s="11" t="s">
        <v>154</v>
      </c>
      <c r="G30" s="11">
        <v>10</v>
      </c>
      <c r="H30" s="11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B32" s="33" t="str">
        <f>B2</f>
        <v xml:space="preserve">    Grid No:  </v>
      </c>
      <c r="F32" s="54" t="s">
        <v>74</v>
      </c>
      <c r="G32" s="54"/>
      <c r="H32" s="54"/>
    </row>
    <row r="33" spans="1:8" x14ac:dyDescent="0.25">
      <c r="A33" s="55" t="s">
        <v>46</v>
      </c>
      <c r="B33" s="55" t="s">
        <v>47</v>
      </c>
      <c r="C33" s="55" t="s">
        <v>48</v>
      </c>
      <c r="D33" s="55" t="s">
        <v>49</v>
      </c>
      <c r="E33" s="55" t="s">
        <v>50</v>
      </c>
      <c r="F33" s="57" t="s">
        <v>51</v>
      </c>
      <c r="G33" s="58"/>
      <c r="H33" s="55" t="s">
        <v>52</v>
      </c>
    </row>
    <row r="34" spans="1:8" ht="63" x14ac:dyDescent="0.25">
      <c r="A34" s="56"/>
      <c r="B34" s="56"/>
      <c r="C34" s="56"/>
      <c r="D34" s="56"/>
      <c r="E34" s="56"/>
      <c r="F34" s="18" t="s">
        <v>53</v>
      </c>
      <c r="G34" s="18" t="s">
        <v>54</v>
      </c>
      <c r="H34" s="56"/>
    </row>
    <row r="35" spans="1:8" s="24" customFormat="1" x14ac:dyDescent="0.25">
      <c r="A35" s="37">
        <v>1</v>
      </c>
      <c r="B35" s="36" t="s">
        <v>134</v>
      </c>
      <c r="C35" s="11" t="s">
        <v>135</v>
      </c>
      <c r="D35" s="37">
        <v>5.2</v>
      </c>
      <c r="E35" s="38">
        <v>3</v>
      </c>
      <c r="F35" s="23" t="s">
        <v>155</v>
      </c>
      <c r="G35" s="23">
        <v>16</v>
      </c>
      <c r="H35" s="23"/>
    </row>
    <row r="36" spans="1:8" s="24" customFormat="1" x14ac:dyDescent="0.25">
      <c r="A36" s="37">
        <v>2</v>
      </c>
      <c r="B36" s="36" t="s">
        <v>134</v>
      </c>
      <c r="C36" s="11" t="s">
        <v>135</v>
      </c>
      <c r="D36" s="37">
        <v>6.5</v>
      </c>
      <c r="E36" s="38">
        <v>4</v>
      </c>
      <c r="F36" s="23" t="s">
        <v>155</v>
      </c>
      <c r="G36" s="23">
        <v>28</v>
      </c>
      <c r="H36" s="23"/>
    </row>
    <row r="37" spans="1:8" s="24" customFormat="1" x14ac:dyDescent="0.25">
      <c r="A37" s="37">
        <v>3</v>
      </c>
      <c r="B37" s="36" t="s">
        <v>134</v>
      </c>
      <c r="C37" s="11" t="s">
        <v>135</v>
      </c>
      <c r="D37" s="37">
        <v>3.5</v>
      </c>
      <c r="E37" s="38">
        <v>2</v>
      </c>
      <c r="F37" s="23" t="s">
        <v>155</v>
      </c>
      <c r="G37" s="23">
        <v>8</v>
      </c>
      <c r="H37" s="23"/>
    </row>
  </sheetData>
  <mergeCells count="39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  <mergeCell ref="A14:A15"/>
    <mergeCell ref="B14:B15"/>
    <mergeCell ref="C14:C15"/>
    <mergeCell ref="D14:D15"/>
    <mergeCell ref="E14:E15"/>
    <mergeCell ref="F14:G14"/>
    <mergeCell ref="H14:H15"/>
    <mergeCell ref="A21:H21"/>
    <mergeCell ref="B22:G22"/>
    <mergeCell ref="B23:G23"/>
    <mergeCell ref="B24:G24"/>
    <mergeCell ref="A27:A28"/>
    <mergeCell ref="B27:B28"/>
    <mergeCell ref="C27:C28"/>
    <mergeCell ref="D27:D28"/>
    <mergeCell ref="E27:E28"/>
    <mergeCell ref="F27:G27"/>
    <mergeCell ref="H27:H28"/>
    <mergeCell ref="F32:H32"/>
    <mergeCell ref="A33:A34"/>
    <mergeCell ref="B33:B34"/>
    <mergeCell ref="C33:C34"/>
    <mergeCell ref="D33:D34"/>
    <mergeCell ref="E33:E34"/>
    <mergeCell ref="F33:G33"/>
    <mergeCell ref="H33:H34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view="pageBreakPreview" zoomScale="85" zoomScaleNormal="85" zoomScaleSheetLayoutView="85" workbookViewId="0">
      <selection activeCell="I15" sqref="I15"/>
    </sheetView>
  </sheetViews>
  <sheetFormatPr defaultColWidth="9.140625" defaultRowHeight="15.75" x14ac:dyDescent="0.25"/>
  <cols>
    <col min="1" max="1" width="6.5703125" style="13" customWidth="1"/>
    <col min="2" max="2" width="22.85546875" style="13" bestFit="1" customWidth="1"/>
    <col min="3" max="3" width="13.85546875" style="28" bestFit="1" customWidth="1"/>
    <col min="4" max="4" width="9.140625" style="13"/>
    <col min="5" max="6" width="10.28515625" style="13" customWidth="1"/>
    <col min="7" max="7" width="21" style="13" customWidth="1"/>
    <col min="8" max="16384" width="9.140625" style="13"/>
  </cols>
  <sheetData>
    <row r="1" spans="1:7" x14ac:dyDescent="0.25">
      <c r="A1" s="60" t="s">
        <v>60</v>
      </c>
      <c r="B1" s="60"/>
      <c r="C1" s="60"/>
      <c r="D1" s="60"/>
      <c r="E1" s="60"/>
      <c r="F1" s="60"/>
      <c r="G1" s="60"/>
    </row>
    <row r="2" spans="1:7" x14ac:dyDescent="0.25">
      <c r="E2" s="61" t="s">
        <v>45</v>
      </c>
      <c r="F2" s="61"/>
      <c r="G2" s="61"/>
    </row>
    <row r="3" spans="1:7" x14ac:dyDescent="0.25">
      <c r="A3" s="53" t="s">
        <v>46</v>
      </c>
      <c r="B3" s="53" t="s">
        <v>47</v>
      </c>
      <c r="C3" s="52" t="s">
        <v>48</v>
      </c>
      <c r="D3" s="53" t="s">
        <v>61</v>
      </c>
      <c r="E3" s="53" t="s">
        <v>51</v>
      </c>
      <c r="F3" s="53"/>
      <c r="G3" s="53" t="s">
        <v>62</v>
      </c>
    </row>
    <row r="4" spans="1:7" ht="31.5" x14ac:dyDescent="0.25">
      <c r="A4" s="53"/>
      <c r="B4" s="53"/>
      <c r="C4" s="52"/>
      <c r="D4" s="53"/>
      <c r="E4" s="18" t="s">
        <v>63</v>
      </c>
      <c r="F4" s="18" t="s">
        <v>64</v>
      </c>
      <c r="G4" s="53"/>
    </row>
    <row r="5" spans="1:7" x14ac:dyDescent="0.25">
      <c r="A5" s="53"/>
      <c r="B5" s="53"/>
      <c r="C5" s="52"/>
      <c r="D5" s="53"/>
      <c r="E5" s="18" t="s">
        <v>65</v>
      </c>
      <c r="F5" s="18" t="s">
        <v>71</v>
      </c>
      <c r="G5" s="53"/>
    </row>
    <row r="6" spans="1:7" x14ac:dyDescent="0.25">
      <c r="A6" s="11">
        <v>1</v>
      </c>
      <c r="B6" s="18" t="s">
        <v>119</v>
      </c>
      <c r="C6" s="39" t="s">
        <v>151</v>
      </c>
      <c r="D6" s="18">
        <v>18</v>
      </c>
      <c r="E6" s="18" t="s">
        <v>154</v>
      </c>
      <c r="F6" s="18">
        <v>95</v>
      </c>
      <c r="G6" s="18"/>
    </row>
    <row r="7" spans="1:7" x14ac:dyDescent="0.25">
      <c r="A7" s="11">
        <v>2</v>
      </c>
      <c r="B7" s="18" t="s">
        <v>120</v>
      </c>
      <c r="C7" s="39" t="s">
        <v>152</v>
      </c>
      <c r="D7" s="18">
        <v>17</v>
      </c>
      <c r="E7" s="18" t="s">
        <v>154</v>
      </c>
      <c r="F7" s="18">
        <v>98</v>
      </c>
      <c r="G7" s="18"/>
    </row>
    <row r="8" spans="1:7" x14ac:dyDescent="0.25">
      <c r="A8" s="11">
        <v>3</v>
      </c>
      <c r="B8" s="18" t="s">
        <v>121</v>
      </c>
      <c r="C8" s="39" t="s">
        <v>153</v>
      </c>
      <c r="D8" s="18">
        <v>25</v>
      </c>
      <c r="E8" s="18" t="s">
        <v>159</v>
      </c>
      <c r="F8" s="18">
        <v>110</v>
      </c>
      <c r="G8" s="18"/>
    </row>
    <row r="9" spans="1:7" x14ac:dyDescent="0.25">
      <c r="A9" s="11">
        <v>4</v>
      </c>
      <c r="B9" s="18" t="s">
        <v>118</v>
      </c>
      <c r="C9" s="39" t="s">
        <v>122</v>
      </c>
      <c r="D9" s="18">
        <v>23</v>
      </c>
      <c r="E9" s="18" t="s">
        <v>154</v>
      </c>
      <c r="F9" s="18">
        <v>140</v>
      </c>
      <c r="G9" s="18"/>
    </row>
    <row r="10" spans="1:7" x14ac:dyDescent="0.25">
      <c r="A10" s="57" t="s">
        <v>55</v>
      </c>
      <c r="B10" s="96"/>
      <c r="C10" s="96"/>
      <c r="D10" s="96"/>
      <c r="E10" s="96"/>
      <c r="F10" s="96"/>
      <c r="G10" s="58"/>
    </row>
    <row r="11" spans="1:7" x14ac:dyDescent="0.25">
      <c r="A11" s="26"/>
      <c r="B11" s="32"/>
      <c r="C11" s="35"/>
      <c r="D11" s="26"/>
      <c r="E11" s="32"/>
      <c r="F11" s="32"/>
      <c r="G11" s="32"/>
    </row>
    <row r="12" spans="1:7" s="24" customFormat="1" x14ac:dyDescent="0.25">
      <c r="B12" s="40" t="s">
        <v>67</v>
      </c>
      <c r="C12" s="41"/>
      <c r="E12" s="61" t="s">
        <v>68</v>
      </c>
      <c r="F12" s="61"/>
      <c r="G12" s="61"/>
    </row>
    <row r="13" spans="1:7" x14ac:dyDescent="0.25">
      <c r="A13" s="55" t="s">
        <v>46</v>
      </c>
      <c r="B13" s="55" t="s">
        <v>47</v>
      </c>
      <c r="C13" s="62" t="s">
        <v>48</v>
      </c>
      <c r="D13" s="55" t="s">
        <v>61</v>
      </c>
      <c r="E13" s="57" t="s">
        <v>51</v>
      </c>
      <c r="F13" s="58"/>
      <c r="G13" s="55" t="s">
        <v>62</v>
      </c>
    </row>
    <row r="14" spans="1:7" ht="31.5" x14ac:dyDescent="0.25">
      <c r="A14" s="95"/>
      <c r="B14" s="95"/>
      <c r="C14" s="63"/>
      <c r="D14" s="95"/>
      <c r="E14" s="18" t="s">
        <v>63</v>
      </c>
      <c r="F14" s="18" t="s">
        <v>64</v>
      </c>
      <c r="G14" s="95"/>
    </row>
    <row r="15" spans="1:7" ht="31.5" x14ac:dyDescent="0.25">
      <c r="A15" s="56"/>
      <c r="B15" s="56"/>
      <c r="C15" s="64"/>
      <c r="D15" s="56"/>
      <c r="E15" s="18" t="s">
        <v>65</v>
      </c>
      <c r="F15" s="18" t="s">
        <v>66</v>
      </c>
      <c r="G15" s="56"/>
    </row>
    <row r="16" spans="1:7" s="24" customFormat="1" x14ac:dyDescent="0.25">
      <c r="A16" s="37">
        <v>1</v>
      </c>
      <c r="B16" s="23" t="s">
        <v>115</v>
      </c>
      <c r="C16" s="42"/>
      <c r="D16" s="37">
        <v>18</v>
      </c>
      <c r="E16" s="23" t="s">
        <v>154</v>
      </c>
      <c r="F16" s="23">
        <v>95</v>
      </c>
      <c r="G16" s="23"/>
    </row>
    <row r="17" spans="1:7" s="24" customFormat="1" x14ac:dyDescent="0.25">
      <c r="A17" s="37">
        <v>2</v>
      </c>
      <c r="B17" s="23" t="s">
        <v>116</v>
      </c>
      <c r="C17" s="42" t="s">
        <v>150</v>
      </c>
      <c r="D17" s="37">
        <v>32</v>
      </c>
      <c r="E17" s="23" t="s">
        <v>157</v>
      </c>
      <c r="F17" s="23">
        <v>170</v>
      </c>
      <c r="G17" s="23"/>
    </row>
    <row r="18" spans="1:7" s="24" customFormat="1" x14ac:dyDescent="0.25">
      <c r="A18" s="37">
        <v>3</v>
      </c>
      <c r="B18" s="23" t="s">
        <v>116</v>
      </c>
      <c r="C18" s="42" t="s">
        <v>150</v>
      </c>
      <c r="D18" s="37">
        <v>21</v>
      </c>
      <c r="E18" s="23" t="s">
        <v>157</v>
      </c>
      <c r="F18" s="23">
        <v>100</v>
      </c>
      <c r="G18" s="23"/>
    </row>
    <row r="19" spans="1:7" s="24" customFormat="1" x14ac:dyDescent="0.25">
      <c r="A19" s="37">
        <v>4</v>
      </c>
      <c r="B19" s="23" t="s">
        <v>118</v>
      </c>
      <c r="C19" s="42" t="s">
        <v>123</v>
      </c>
      <c r="D19" s="37">
        <v>45</v>
      </c>
      <c r="E19" s="23" t="s">
        <v>154</v>
      </c>
      <c r="F19" s="23">
        <v>210</v>
      </c>
      <c r="G19" s="23"/>
    </row>
    <row r="20" spans="1:7" s="24" customFormat="1" x14ac:dyDescent="0.25">
      <c r="A20" s="37">
        <v>5</v>
      </c>
      <c r="B20" s="23" t="s">
        <v>118</v>
      </c>
      <c r="C20" s="42" t="s">
        <v>123</v>
      </c>
      <c r="D20" s="37">
        <v>33</v>
      </c>
      <c r="E20" s="23" t="s">
        <v>154</v>
      </c>
      <c r="F20" s="23">
        <v>175</v>
      </c>
      <c r="G20" s="23"/>
    </row>
    <row r="21" spans="1:7" s="24" customFormat="1" x14ac:dyDescent="0.25">
      <c r="A21" s="37">
        <v>6</v>
      </c>
      <c r="B21" s="23" t="s">
        <v>117</v>
      </c>
      <c r="C21" s="42"/>
      <c r="D21" s="37">
        <v>85</v>
      </c>
      <c r="E21" s="23" t="s">
        <v>154</v>
      </c>
      <c r="F21" s="23">
        <v>320</v>
      </c>
      <c r="G21" s="23"/>
    </row>
  </sheetData>
  <mergeCells count="16">
    <mergeCell ref="A13:A15"/>
    <mergeCell ref="E12:G12"/>
    <mergeCell ref="A10:G10"/>
    <mergeCell ref="G13:G15"/>
    <mergeCell ref="E13:F13"/>
    <mergeCell ref="D13:D15"/>
    <mergeCell ref="C13:C15"/>
    <mergeCell ref="B13:B15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2024-10-24T12:21:18Z</cp:lastPrinted>
  <dcterms:created xsi:type="dcterms:W3CDTF">2023-09-21T06:16:02Z</dcterms:created>
  <dcterms:modified xsi:type="dcterms:W3CDTF">2024-10-24T12:21:19Z</dcterms:modified>
</cp:coreProperties>
</file>