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dhu\RFO Documnets\Naveen Sir RFO\187 Format\F  Laila B Bit-II II-47a,\"/>
    </mc:Choice>
  </mc:AlternateContent>
  <xr:revisionPtr revIDLastSave="0" documentId="13_ncr:1_{42E4CD02-C43B-4D3A-A9AA-CC6E06AEF6B5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orm 1" sheetId="4" r:id="rId1"/>
    <sheet name="Form II" sheetId="5" r:id="rId2"/>
    <sheet name="Sheet2" sheetId="12" r:id="rId3"/>
    <sheet name="Sheet3" sheetId="13" r:id="rId4"/>
    <sheet name="F-B" sheetId="8" r:id="rId5"/>
    <sheet name="Form C" sheetId="9" r:id="rId6"/>
  </sheets>
  <definedNames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7" i="8" l="1"/>
  <c r="G36" i="8"/>
  <c r="G31" i="8"/>
  <c r="G30" i="8"/>
  <c r="G29" i="8"/>
  <c r="G19" i="8"/>
  <c r="G18" i="8"/>
  <c r="G8" i="8"/>
  <c r="G7" i="8"/>
  <c r="G6" i="8"/>
  <c r="G5" i="8"/>
  <c r="F17" i="9"/>
  <c r="F16" i="9"/>
  <c r="F15" i="9"/>
  <c r="F8" i="9"/>
  <c r="F7" i="9"/>
  <c r="F6" i="9"/>
  <c r="C5" i="5"/>
  <c r="C7" i="5"/>
  <c r="C8" i="5"/>
  <c r="C9" i="5"/>
  <c r="C10" i="5"/>
  <c r="B33" i="8"/>
  <c r="B26" i="8"/>
  <c r="B15" i="8"/>
</calcChain>
</file>

<file path=xl/sharedStrings.xml><?xml version="1.0" encoding="utf-8"?>
<sst xmlns="http://schemas.openxmlformats.org/spreadsheetml/2006/main" count="306" uniqueCount="207">
  <si>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</si>
  <si>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</si>
  <si>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</si>
  <si>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</si>
  <si>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</si>
  <si>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</si>
  <si>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</si>
  <si>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</si>
  <si>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</si>
  <si>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</si>
  <si>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</si>
  <si>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</si>
  <si>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</si>
  <si>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</si>
  <si>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</si>
  <si>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</si>
  <si>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</si>
  <si>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</si>
  <si>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</si>
  <si>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</si>
  <si>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</si>
  <si>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</si>
  <si>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</si>
  <si>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</si>
  <si>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</si>
  <si>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</si>
  <si>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</si>
  <si>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</si>
  <si>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</si>
  <si>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</si>
  <si>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</si>
  <si>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</si>
  <si>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</si>
  <si>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</si>
  <si>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</si>
  <si>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</si>
  <si>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</si>
  <si>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</si>
  <si>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</si>
  <si>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</si>
  <si>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</si>
  <si>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</si>
  <si>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</si>
  <si>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</si>
  <si>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</si>
  <si>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</si>
  <si>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</si>
  <si>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</si>
  <si>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</si>
  <si>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</si>
  <si>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</si>
  <si>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</si>
  <si>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</si>
  <si>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</si>
  <si>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</si>
  <si>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</si>
  <si>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</si>
  <si>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</si>
  <si>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</si>
  <si>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 xml:space="preserve">SOUTH WEST CORNER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</si>
  <si>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</si>
  <si>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</si>
  <si>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</si>
  <si>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</si>
  <si>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</si>
  <si>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</si>
  <si>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</si>
  <si>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</si>
  <si>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</si>
  <si>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Block and Compartment</t>
  </si>
  <si>
    <t>Regeneration status(general observation)</t>
  </si>
  <si>
    <t>or no.</t>
  </si>
  <si>
    <t>Sec &amp; or  beat</t>
  </si>
  <si>
    <t xml:space="preserve"> </t>
  </si>
  <si>
    <t xml:space="preserve"> NORTH WEST CORNER </t>
  </si>
  <si>
    <t>SOUTH EAST CORNER</t>
  </si>
  <si>
    <t>6917B</t>
  </si>
  <si>
    <t>Trvel from Ujire  to Belthangady  upto N 13.027118     E 75.267548    by vehicle then travel in the bearing of 210  degree upto a distance of  174  m  to reach the grid.</t>
  </si>
  <si>
    <t xml:space="preserve">Xylia xylocarpa , Aporosa lindleyana , Terminalia paniculata </t>
  </si>
  <si>
    <t>Tract - Hilly</t>
  </si>
  <si>
    <t>Aspect - East</t>
  </si>
  <si>
    <t>Canopy Dencity - 0.73</t>
  </si>
  <si>
    <t>Soil - Silty loam</t>
  </si>
  <si>
    <t>Grasses - Panicum sp, Two panicled grass</t>
  </si>
  <si>
    <t xml:space="preserve">Weeds - Chromolaena odorata , Urena labota </t>
  </si>
  <si>
    <t xml:space="preserve">Bamboos - Bambusa bambos </t>
  </si>
  <si>
    <t xml:space="preserve">Herbs - Derris sp </t>
  </si>
  <si>
    <t xml:space="preserve">Shrubs - Psychotria flavida , Psychotria dalzelli , Ziziphus oenoplia </t>
  </si>
  <si>
    <t xml:space="preserve">Underwood species – Cassia fistula </t>
  </si>
  <si>
    <t xml:space="preserve">Climbers - Getonia floribunda </t>
  </si>
  <si>
    <t>Rattans – NIL</t>
  </si>
  <si>
    <t>NTFP yieding sps – NIL</t>
  </si>
  <si>
    <t>Degraded forest</t>
  </si>
  <si>
    <t>Mildly</t>
  </si>
  <si>
    <t>410 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</si>
  <si>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</si>
  <si>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</si>
  <si>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</si>
  <si>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 xml:space="preserve">16°-40° </t>
    </r>
    <r>
      <rPr>
        <sz val="12"/>
        <rFont val="Times New Roman"/>
        <family val="1"/>
      </rPr>
      <t>/41° and Above</t>
    </r>
  </si>
  <si>
    <r>
      <t>Northern / NE/</t>
    </r>
    <r>
      <rPr>
        <b/>
        <sz val="12"/>
        <rFont val="Times New Roman"/>
        <family val="1"/>
      </rPr>
      <t>Eastern</t>
    </r>
    <r>
      <rPr>
        <sz val="12"/>
        <rFont val="Times New Roman"/>
        <family val="1"/>
      </rPr>
      <t xml:space="preserve"> / SE /Southern /SW /Western/ NW /No aspect</t>
    </r>
  </si>
  <si>
    <t>Texture-  Coaurse gravelly</t>
  </si>
  <si>
    <t>Depth-  Shallow</t>
  </si>
  <si>
    <t>Permiability- Poor</t>
  </si>
  <si>
    <r>
      <rPr>
        <b/>
        <sz val="12"/>
        <rFont val="Times New Roman"/>
        <family val="1"/>
      </rPr>
      <t>Heavy</t>
    </r>
    <r>
      <rPr>
        <sz val="12"/>
        <rFont val="Times New Roman"/>
        <family val="1"/>
      </rPr>
      <t xml:space="preserve"> / Moderate /Mild /No erosion</t>
    </r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</si>
  <si>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</si>
  <si>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</si>
  <si>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>Hispid Hares, Microbes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</si>
  <si>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</si>
  <si>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</si>
  <si>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rPr>
        <b/>
        <sz val="12"/>
        <rFont val="Times New Roman"/>
        <family val="1"/>
      </rPr>
      <t>Present</t>
    </r>
    <r>
      <rPr>
        <sz val="12"/>
        <rFont val="Times New Roman"/>
        <family val="1"/>
      </rPr>
      <t xml:space="preserve"> / Absent (Regeneration )</t>
    </r>
  </si>
  <si>
    <t xml:space="preserve">Chromolaena odorata </t>
  </si>
  <si>
    <t>NIL</t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</si>
  <si>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</si>
  <si>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Terminalia paniculata</t>
  </si>
  <si>
    <t>Xylia xylocarpa</t>
  </si>
  <si>
    <t xml:space="preserve">Terminalia tomentosa </t>
  </si>
  <si>
    <t xml:space="preserve">Xanthoxylum retusus </t>
  </si>
  <si>
    <t xml:space="preserve">Catunaregam spinosa </t>
  </si>
  <si>
    <t xml:space="preserve">Lannea coromondelica </t>
  </si>
  <si>
    <t>Terminalia tomentosa</t>
  </si>
  <si>
    <t xml:space="preserve">Cassia fistula </t>
  </si>
  <si>
    <t xml:space="preserve">Bambusa bambos </t>
  </si>
  <si>
    <t>Clerodendrum sp</t>
  </si>
  <si>
    <t xml:space="preserve">Simplocaoccus sp </t>
  </si>
  <si>
    <t>Koliballi</t>
  </si>
  <si>
    <t>Bambusa bambos</t>
  </si>
  <si>
    <t xml:space="preserve">Heliscteres isora </t>
  </si>
  <si>
    <t xml:space="preserve">Tabernamontana heyneana </t>
  </si>
  <si>
    <t>Holarrhena antidysenterica</t>
  </si>
  <si>
    <t xml:space="preserve">Terminalia paniculata </t>
  </si>
  <si>
    <t>82g</t>
  </si>
  <si>
    <t>340g</t>
  </si>
  <si>
    <t>30Kg</t>
  </si>
  <si>
    <t xml:space="preserve">Olea dioca </t>
  </si>
  <si>
    <t xml:space="preserve">Acacia concinna </t>
  </si>
  <si>
    <t xml:space="preserve">Climber </t>
  </si>
  <si>
    <t>68g</t>
  </si>
  <si>
    <t>1.2Kg</t>
  </si>
  <si>
    <t>5Kg</t>
  </si>
  <si>
    <t xml:space="preserve">Ixora brachiata </t>
  </si>
  <si>
    <t xml:space="preserve">Aporosa lindleyana </t>
  </si>
  <si>
    <t>Belthangady</t>
  </si>
  <si>
    <t xml:space="preserve">Laila B Bit-II </t>
  </si>
  <si>
    <t>II-47a</t>
  </si>
  <si>
    <t>Unknown</t>
  </si>
  <si>
    <t xml:space="preserve">Xylia xylocarpa , Terminalia paniculata ,Terminalia tomentosa , Xanthoxylum retusus </t>
  </si>
  <si>
    <t>Mangalore</t>
  </si>
  <si>
    <t>Balamuri</t>
  </si>
  <si>
    <t>Maddarasa</t>
  </si>
  <si>
    <t>Helu kodasa</t>
  </si>
  <si>
    <t>Matti</t>
  </si>
  <si>
    <t>Akkerakalu</t>
  </si>
  <si>
    <t>Seege Balli</t>
  </si>
  <si>
    <t>Gorbale</t>
  </si>
  <si>
    <t>Salle</t>
  </si>
  <si>
    <t>Bidiru</t>
  </si>
  <si>
    <t>Bala Dadli</t>
  </si>
  <si>
    <t>Jambe</t>
  </si>
  <si>
    <t>0.59kg</t>
  </si>
  <si>
    <t>0.52kg</t>
  </si>
  <si>
    <t>leaves</t>
  </si>
  <si>
    <t>shoots</t>
  </si>
  <si>
    <t>seeds</t>
  </si>
  <si>
    <t>flowers</t>
  </si>
  <si>
    <t>flowers, leave</t>
  </si>
  <si>
    <t>flowers, leaves</t>
  </si>
  <si>
    <t>bark, seed</t>
  </si>
  <si>
    <t>fruits</t>
  </si>
  <si>
    <t>leaves, seeds</t>
  </si>
  <si>
    <t>fruitpulp ,seeds</t>
  </si>
  <si>
    <t>bark, seeds</t>
  </si>
  <si>
    <t xml:space="preserve">Bark and roots </t>
  </si>
  <si>
    <t>roots, bark</t>
  </si>
  <si>
    <t>FORM – A1</t>
  </si>
  <si>
    <t>PLOT ENUMERATION (31.62mX 31.62m Central Plot/lateral plot)</t>
  </si>
  <si>
    <t xml:space="preserve">Beat: </t>
  </si>
  <si>
    <t>Range: Belthangady</t>
  </si>
  <si>
    <t>Division: Mangalore</t>
  </si>
  <si>
    <t>GBH 
(cm)</t>
  </si>
  <si>
    <t>GBH (OB) (cm)</t>
  </si>
  <si>
    <t>Height of selected dominant trees (m)</t>
  </si>
  <si>
    <t>Remarks, if any, about the tree condition</t>
  </si>
  <si>
    <t>Part of the tree</t>
  </si>
  <si>
    <t xml:space="preserve">Block /Village: Laila B Bit-II </t>
  </si>
  <si>
    <t>Compartment No: II-47a</t>
  </si>
  <si>
    <t>Grid No:6917B</t>
  </si>
  <si>
    <t>LAT: 13.028184</t>
  </si>
  <si>
    <t>LONG: 75.266369</t>
  </si>
  <si>
    <t>ALT: 410 ft</t>
  </si>
  <si>
    <t xml:space="preserve">FORM A-2 </t>
  </si>
  <si>
    <t>BAMBOO CLUMP ENUMERATION (31.62mX 31.62m Plot)</t>
  </si>
  <si>
    <t>Clump dia in cm</t>
  </si>
  <si>
    <t>Green sound culms</t>
  </si>
  <si>
    <t>Green damaged/ twisted</t>
  </si>
  <si>
    <t>Dry culms</t>
  </si>
  <si>
    <t>Remarks, if any, about the clump condition</t>
  </si>
  <si>
    <t>Current</t>
  </si>
  <si>
    <t>One to</t>
  </si>
  <si>
    <t>Over two</t>
  </si>
  <si>
    <t>Sound</t>
  </si>
  <si>
    <t>Damaged/ twisted</t>
  </si>
  <si>
    <t>years</t>
  </si>
  <si>
    <t>two years</t>
  </si>
  <si>
    <t>a</t>
  </si>
  <si>
    <t>b</t>
  </si>
  <si>
    <t>c</t>
  </si>
  <si>
    <t>Nill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</si>
</sst>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  <font>
      <b/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13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view="pageBreakPreview" zoomScaleSheetLayoutView="100" workbookViewId="0">
      <selection activeCell="C10" sqref="C10"/>
    </sheetView>
  </sheetViews>
  <sheetFormatPr defaultRowHeight="24.75" customHeight="1" x14ac:dyDescent="0.25"/>
  <cols>
    <col min="1" max="1" width="8.140625" style="1" customWidth="1"/>
    <col min="2" max="2" width="34.42578125" style="1" bestFit="1" customWidth="1"/>
    <col min="3" max="3" width="52" style="1" customWidth="1"/>
    <col min="4" max="16384" width="9.140625" style="1"/>
  </cols>
  <sheetData>
    <row r="1" spans="1:3" ht="24.75" customHeight="1" x14ac:dyDescent="0.25">
      <c r="A1" s="47" t="s">
        <v>0</v>
      </c>
      <c r="B1" s="47"/>
      <c r="C1" s="47"/>
    </row>
    <row r="2" spans="1:3" ht="24.75" customHeight="1" x14ac:dyDescent="0.25">
      <c r="A2" s="47" t="s">
        <v>1</v>
      </c>
      <c r="B2" s="47"/>
      <c r="C2" s="47"/>
    </row>
    <row r="3" spans="1:3" s="3" customFormat="1" ht="24.75" customHeight="1" x14ac:dyDescent="0.25">
      <c r="A3" s="47" t="s">
        <v>2</v>
      </c>
      <c r="B3" s="47"/>
      <c r="C3" s="2" t="s">
        <v>146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26.25" customHeight="1" x14ac:dyDescent="0.25">
      <c r="A5" s="4">
        <v>1</v>
      </c>
      <c r="B5" s="42" t="s">
        <v>6</v>
      </c>
      <c r="C5" s="7" t="s">
        <v>141</v>
      </c>
    </row>
    <row r="6" spans="1:3" ht="26.25" customHeight="1" x14ac:dyDescent="0.25">
      <c r="A6" s="4">
        <v>2</v>
      </c>
      <c r="B6" s="42" t="s">
        <v>7</v>
      </c>
      <c r="C6" s="8" t="s">
        <v>142</v>
      </c>
    </row>
    <row r="7" spans="1:3" ht="26.25" customHeight="1" x14ac:dyDescent="0.25">
      <c r="A7" s="4">
        <v>3</v>
      </c>
      <c r="B7" s="42" t="s">
        <v>8</v>
      </c>
      <c r="C7" s="8" t="s">
        <v>143</v>
      </c>
    </row>
    <row r="8" spans="1:3" ht="26.25" customHeight="1" x14ac:dyDescent="0.25">
      <c r="A8" s="4">
        <v>4</v>
      </c>
      <c r="B8" s="42" t="s">
        <v>9</v>
      </c>
      <c r="C8" s="19" t="s">
        <v>76</v>
      </c>
    </row>
    <row r="9" spans="1:3" ht="26.25" customHeight="1" x14ac:dyDescent="0.25">
      <c r="A9" s="4">
        <v>5</v>
      </c>
      <c r="B9" s="42" t="s">
        <v>10</v>
      </c>
      <c r="C9" s="20">
        <v>13.028184</v>
      </c>
    </row>
    <row r="10" spans="1:3" ht="26.25" customHeight="1" x14ac:dyDescent="0.25">
      <c r="A10" s="4">
        <v>6</v>
      </c>
      <c r="B10" s="42" t="s">
        <v>11</v>
      </c>
      <c r="C10" s="20">
        <v>75.266368999999997</v>
      </c>
    </row>
    <row r="11" spans="1:3" ht="47.25" x14ac:dyDescent="0.25">
      <c r="A11" s="4">
        <v>7</v>
      </c>
      <c r="B11" s="42" t="s">
        <v>12</v>
      </c>
      <c r="C11" s="20" t="s">
        <v>77</v>
      </c>
    </row>
    <row r="12" spans="1:3" ht="31.5" x14ac:dyDescent="0.25">
      <c r="A12" s="4">
        <v>8</v>
      </c>
      <c r="B12" s="42" t="s">
        <v>13</v>
      </c>
      <c r="C12" s="9" t="s">
        <v>78</v>
      </c>
    </row>
    <row r="13" spans="1:3" ht="26.25" customHeight="1" x14ac:dyDescent="0.25">
      <c r="A13" s="48">
        <v>9</v>
      </c>
      <c r="B13" s="49" t="s">
        <v>14</v>
      </c>
      <c r="C13" s="6" t="s">
        <v>79</v>
      </c>
    </row>
    <row r="14" spans="1:3" ht="26.25" customHeight="1" x14ac:dyDescent="0.25">
      <c r="A14" s="48"/>
      <c r="B14" s="49"/>
      <c r="C14" s="6" t="s">
        <v>80</v>
      </c>
    </row>
    <row r="15" spans="1:3" ht="26.25" customHeight="1" x14ac:dyDescent="0.25">
      <c r="A15" s="48"/>
      <c r="B15" s="49"/>
      <c r="C15" s="6" t="s">
        <v>81</v>
      </c>
    </row>
    <row r="16" spans="1:3" ht="26.25" customHeight="1" x14ac:dyDescent="0.25">
      <c r="A16" s="48"/>
      <c r="B16" s="49"/>
      <c r="C16" s="6" t="s">
        <v>82</v>
      </c>
    </row>
    <row r="17" spans="1:3" ht="26.25" customHeight="1" x14ac:dyDescent="0.25">
      <c r="A17" s="48"/>
      <c r="B17" s="49"/>
      <c r="C17" s="6" t="s">
        <v>83</v>
      </c>
    </row>
    <row r="18" spans="1:3" ht="26.25" customHeight="1" x14ac:dyDescent="0.25">
      <c r="A18" s="48"/>
      <c r="B18" s="49"/>
      <c r="C18" s="6" t="s">
        <v>84</v>
      </c>
    </row>
    <row r="19" spans="1:3" ht="26.25" customHeight="1" x14ac:dyDescent="0.25">
      <c r="A19" s="48"/>
      <c r="B19" s="49"/>
      <c r="C19" s="6" t="s">
        <v>85</v>
      </c>
    </row>
    <row r="20" spans="1:3" ht="26.25" customHeight="1" x14ac:dyDescent="0.25">
      <c r="A20" s="48"/>
      <c r="B20" s="49"/>
      <c r="C20" s="6" t="s">
        <v>86</v>
      </c>
    </row>
    <row r="21" spans="1:3" ht="31.5" x14ac:dyDescent="0.25">
      <c r="A21" s="48"/>
      <c r="B21" s="49"/>
      <c r="C21" s="6" t="s">
        <v>87</v>
      </c>
    </row>
    <row r="22" spans="1:3" ht="26.25" customHeight="1" x14ac:dyDescent="0.25">
      <c r="A22" s="48"/>
      <c r="B22" s="49"/>
      <c r="C22" s="6" t="s">
        <v>88</v>
      </c>
    </row>
    <row r="23" spans="1:3" ht="26.25" customHeight="1" x14ac:dyDescent="0.25">
      <c r="A23" s="48"/>
      <c r="B23" s="49"/>
      <c r="C23" s="6" t="s">
        <v>89</v>
      </c>
    </row>
    <row r="24" spans="1:3" ht="26.25" customHeight="1" x14ac:dyDescent="0.25">
      <c r="A24" s="48"/>
      <c r="B24" s="49"/>
      <c r="C24" s="6" t="s">
        <v>90</v>
      </c>
    </row>
    <row r="25" spans="1:3" ht="26.25" customHeight="1" x14ac:dyDescent="0.25">
      <c r="A25" s="48"/>
      <c r="B25" s="49"/>
      <c r="C25" s="6" t="s">
        <v>91</v>
      </c>
    </row>
    <row r="26" spans="1:3" ht="26.25" customHeight="1" x14ac:dyDescent="0.25">
      <c r="A26" s="4">
        <v>10</v>
      </c>
      <c r="B26" s="42" t="s">
        <v>15</v>
      </c>
      <c r="C26" s="6" t="s">
        <v>92</v>
      </c>
    </row>
    <row r="27" spans="1:3" ht="26.25" customHeight="1" x14ac:dyDescent="0.25">
      <c r="A27" s="4">
        <v>11</v>
      </c>
      <c r="B27" s="42" t="s">
        <v>16</v>
      </c>
      <c r="C27" s="6" t="s">
        <v>93</v>
      </c>
    </row>
    <row r="28" spans="1:3" ht="24.75" customHeight="1" x14ac:dyDescent="0.25">
      <c r="A28" s="13"/>
    </row>
    <row r="29" spans="1:3" ht="24.75" customHeight="1" x14ac:dyDescent="0.25">
      <c r="A29" s="14"/>
    </row>
    <row r="30" spans="1:3" ht="24.75" customHeight="1" x14ac:dyDescent="0.25">
      <c r="A30" s="15"/>
    </row>
    <row r="31" spans="1:3" ht="24.75" customHeight="1" x14ac:dyDescent="0.25">
      <c r="A31" s="15"/>
    </row>
    <row r="32" spans="1:3" ht="24.75" customHeight="1" x14ac:dyDescent="0.25">
      <c r="A32" s="15"/>
    </row>
    <row r="33" spans="1:1" ht="24.75" customHeight="1" x14ac:dyDescent="0.25">
      <c r="A33" s="15"/>
    </row>
    <row r="34" spans="1:1" ht="24.75" customHeight="1" x14ac:dyDescent="0.25">
      <c r="A34" s="15"/>
    </row>
    <row r="35" spans="1:1" ht="24.75" customHeight="1" x14ac:dyDescent="0.25">
      <c r="A35" s="15"/>
    </row>
    <row r="46" spans="1:1" ht="24.75" customHeight="1" x14ac:dyDescent="0.25">
      <c r="A46" s="15"/>
    </row>
    <row r="47" spans="1:1" ht="24.75" customHeight="1" x14ac:dyDescent="0.25">
      <c r="A47" s="15"/>
    </row>
    <row r="48" spans="1:1" ht="24.75" customHeight="1" x14ac:dyDescent="0.25">
      <c r="A48" s="15"/>
    </row>
    <row r="49" spans="1:1" ht="24.75" customHeight="1" x14ac:dyDescent="0.25">
      <c r="A49" s="15"/>
    </row>
    <row r="50" spans="1:1" ht="24.75" customHeight="1" x14ac:dyDescent="0.25">
      <c r="A50" s="15"/>
    </row>
    <row r="51" spans="1:1" ht="24.75" customHeight="1" x14ac:dyDescent="0.25">
      <c r="A51" s="15"/>
    </row>
    <row r="52" spans="1:1" ht="24.75" customHeight="1" x14ac:dyDescent="0.25">
      <c r="A52" s="15"/>
    </row>
    <row r="53" spans="1:1" ht="24.75" customHeight="1" x14ac:dyDescent="0.25">
      <c r="A53" s="15"/>
    </row>
    <row r="54" spans="1:1" ht="24.75" customHeight="1" x14ac:dyDescent="0.25">
      <c r="A54" s="15"/>
    </row>
    <row r="55" spans="1:1" ht="24.75" customHeight="1" x14ac:dyDescent="0.25">
      <c r="A55" s="14"/>
    </row>
    <row r="63" spans="1:1" ht="24.75" customHeight="1" x14ac:dyDescent="0.25">
      <c r="A63" s="15"/>
    </row>
    <row r="71" spans="1:1" ht="24.75" customHeight="1" x14ac:dyDescent="0.25">
      <c r="A71" s="13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1496062992125984" right="0.23622047244094491" top="0.27559055118110237" bottom="0.19685039370078741" header="0.15748031496062992" footer="0.1574803149606299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view="pageBreakPreview" topLeftCell="A4" zoomScaleSheetLayoutView="100" workbookViewId="0">
      <selection activeCell="C11" sqref="C11"/>
    </sheetView>
  </sheetViews>
  <sheetFormatPr defaultRowHeight="25.5" customHeight="1" x14ac:dyDescent="0.25"/>
  <cols>
    <col min="1" max="1" width="6.5703125" style="13" bestFit="1" customWidth="1"/>
    <col min="2" max="2" width="42.85546875" style="13" bestFit="1" customWidth="1"/>
    <col min="3" max="3" width="48" style="13" customWidth="1"/>
    <col min="4" max="16384" width="9.140625" style="13"/>
  </cols>
  <sheetData>
    <row r="1" spans="1:3" ht="25.5" customHeight="1" x14ac:dyDescent="0.25">
      <c r="A1" s="50" t="s">
        <v>17</v>
      </c>
      <c r="B1" s="50"/>
      <c r="C1" s="50"/>
    </row>
    <row r="2" spans="1:3" ht="25.5" customHeight="1" x14ac:dyDescent="0.25">
      <c r="A2" s="50" t="s">
        <v>18</v>
      </c>
      <c r="B2" s="50"/>
      <c r="C2" s="50"/>
    </row>
    <row r="3" spans="1:3" s="14" customFormat="1" ht="25.5" customHeight="1" x14ac:dyDescent="0.25">
      <c r="A3" s="50" t="s">
        <v>2</v>
      </c>
      <c r="B3" s="50"/>
      <c r="C3" s="16" t="s">
        <v>146</v>
      </c>
    </row>
    <row r="4" spans="1:3" s="18" customFormat="1" ht="25.5" customHeight="1" x14ac:dyDescent="0.25">
      <c r="A4" s="17" t="s">
        <v>3</v>
      </c>
      <c r="B4" s="17" t="s">
        <v>5</v>
      </c>
      <c r="C4" s="17" t="s">
        <v>19</v>
      </c>
    </row>
    <row r="5" spans="1:3" ht="23.25" customHeight="1" x14ac:dyDescent="0.25">
      <c r="A5" s="10">
        <v>1</v>
      </c>
      <c r="B5" s="43" t="s">
        <v>6</v>
      </c>
      <c r="C5" s="19" t="str">
        <f>'Form 1'!C5</f>
        <v>Belthangady</v>
      </c>
    </row>
    <row r="6" spans="1:3" ht="23.25" customHeight="1" x14ac:dyDescent="0.25">
      <c r="A6" s="10">
        <v>2</v>
      </c>
      <c r="B6" s="43" t="s">
        <v>72</v>
      </c>
      <c r="C6" s="19"/>
    </row>
    <row r="7" spans="1:3" ht="23.25" customHeight="1" x14ac:dyDescent="0.25">
      <c r="A7" s="10">
        <v>3</v>
      </c>
      <c r="B7" s="43" t="s">
        <v>69</v>
      </c>
      <c r="C7" s="19" t="str">
        <f>'Form 1'!C6</f>
        <v xml:space="preserve">Laila B Bit-II </v>
      </c>
    </row>
    <row r="8" spans="1:3" ht="23.25" customHeight="1" x14ac:dyDescent="0.25">
      <c r="A8" s="10">
        <v>4</v>
      </c>
      <c r="B8" s="43" t="s">
        <v>9</v>
      </c>
      <c r="C8" s="19" t="str">
        <f>'Form 1'!C8</f>
        <v>6917B</v>
      </c>
    </row>
    <row r="9" spans="1:3" ht="23.25" customHeight="1" x14ac:dyDescent="0.25">
      <c r="A9" s="10">
        <v>5</v>
      </c>
      <c r="B9" s="43" t="s">
        <v>20</v>
      </c>
      <c r="C9" s="20">
        <f>'Form 1'!C9</f>
        <v>13.028184</v>
      </c>
    </row>
    <row r="10" spans="1:3" ht="23.25" customHeight="1" x14ac:dyDescent="0.25">
      <c r="A10" s="10">
        <v>6</v>
      </c>
      <c r="B10" s="43" t="s">
        <v>21</v>
      </c>
      <c r="C10" s="20">
        <f>'Form 1'!C10</f>
        <v>75.266368999999997</v>
      </c>
    </row>
    <row r="11" spans="1:3" ht="23.25" customHeight="1" x14ac:dyDescent="0.25">
      <c r="A11" s="10">
        <v>7</v>
      </c>
      <c r="B11" s="43" t="s">
        <v>22</v>
      </c>
      <c r="C11" s="19" t="s">
        <v>94</v>
      </c>
    </row>
    <row r="12" spans="1:3" ht="31.5" x14ac:dyDescent="0.25">
      <c r="A12" s="10">
        <v>8</v>
      </c>
      <c r="B12" s="43" t="s">
        <v>23</v>
      </c>
      <c r="C12" s="19" t="s">
        <v>95</v>
      </c>
    </row>
    <row r="13" spans="1:3" ht="23.25" customHeight="1" x14ac:dyDescent="0.25">
      <c r="A13" s="10">
        <v>9</v>
      </c>
      <c r="B13" s="43" t="s">
        <v>24</v>
      </c>
      <c r="C13" s="19" t="s">
        <v>96</v>
      </c>
    </row>
    <row r="14" spans="1:3" ht="31.5" x14ac:dyDescent="0.25">
      <c r="A14" s="10">
        <v>10</v>
      </c>
      <c r="B14" s="43" t="s">
        <v>25</v>
      </c>
      <c r="C14" s="19" t="s">
        <v>97</v>
      </c>
    </row>
    <row r="15" spans="1:3" ht="23.25" customHeight="1" x14ac:dyDescent="0.25">
      <c r="A15" s="10">
        <v>11</v>
      </c>
      <c r="B15" s="43" t="s">
        <v>26</v>
      </c>
      <c r="C15" s="21" t="s">
        <v>98</v>
      </c>
    </row>
    <row r="16" spans="1:3" ht="31.5" x14ac:dyDescent="0.25">
      <c r="A16" s="10">
        <v>12</v>
      </c>
      <c r="B16" s="43" t="s">
        <v>27</v>
      </c>
      <c r="C16" s="21" t="s">
        <v>99</v>
      </c>
    </row>
    <row r="17" spans="1:3" ht="31.5" x14ac:dyDescent="0.25">
      <c r="A17" s="10">
        <v>13</v>
      </c>
      <c r="B17" s="43" t="s">
        <v>28</v>
      </c>
      <c r="C17" s="21" t="s">
        <v>29</v>
      </c>
    </row>
    <row r="18" spans="1:3" ht="23.25" customHeight="1" x14ac:dyDescent="0.25">
      <c r="A18" s="51">
        <v>14</v>
      </c>
      <c r="B18" s="52" t="s">
        <v>30</v>
      </c>
      <c r="C18" s="21" t="s">
        <v>100</v>
      </c>
    </row>
    <row r="19" spans="1:3" ht="23.25" customHeight="1" x14ac:dyDescent="0.25">
      <c r="A19" s="51"/>
      <c r="B19" s="52"/>
      <c r="C19" s="21" t="s">
        <v>101</v>
      </c>
    </row>
    <row r="20" spans="1:3" ht="23.25" customHeight="1" x14ac:dyDescent="0.25">
      <c r="A20" s="51"/>
      <c r="B20" s="52"/>
      <c r="C20" s="22" t="s">
        <v>102</v>
      </c>
    </row>
    <row r="21" spans="1:3" ht="23.25" customHeight="1" x14ac:dyDescent="0.25">
      <c r="A21" s="10">
        <v>15</v>
      </c>
      <c r="B21" s="43" t="s">
        <v>31</v>
      </c>
      <c r="C21" s="21" t="s">
        <v>103</v>
      </c>
    </row>
    <row r="22" spans="1:3" ht="31.5" x14ac:dyDescent="0.25">
      <c r="A22" s="10">
        <v>16</v>
      </c>
      <c r="B22" s="43" t="s">
        <v>32</v>
      </c>
      <c r="C22" s="21" t="s">
        <v>145</v>
      </c>
    </row>
    <row r="23" spans="1:3" ht="23.25" customHeight="1" x14ac:dyDescent="0.25">
      <c r="A23" s="10">
        <v>17</v>
      </c>
      <c r="B23" s="43" t="s">
        <v>70</v>
      </c>
      <c r="C23" s="21" t="s">
        <v>104</v>
      </c>
    </row>
    <row r="24" spans="1:3" ht="31.5" x14ac:dyDescent="0.25">
      <c r="A24" s="10">
        <v>18</v>
      </c>
      <c r="B24" s="43" t="s">
        <v>33</v>
      </c>
      <c r="C24" s="21" t="s">
        <v>105</v>
      </c>
    </row>
    <row r="25" spans="1:3" ht="23.25" customHeight="1" x14ac:dyDescent="0.25">
      <c r="A25" s="10">
        <v>19</v>
      </c>
      <c r="B25" s="43" t="s">
        <v>34</v>
      </c>
      <c r="C25" s="21" t="s">
        <v>106</v>
      </c>
    </row>
    <row r="26" spans="1:3" ht="23.25" customHeight="1" x14ac:dyDescent="0.25">
      <c r="A26" s="10">
        <v>20</v>
      </c>
      <c r="B26" s="43" t="s">
        <v>35</v>
      </c>
      <c r="C26" s="22" t="s">
        <v>107</v>
      </c>
    </row>
    <row r="27" spans="1:3" ht="23.25" customHeight="1" x14ac:dyDescent="0.25">
      <c r="A27" s="10">
        <v>21</v>
      </c>
      <c r="B27" s="43" t="s">
        <v>36</v>
      </c>
      <c r="C27" s="21" t="s">
        <v>109</v>
      </c>
    </row>
    <row r="28" spans="1:3" ht="23.25" customHeight="1" x14ac:dyDescent="0.25">
      <c r="A28" s="10">
        <v>22</v>
      </c>
      <c r="B28" s="43" t="s">
        <v>37</v>
      </c>
      <c r="C28" s="21" t="s">
        <v>108</v>
      </c>
    </row>
    <row r="29" spans="1:3" ht="23.25" customHeight="1" x14ac:dyDescent="0.25">
      <c r="A29" s="10">
        <v>23</v>
      </c>
      <c r="B29" s="43" t="s">
        <v>38</v>
      </c>
      <c r="C29" s="21" t="s">
        <v>108</v>
      </c>
    </row>
    <row r="30" spans="1:3" ht="23.25" customHeight="1" x14ac:dyDescent="0.25">
      <c r="A30" s="10">
        <v>24</v>
      </c>
      <c r="B30" s="43" t="s">
        <v>39</v>
      </c>
      <c r="C30" s="21" t="s">
        <v>110</v>
      </c>
    </row>
    <row r="31" spans="1:3" ht="23.25" customHeight="1" x14ac:dyDescent="0.25">
      <c r="A31" s="10">
        <v>25</v>
      </c>
      <c r="B31" s="43" t="s">
        <v>40</v>
      </c>
      <c r="C31" s="21" t="s">
        <v>111</v>
      </c>
    </row>
    <row r="32" spans="1:3" ht="23.25" customHeight="1" x14ac:dyDescent="0.25">
      <c r="A32" s="10">
        <v>26</v>
      </c>
      <c r="B32" s="43" t="s">
        <v>41</v>
      </c>
      <c r="C32" s="21" t="s">
        <v>111</v>
      </c>
    </row>
    <row r="33" spans="1:3" ht="23.25" customHeight="1" x14ac:dyDescent="0.25">
      <c r="A33" s="10">
        <v>27</v>
      </c>
      <c r="B33" s="43" t="s">
        <v>42</v>
      </c>
      <c r="C33" s="19" t="s">
        <v>112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0866141732283472" right="0.70866141732283472" top="0.19685039370078741" bottom="0.35433070866141736" header="0.31496062992125984" footer="0.31496062992125984"/>
  <pageSetup scale="90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50BC3-9232-441A-86AF-DC7942824381}">
  <dimension ref="A1:I33"/>
  <sheetViews>
    <sheetView workbookViewId="0">
      <selection activeCell="H6" sqref="H6:I6"/>
    </sheetView>
  </sheetViews>
  <sheetFormatPr defaultRowHeight="15" x14ac:dyDescent="0.25"/>
  <cols>
    <col min="2" max="2" width="21.5703125" bestFit="1" customWidth="1"/>
  </cols>
  <sheetData>
    <row r="1" spans="1:9" s="66" customFormat="1" ht="15.6" customHeight="1" x14ac:dyDescent="0.25">
      <c r="A1" s="65" t="s">
        <v>73</v>
      </c>
      <c r="B1" s="65"/>
      <c r="C1" s="65"/>
      <c r="D1" s="65"/>
      <c r="E1" s="65"/>
      <c r="F1" s="65"/>
      <c r="G1" s="65"/>
      <c r="H1" s="65"/>
      <c r="I1" s="65"/>
    </row>
    <row r="2" spans="1:9" s="66" customFormat="1" ht="15.6" customHeight="1" x14ac:dyDescent="0.25">
      <c r="A2" s="65" t="s">
        <v>173</v>
      </c>
      <c r="B2" s="65"/>
      <c r="C2" s="65"/>
      <c r="D2" s="65"/>
      <c r="E2" s="65"/>
      <c r="F2" s="65"/>
      <c r="G2" s="65"/>
      <c r="H2" s="65"/>
      <c r="I2" s="65"/>
    </row>
    <row r="3" spans="1:9" s="66" customFormat="1" ht="15.6" customHeight="1" x14ac:dyDescent="0.25">
      <c r="A3" s="65" t="s">
        <v>174</v>
      </c>
      <c r="B3" s="65"/>
      <c r="C3" s="65"/>
      <c r="D3" s="65"/>
      <c r="E3" s="65"/>
      <c r="F3" s="65"/>
      <c r="G3" s="65"/>
      <c r="H3" s="65"/>
      <c r="I3" s="65"/>
    </row>
    <row r="4" spans="1:9" s="66" customFormat="1" ht="15.6" customHeight="1" x14ac:dyDescent="0.25">
      <c r="A4" s="67"/>
      <c r="B4" s="67"/>
      <c r="C4" s="67"/>
      <c r="D4" s="67"/>
      <c r="E4" s="67"/>
      <c r="F4" s="67"/>
      <c r="G4" s="67"/>
      <c r="H4" s="67"/>
      <c r="I4" s="67"/>
    </row>
    <row r="5" spans="1:9" s="71" customFormat="1" ht="33" customHeight="1" x14ac:dyDescent="0.25">
      <c r="A5" s="68" t="s">
        <v>184</v>
      </c>
      <c r="B5" s="69"/>
      <c r="C5" s="70"/>
      <c r="D5" s="68" t="s">
        <v>183</v>
      </c>
      <c r="E5" s="69"/>
      <c r="F5" s="69"/>
      <c r="G5" s="70"/>
      <c r="H5" s="68" t="s">
        <v>175</v>
      </c>
      <c r="I5" s="70"/>
    </row>
    <row r="6" spans="1:9" s="71" customFormat="1" ht="33" customHeight="1" x14ac:dyDescent="0.25">
      <c r="A6" s="68" t="s">
        <v>176</v>
      </c>
      <c r="B6" s="69"/>
      <c r="C6" s="70"/>
      <c r="D6" s="68" t="s">
        <v>177</v>
      </c>
      <c r="E6" s="69"/>
      <c r="F6" s="69"/>
      <c r="G6" s="70"/>
      <c r="H6" s="68" t="s">
        <v>188</v>
      </c>
      <c r="I6" s="70"/>
    </row>
    <row r="7" spans="1:9" s="71" customFormat="1" ht="33" customHeight="1" x14ac:dyDescent="0.25">
      <c r="A7" s="68" t="s">
        <v>186</v>
      </c>
      <c r="B7" s="69"/>
      <c r="C7" s="70"/>
      <c r="D7" s="68" t="s">
        <v>187</v>
      </c>
      <c r="E7" s="69"/>
      <c r="F7" s="69"/>
      <c r="G7" s="70"/>
      <c r="H7" s="68" t="s">
        <v>185</v>
      </c>
      <c r="I7" s="70"/>
    </row>
    <row r="8" spans="1:9" s="66" customFormat="1" ht="15.6" customHeight="1" x14ac:dyDescent="0.25">
      <c r="A8" s="18"/>
      <c r="B8" s="72"/>
      <c r="C8" s="18"/>
      <c r="D8" s="18"/>
      <c r="E8" s="18"/>
      <c r="F8" s="18"/>
      <c r="G8" s="18"/>
      <c r="H8" s="18"/>
      <c r="I8" s="18"/>
    </row>
    <row r="9" spans="1:9" s="66" customFormat="1" ht="15.75" x14ac:dyDescent="0.25">
      <c r="A9" s="48" t="s">
        <v>46</v>
      </c>
      <c r="B9" s="48" t="s">
        <v>47</v>
      </c>
      <c r="C9" s="48" t="s">
        <v>48</v>
      </c>
      <c r="D9" s="48" t="s">
        <v>178</v>
      </c>
      <c r="E9" s="48" t="s">
        <v>179</v>
      </c>
      <c r="F9" s="48" t="s">
        <v>180</v>
      </c>
      <c r="G9" s="48" t="s">
        <v>51</v>
      </c>
      <c r="H9" s="48"/>
      <c r="I9" s="48" t="s">
        <v>181</v>
      </c>
    </row>
    <row r="10" spans="1:9" s="66" customFormat="1" ht="63" x14ac:dyDescent="0.25">
      <c r="A10" s="48"/>
      <c r="B10" s="48"/>
      <c r="C10" s="48"/>
      <c r="D10" s="48"/>
      <c r="E10" s="48"/>
      <c r="F10" s="48"/>
      <c r="G10" s="44" t="s">
        <v>182</v>
      </c>
      <c r="H10" s="44" t="s">
        <v>54</v>
      </c>
      <c r="I10" s="48"/>
    </row>
    <row r="11" spans="1:9" ht="15.75" x14ac:dyDescent="0.25">
      <c r="A11" s="73">
        <v>1</v>
      </c>
      <c r="B11" s="45" t="s">
        <v>113</v>
      </c>
      <c r="C11" s="73"/>
      <c r="D11" s="45">
        <v>48</v>
      </c>
      <c r="E11" s="73"/>
      <c r="F11" s="73"/>
      <c r="G11" s="73"/>
      <c r="H11" s="73"/>
      <c r="I11" s="73"/>
    </row>
    <row r="12" spans="1:9" ht="15.75" x14ac:dyDescent="0.25">
      <c r="A12" s="73">
        <v>2</v>
      </c>
      <c r="B12" s="45" t="s">
        <v>114</v>
      </c>
      <c r="C12" s="73"/>
      <c r="D12" s="45">
        <v>96</v>
      </c>
      <c r="E12" s="73"/>
      <c r="F12" s="73"/>
      <c r="G12" s="73"/>
      <c r="H12" s="73"/>
      <c r="I12" s="73"/>
    </row>
    <row r="13" spans="1:9" ht="15.75" x14ac:dyDescent="0.25">
      <c r="A13" s="73">
        <v>3</v>
      </c>
      <c r="B13" s="45" t="s">
        <v>113</v>
      </c>
      <c r="C13" s="73"/>
      <c r="D13" s="45">
        <v>56</v>
      </c>
      <c r="E13" s="73"/>
      <c r="F13" s="73"/>
      <c r="G13" s="73"/>
      <c r="H13" s="73"/>
      <c r="I13" s="73"/>
    </row>
    <row r="14" spans="1:9" ht="15.75" x14ac:dyDescent="0.25">
      <c r="A14" s="73">
        <v>4</v>
      </c>
      <c r="B14" s="45" t="s">
        <v>115</v>
      </c>
      <c r="C14" s="73"/>
      <c r="D14" s="45">
        <v>44</v>
      </c>
      <c r="E14" s="73"/>
      <c r="F14" s="73"/>
      <c r="G14" s="73"/>
      <c r="H14" s="73"/>
      <c r="I14" s="73"/>
    </row>
    <row r="15" spans="1:9" ht="15.75" x14ac:dyDescent="0.25">
      <c r="A15" s="73">
        <v>5</v>
      </c>
      <c r="B15" s="45" t="s">
        <v>114</v>
      </c>
      <c r="C15" s="73"/>
      <c r="D15" s="45">
        <v>64</v>
      </c>
      <c r="E15" s="73"/>
      <c r="F15" s="73"/>
      <c r="G15" s="73"/>
      <c r="H15" s="73"/>
      <c r="I15" s="73"/>
    </row>
    <row r="16" spans="1:9" ht="15.75" x14ac:dyDescent="0.25">
      <c r="A16" s="73">
        <v>6</v>
      </c>
      <c r="B16" s="45" t="s">
        <v>114</v>
      </c>
      <c r="C16" s="73"/>
      <c r="D16" s="45">
        <v>71</v>
      </c>
      <c r="E16" s="73"/>
      <c r="F16" s="73"/>
      <c r="G16" s="73"/>
      <c r="H16" s="73"/>
      <c r="I16" s="73"/>
    </row>
    <row r="17" spans="1:9" ht="15.75" x14ac:dyDescent="0.25">
      <c r="A17" s="73">
        <v>7</v>
      </c>
      <c r="B17" s="45" t="s">
        <v>114</v>
      </c>
      <c r="C17" s="73"/>
      <c r="D17" s="45">
        <v>64</v>
      </c>
      <c r="E17" s="73"/>
      <c r="F17" s="73"/>
      <c r="G17" s="73"/>
      <c r="H17" s="73"/>
      <c r="I17" s="73"/>
    </row>
    <row r="18" spans="1:9" ht="15.75" x14ac:dyDescent="0.25">
      <c r="A18" s="73">
        <v>8</v>
      </c>
      <c r="B18" s="45" t="s">
        <v>114</v>
      </c>
      <c r="C18" s="73"/>
      <c r="D18" s="45">
        <v>96</v>
      </c>
      <c r="E18" s="73"/>
      <c r="F18" s="73"/>
      <c r="G18" s="73"/>
      <c r="H18" s="73"/>
      <c r="I18" s="73"/>
    </row>
    <row r="19" spans="1:9" ht="15.75" x14ac:dyDescent="0.25">
      <c r="A19" s="73">
        <v>9</v>
      </c>
      <c r="B19" s="45" t="s">
        <v>116</v>
      </c>
      <c r="C19" s="73"/>
      <c r="D19" s="45">
        <v>63</v>
      </c>
      <c r="E19" s="73"/>
      <c r="F19" s="73"/>
      <c r="G19" s="73"/>
      <c r="H19" s="73"/>
      <c r="I19" s="73"/>
    </row>
    <row r="20" spans="1:9" ht="15.75" x14ac:dyDescent="0.25">
      <c r="A20" s="73">
        <v>10</v>
      </c>
      <c r="B20" s="45" t="s">
        <v>116</v>
      </c>
      <c r="C20" s="73"/>
      <c r="D20" s="45">
        <v>46</v>
      </c>
      <c r="E20" s="73"/>
      <c r="F20" s="73"/>
      <c r="G20" s="73"/>
      <c r="H20" s="73"/>
      <c r="I20" s="73"/>
    </row>
    <row r="21" spans="1:9" ht="15.75" x14ac:dyDescent="0.25">
      <c r="A21" s="73">
        <v>11</v>
      </c>
      <c r="B21" s="45" t="s">
        <v>114</v>
      </c>
      <c r="C21" s="73"/>
      <c r="D21" s="45">
        <v>68</v>
      </c>
      <c r="E21" s="73"/>
      <c r="F21" s="73"/>
      <c r="G21" s="73"/>
      <c r="H21" s="73"/>
      <c r="I21" s="73"/>
    </row>
    <row r="22" spans="1:9" ht="15.75" x14ac:dyDescent="0.25">
      <c r="A22" s="73">
        <v>12</v>
      </c>
      <c r="B22" s="45" t="s">
        <v>117</v>
      </c>
      <c r="C22" s="73"/>
      <c r="D22" s="45">
        <v>63</v>
      </c>
      <c r="E22" s="73"/>
      <c r="F22" s="73"/>
      <c r="G22" s="73"/>
      <c r="H22" s="73"/>
      <c r="I22" s="73"/>
    </row>
    <row r="23" spans="1:9" ht="15.75" x14ac:dyDescent="0.25">
      <c r="A23" s="73">
        <v>13</v>
      </c>
      <c r="B23" s="45" t="s">
        <v>144</v>
      </c>
      <c r="C23" s="73"/>
      <c r="D23" s="45">
        <v>71</v>
      </c>
      <c r="E23" s="73"/>
      <c r="F23" s="73"/>
      <c r="G23" s="73"/>
      <c r="H23" s="73"/>
      <c r="I23" s="73"/>
    </row>
    <row r="24" spans="1:9" ht="15.75" x14ac:dyDescent="0.25">
      <c r="A24" s="73">
        <v>14</v>
      </c>
      <c r="B24" s="45" t="s">
        <v>118</v>
      </c>
      <c r="C24" s="73"/>
      <c r="D24" s="45">
        <v>150</v>
      </c>
      <c r="E24" s="73"/>
      <c r="F24" s="73"/>
      <c r="G24" s="73"/>
      <c r="H24" s="73"/>
      <c r="I24" s="73"/>
    </row>
    <row r="25" spans="1:9" ht="15.75" x14ac:dyDescent="0.25">
      <c r="A25" s="73">
        <v>15</v>
      </c>
      <c r="B25" s="45" t="s">
        <v>114</v>
      </c>
      <c r="C25" s="73"/>
      <c r="D25" s="45">
        <v>31</v>
      </c>
      <c r="E25" s="73"/>
      <c r="F25" s="73"/>
      <c r="G25" s="73"/>
      <c r="H25" s="73"/>
      <c r="I25" s="73"/>
    </row>
    <row r="26" spans="1:9" ht="15.75" x14ac:dyDescent="0.25">
      <c r="A26" s="73">
        <v>16</v>
      </c>
      <c r="B26" s="45" t="s">
        <v>114</v>
      </c>
      <c r="C26" s="73"/>
      <c r="D26" s="45">
        <v>43</v>
      </c>
      <c r="E26" s="73"/>
      <c r="F26" s="73"/>
      <c r="G26" s="73"/>
      <c r="H26" s="73"/>
      <c r="I26" s="73"/>
    </row>
    <row r="27" spans="1:9" ht="15.75" x14ac:dyDescent="0.25">
      <c r="A27" s="73">
        <v>17</v>
      </c>
      <c r="B27" s="45" t="s">
        <v>144</v>
      </c>
      <c r="C27" s="73"/>
      <c r="D27" s="45">
        <v>61</v>
      </c>
      <c r="E27" s="73"/>
      <c r="F27" s="73"/>
      <c r="G27" s="73"/>
      <c r="H27" s="73"/>
      <c r="I27" s="73"/>
    </row>
    <row r="28" spans="1:9" ht="15.75" x14ac:dyDescent="0.25">
      <c r="A28" s="73">
        <v>18</v>
      </c>
      <c r="B28" s="45" t="s">
        <v>119</v>
      </c>
      <c r="C28" s="73"/>
      <c r="D28" s="45">
        <v>77</v>
      </c>
      <c r="E28" s="73"/>
      <c r="F28" s="73"/>
      <c r="G28" s="73"/>
      <c r="H28" s="73"/>
      <c r="I28" s="73"/>
    </row>
    <row r="29" spans="1:9" ht="15.75" x14ac:dyDescent="0.25">
      <c r="A29" s="73">
        <v>19</v>
      </c>
      <c r="B29" s="45" t="s">
        <v>119</v>
      </c>
      <c r="C29" s="73"/>
      <c r="D29" s="45">
        <v>53</v>
      </c>
      <c r="E29" s="73"/>
      <c r="F29" s="73"/>
      <c r="G29" s="73"/>
      <c r="H29" s="73"/>
      <c r="I29" s="73"/>
    </row>
    <row r="30" spans="1:9" ht="15.75" x14ac:dyDescent="0.25">
      <c r="A30" s="73">
        <v>20</v>
      </c>
      <c r="B30" s="45" t="s">
        <v>115</v>
      </c>
      <c r="C30" s="73"/>
      <c r="D30" s="45">
        <v>41</v>
      </c>
      <c r="E30" s="73"/>
      <c r="F30" s="73"/>
      <c r="G30" s="73"/>
      <c r="H30" s="73"/>
      <c r="I30" s="73"/>
    </row>
    <row r="31" spans="1:9" ht="15.75" x14ac:dyDescent="0.25">
      <c r="A31" s="73">
        <v>21</v>
      </c>
      <c r="B31" s="45" t="s">
        <v>113</v>
      </c>
      <c r="C31" s="73"/>
      <c r="D31" s="45">
        <v>54</v>
      </c>
      <c r="E31" s="73"/>
      <c r="F31" s="73"/>
      <c r="G31" s="73"/>
      <c r="H31" s="73"/>
      <c r="I31" s="73"/>
    </row>
    <row r="32" spans="1:9" ht="15.75" x14ac:dyDescent="0.25">
      <c r="A32" s="73">
        <v>22</v>
      </c>
      <c r="B32" s="45" t="s">
        <v>115</v>
      </c>
      <c r="C32" s="73"/>
      <c r="D32" s="45">
        <v>97</v>
      </c>
      <c r="E32" s="73"/>
      <c r="F32" s="73"/>
      <c r="G32" s="73"/>
      <c r="H32" s="73"/>
      <c r="I32" s="73"/>
    </row>
    <row r="33" spans="1:9" ht="15.75" x14ac:dyDescent="0.25">
      <c r="A33" s="73">
        <v>23</v>
      </c>
      <c r="B33" s="45" t="s">
        <v>120</v>
      </c>
      <c r="C33" s="73"/>
      <c r="D33" s="45">
        <v>41</v>
      </c>
      <c r="E33" s="73"/>
      <c r="F33" s="73"/>
      <c r="G33" s="73"/>
      <c r="H33" s="73"/>
      <c r="I33" s="73"/>
    </row>
  </sheetData>
  <mergeCells count="21">
    <mergeCell ref="G9:H9"/>
    <mergeCell ref="I9:I10"/>
    <mergeCell ref="A9:A10"/>
    <mergeCell ref="B9:B10"/>
    <mergeCell ref="C9:C10"/>
    <mergeCell ref="D9:D10"/>
    <mergeCell ref="E9:E10"/>
    <mergeCell ref="F9:F10"/>
    <mergeCell ref="A6:C6"/>
    <mergeCell ref="D6:G6"/>
    <mergeCell ref="H6:I6"/>
    <mergeCell ref="A7:C7"/>
    <mergeCell ref="D7:G7"/>
    <mergeCell ref="H7:I7"/>
    <mergeCell ref="A1:I1"/>
    <mergeCell ref="A2:I2"/>
    <mergeCell ref="A3:I3"/>
    <mergeCell ref="A4:I4"/>
    <mergeCell ref="A5:C5"/>
    <mergeCell ref="D5:G5"/>
    <mergeCell ref="H5:I5"/>
  </mergeCells>
  <printOptions horizontalCentered="1"/>
  <pageMargins left="0.28000000000000003" right="0.2" top="0.74803149606299213" bottom="0.74803149606299213" header="0.31496062992125984" footer="0.3149606299212598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35FB2-45E4-410C-B08F-CDF6CE233CDA}">
  <dimension ref="A1:Q10"/>
  <sheetViews>
    <sheetView workbookViewId="0">
      <selection sqref="A1:XFD10"/>
    </sheetView>
  </sheetViews>
  <sheetFormatPr defaultRowHeight="15" x14ac:dyDescent="0.25"/>
  <cols>
    <col min="1" max="1" width="5.7109375" customWidth="1"/>
    <col min="2" max="2" width="7.85546875" customWidth="1"/>
    <col min="5" max="13" width="4.5703125" customWidth="1"/>
    <col min="17" max="17" width="12.42578125" customWidth="1"/>
  </cols>
  <sheetData>
    <row r="1" spans="1:17" s="75" customFormat="1" ht="20.25" x14ac:dyDescent="0.25">
      <c r="A1" s="74" t="s">
        <v>189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</row>
    <row r="2" spans="1:17" s="75" customFormat="1" ht="20.25" x14ac:dyDescent="0.25">
      <c r="A2" s="74" t="s">
        <v>190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</row>
    <row r="3" spans="1:17" s="75" customFormat="1" x14ac:dyDescent="0.25">
      <c r="A3" s="76"/>
    </row>
    <row r="4" spans="1:17" s="75" customFormat="1" ht="15.75" thickBot="1" x14ac:dyDescent="0.3">
      <c r="A4" s="76"/>
    </row>
    <row r="5" spans="1:17" s="75" customFormat="1" ht="16.5" thickBot="1" x14ac:dyDescent="0.3">
      <c r="A5" s="77" t="s">
        <v>46</v>
      </c>
      <c r="B5" s="77" t="s">
        <v>47</v>
      </c>
      <c r="C5" s="77" t="s">
        <v>48</v>
      </c>
      <c r="D5" s="77" t="s">
        <v>191</v>
      </c>
      <c r="E5" s="78" t="s">
        <v>192</v>
      </c>
      <c r="F5" s="79"/>
      <c r="G5" s="79"/>
      <c r="H5" s="79"/>
      <c r="I5" s="79"/>
      <c r="J5" s="79"/>
      <c r="K5" s="79"/>
      <c r="L5" s="79"/>
      <c r="M5" s="80"/>
      <c r="N5" s="77" t="s">
        <v>193</v>
      </c>
      <c r="O5" s="78" t="s">
        <v>194</v>
      </c>
      <c r="P5" s="80"/>
      <c r="Q5" s="77" t="s">
        <v>195</v>
      </c>
    </row>
    <row r="6" spans="1:17" s="75" customFormat="1" ht="15.75" x14ac:dyDescent="0.25">
      <c r="A6" s="81"/>
      <c r="B6" s="81"/>
      <c r="C6" s="81"/>
      <c r="D6" s="81"/>
      <c r="E6" s="82" t="s">
        <v>196</v>
      </c>
      <c r="F6" s="83"/>
      <c r="G6" s="84"/>
      <c r="H6" s="82" t="s">
        <v>197</v>
      </c>
      <c r="I6" s="83"/>
      <c r="J6" s="84"/>
      <c r="K6" s="82" t="s">
        <v>198</v>
      </c>
      <c r="L6" s="83"/>
      <c r="M6" s="84"/>
      <c r="N6" s="81"/>
      <c r="O6" s="77" t="s">
        <v>199</v>
      </c>
      <c r="P6" s="77" t="s">
        <v>200</v>
      </c>
      <c r="Q6" s="81"/>
    </row>
    <row r="7" spans="1:17" s="75" customFormat="1" ht="16.5" thickBot="1" x14ac:dyDescent="0.3">
      <c r="A7" s="81"/>
      <c r="B7" s="81"/>
      <c r="C7" s="85"/>
      <c r="D7" s="81"/>
      <c r="E7" s="86" t="s">
        <v>201</v>
      </c>
      <c r="F7" s="87"/>
      <c r="G7" s="88"/>
      <c r="H7" s="86" t="s">
        <v>202</v>
      </c>
      <c r="I7" s="87"/>
      <c r="J7" s="88"/>
      <c r="K7" s="86" t="s">
        <v>201</v>
      </c>
      <c r="L7" s="87"/>
      <c r="M7" s="88"/>
      <c r="N7" s="81"/>
      <c r="O7" s="81"/>
      <c r="P7" s="81"/>
      <c r="Q7" s="81"/>
    </row>
    <row r="8" spans="1:17" s="75" customFormat="1" ht="16.5" thickBot="1" x14ac:dyDescent="0.3">
      <c r="A8" s="89"/>
      <c r="B8" s="89"/>
      <c r="C8" s="89"/>
      <c r="D8" s="89"/>
      <c r="E8" s="90" t="s">
        <v>203</v>
      </c>
      <c r="F8" s="90" t="s">
        <v>204</v>
      </c>
      <c r="G8" s="90" t="s">
        <v>205</v>
      </c>
      <c r="H8" s="90" t="s">
        <v>203</v>
      </c>
      <c r="I8" s="90" t="s">
        <v>204</v>
      </c>
      <c r="J8" s="90" t="s">
        <v>205</v>
      </c>
      <c r="K8" s="90" t="s">
        <v>203</v>
      </c>
      <c r="L8" s="90" t="s">
        <v>204</v>
      </c>
      <c r="M8" s="90" t="s">
        <v>205</v>
      </c>
      <c r="N8" s="89"/>
      <c r="O8" s="89"/>
      <c r="P8" s="89"/>
      <c r="Q8" s="89"/>
    </row>
    <row r="9" spans="1:17" s="75" customFormat="1" ht="15.75" x14ac:dyDescent="0.25">
      <c r="A9" s="44">
        <v>1</v>
      </c>
      <c r="B9" s="91" t="s">
        <v>206</v>
      </c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3"/>
    </row>
    <row r="10" spans="1:17" s="75" customFormat="1" x14ac:dyDescent="0.25"/>
  </sheetData>
  <mergeCells count="19">
    <mergeCell ref="B9:Q9"/>
    <mergeCell ref="E6:G6"/>
    <mergeCell ref="H6:J6"/>
    <mergeCell ref="K6:M6"/>
    <mergeCell ref="O6:O8"/>
    <mergeCell ref="P6:P8"/>
    <mergeCell ref="E7:G7"/>
    <mergeCell ref="H7:J7"/>
    <mergeCell ref="K7:M7"/>
    <mergeCell ref="A1:Q1"/>
    <mergeCell ref="A2:Q2"/>
    <mergeCell ref="A5:A8"/>
    <mergeCell ref="B5:B8"/>
    <mergeCell ref="C5:C8"/>
    <mergeCell ref="D5:D8"/>
    <mergeCell ref="E5:M5"/>
    <mergeCell ref="N5:N8"/>
    <mergeCell ref="O5:P5"/>
    <mergeCell ref="Q5:Q8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7"/>
  <sheetViews>
    <sheetView view="pageBreakPreview" zoomScale="60" workbookViewId="0">
      <selection activeCell="L28" sqref="L28"/>
    </sheetView>
  </sheetViews>
  <sheetFormatPr defaultRowHeight="15.75" x14ac:dyDescent="0.25"/>
  <cols>
    <col min="1" max="1" width="6.85546875" style="12" bestFit="1" customWidth="1"/>
    <col min="2" max="2" width="36.140625" style="12" bestFit="1" customWidth="1"/>
    <col min="3" max="3" width="17.5703125" style="12" bestFit="1" customWidth="1"/>
    <col min="4" max="4" width="9.28515625" style="12" customWidth="1"/>
    <col min="5" max="5" width="7.7109375" style="12" customWidth="1"/>
    <col min="6" max="7" width="9.140625" style="12"/>
    <col min="8" max="8" width="16.7109375" style="12" customWidth="1"/>
    <col min="9" max="10" width="9.140625" style="12"/>
    <col min="11" max="11" width="10.28515625" style="12" bestFit="1" customWidth="1"/>
    <col min="12" max="16384" width="9.140625" style="12"/>
  </cols>
  <sheetData>
    <row r="1" spans="1:8" x14ac:dyDescent="0.25">
      <c r="A1" s="53" t="s">
        <v>43</v>
      </c>
      <c r="B1" s="53"/>
      <c r="C1" s="53"/>
      <c r="D1" s="53"/>
      <c r="E1" s="53"/>
      <c r="F1" s="53"/>
      <c r="G1" s="53"/>
      <c r="H1" s="53"/>
    </row>
    <row r="2" spans="1:8" s="23" customFormat="1" x14ac:dyDescent="0.25">
      <c r="B2" s="24" t="s">
        <v>44</v>
      </c>
      <c r="F2" s="54" t="s">
        <v>45</v>
      </c>
      <c r="G2" s="54"/>
      <c r="H2" s="54"/>
    </row>
    <row r="3" spans="1:8" x14ac:dyDescent="0.25">
      <c r="A3" s="55" t="s">
        <v>46</v>
      </c>
      <c r="B3" s="55" t="s">
        <v>47</v>
      </c>
      <c r="C3" s="55" t="s">
        <v>48</v>
      </c>
      <c r="D3" s="55" t="s">
        <v>49</v>
      </c>
      <c r="E3" s="55" t="s">
        <v>50</v>
      </c>
      <c r="F3" s="57" t="s">
        <v>51</v>
      </c>
      <c r="G3" s="57"/>
      <c r="H3" s="55" t="s">
        <v>52</v>
      </c>
    </row>
    <row r="4" spans="1:8" ht="63" x14ac:dyDescent="0.25">
      <c r="A4" s="56"/>
      <c r="B4" s="56"/>
      <c r="C4" s="56"/>
      <c r="D4" s="56"/>
      <c r="E4" s="56"/>
      <c r="F4" s="17" t="s">
        <v>53</v>
      </c>
      <c r="G4" s="17" t="s">
        <v>54</v>
      </c>
      <c r="H4" s="56"/>
    </row>
    <row r="5" spans="1:8" x14ac:dyDescent="0.25">
      <c r="A5" s="10">
        <v>1</v>
      </c>
      <c r="B5" s="11" t="s">
        <v>126</v>
      </c>
      <c r="C5" s="11" t="s">
        <v>147</v>
      </c>
      <c r="D5" s="11">
        <v>3.2</v>
      </c>
      <c r="E5" s="11">
        <v>2</v>
      </c>
      <c r="F5" s="46" t="s">
        <v>171</v>
      </c>
      <c r="G5" s="11">
        <f>D5*E5</f>
        <v>6.4</v>
      </c>
      <c r="H5" s="11"/>
    </row>
    <row r="6" spans="1:8" ht="31.5" x14ac:dyDescent="0.25">
      <c r="A6" s="10">
        <v>2</v>
      </c>
      <c r="B6" s="11" t="s">
        <v>127</v>
      </c>
      <c r="C6" s="11" t="s">
        <v>148</v>
      </c>
      <c r="D6" s="11">
        <v>5</v>
      </c>
      <c r="E6" s="11">
        <v>2</v>
      </c>
      <c r="F6" s="11" t="s">
        <v>170</v>
      </c>
      <c r="G6" s="11">
        <f t="shared" ref="G6:G8" si="0">D6*E6</f>
        <v>10</v>
      </c>
      <c r="H6" s="11"/>
    </row>
    <row r="7" spans="1:8" x14ac:dyDescent="0.25">
      <c r="A7" s="10">
        <v>3</v>
      </c>
      <c r="B7" s="11" t="s">
        <v>128</v>
      </c>
      <c r="C7" s="11" t="s">
        <v>149</v>
      </c>
      <c r="D7" s="11">
        <v>6</v>
      </c>
      <c r="E7" s="11">
        <v>4</v>
      </c>
      <c r="F7" s="46" t="s">
        <v>172</v>
      </c>
      <c r="G7" s="11">
        <f t="shared" si="0"/>
        <v>24</v>
      </c>
      <c r="H7" s="11"/>
    </row>
    <row r="8" spans="1:8" ht="31.5" x14ac:dyDescent="0.25">
      <c r="A8" s="10">
        <v>4</v>
      </c>
      <c r="B8" s="11" t="s">
        <v>129</v>
      </c>
      <c r="C8" s="11" t="s">
        <v>150</v>
      </c>
      <c r="D8" s="11">
        <v>4</v>
      </c>
      <c r="E8" s="11">
        <v>3</v>
      </c>
      <c r="F8" s="11" t="s">
        <v>169</v>
      </c>
      <c r="G8" s="11">
        <f t="shared" si="0"/>
        <v>12</v>
      </c>
      <c r="H8" s="11"/>
    </row>
    <row r="9" spans="1:8" x14ac:dyDescent="0.25">
      <c r="A9" s="25"/>
      <c r="B9" s="26"/>
      <c r="C9" s="27"/>
      <c r="D9" s="28"/>
      <c r="E9" s="29"/>
    </row>
    <row r="10" spans="1:8" x14ac:dyDescent="0.25">
      <c r="A10" s="57" t="s">
        <v>55</v>
      </c>
      <c r="B10" s="57"/>
      <c r="C10" s="57"/>
      <c r="D10" s="57"/>
      <c r="E10" s="57"/>
      <c r="F10" s="57"/>
      <c r="G10" s="57"/>
      <c r="H10" s="57"/>
    </row>
    <row r="11" spans="1:8" x14ac:dyDescent="0.25">
      <c r="A11" s="10">
        <v>1</v>
      </c>
      <c r="B11" s="58" t="s">
        <v>56</v>
      </c>
      <c r="C11" s="58"/>
      <c r="D11" s="58"/>
      <c r="E11" s="58"/>
      <c r="F11" s="58"/>
      <c r="G11" s="58"/>
      <c r="H11" s="30" t="s">
        <v>130</v>
      </c>
    </row>
    <row r="12" spans="1:8" x14ac:dyDescent="0.25">
      <c r="A12" s="10">
        <v>2</v>
      </c>
      <c r="B12" s="58" t="s">
        <v>57</v>
      </c>
      <c r="C12" s="58"/>
      <c r="D12" s="58"/>
      <c r="E12" s="58"/>
      <c r="F12" s="58"/>
      <c r="G12" s="58"/>
      <c r="H12" s="30" t="s">
        <v>131</v>
      </c>
    </row>
    <row r="13" spans="1:8" x14ac:dyDescent="0.25">
      <c r="A13" s="10">
        <v>3</v>
      </c>
      <c r="B13" s="58" t="s">
        <v>58</v>
      </c>
      <c r="C13" s="58"/>
      <c r="D13" s="58"/>
      <c r="E13" s="58"/>
      <c r="F13" s="58"/>
      <c r="G13" s="58"/>
      <c r="H13" s="30" t="s">
        <v>132</v>
      </c>
    </row>
    <row r="14" spans="1:8" x14ac:dyDescent="0.25">
      <c r="A14" s="25"/>
      <c r="B14" s="25"/>
      <c r="C14" s="25"/>
      <c r="D14" s="25"/>
      <c r="E14" s="25"/>
      <c r="F14" s="25"/>
      <c r="G14" s="25"/>
      <c r="H14" s="31"/>
    </row>
    <row r="15" spans="1:8" x14ac:dyDescent="0.25">
      <c r="B15" s="32" t="str">
        <f>B2</f>
        <v xml:space="preserve">    Grid No:  </v>
      </c>
      <c r="F15" s="32" t="s">
        <v>59</v>
      </c>
      <c r="G15" s="32"/>
    </row>
    <row r="16" spans="1:8" x14ac:dyDescent="0.25">
      <c r="A16" s="57" t="s">
        <v>46</v>
      </c>
      <c r="B16" s="57" t="s">
        <v>47</v>
      </c>
      <c r="C16" s="57" t="s">
        <v>48</v>
      </c>
      <c r="D16" s="55" t="s">
        <v>49</v>
      </c>
      <c r="E16" s="57" t="s">
        <v>50</v>
      </c>
      <c r="F16" s="57" t="s">
        <v>51</v>
      </c>
      <c r="G16" s="57"/>
      <c r="H16" s="57" t="s">
        <v>52</v>
      </c>
    </row>
    <row r="17" spans="1:8" ht="63" x14ac:dyDescent="0.25">
      <c r="A17" s="57"/>
      <c r="B17" s="57"/>
      <c r="C17" s="57"/>
      <c r="D17" s="56"/>
      <c r="E17" s="57"/>
      <c r="F17" s="17" t="s">
        <v>53</v>
      </c>
      <c r="G17" s="17" t="s">
        <v>54</v>
      </c>
      <c r="H17" s="57"/>
    </row>
    <row r="18" spans="1:8" x14ac:dyDescent="0.25">
      <c r="A18" s="10">
        <v>1</v>
      </c>
      <c r="B18" s="17" t="s">
        <v>133</v>
      </c>
      <c r="C18" s="17" t="s">
        <v>151</v>
      </c>
      <c r="D18" s="17">
        <v>5</v>
      </c>
      <c r="E18" s="17">
        <v>3.5</v>
      </c>
      <c r="F18" s="17" t="s">
        <v>167</v>
      </c>
      <c r="G18" s="11">
        <f t="shared" ref="G18:G19" si="1">D18*E18</f>
        <v>17.5</v>
      </c>
      <c r="H18" s="17"/>
    </row>
    <row r="19" spans="1:8" ht="31.5" x14ac:dyDescent="0.25">
      <c r="A19" s="10">
        <v>2</v>
      </c>
      <c r="B19" s="17" t="s">
        <v>134</v>
      </c>
      <c r="C19" s="17" t="s">
        <v>152</v>
      </c>
      <c r="D19" s="17">
        <v>5</v>
      </c>
      <c r="E19" s="17">
        <v>14</v>
      </c>
      <c r="F19" s="17" t="s">
        <v>168</v>
      </c>
      <c r="G19" s="11">
        <f t="shared" si="1"/>
        <v>70</v>
      </c>
      <c r="H19" s="17" t="s">
        <v>135</v>
      </c>
    </row>
    <row r="20" spans="1:8" x14ac:dyDescent="0.25">
      <c r="A20" s="25"/>
      <c r="B20" s="33"/>
      <c r="C20" s="34"/>
      <c r="D20" s="25"/>
      <c r="E20" s="25"/>
      <c r="F20" s="25"/>
      <c r="G20" s="25"/>
      <c r="H20" s="25"/>
    </row>
    <row r="21" spans="1:8" x14ac:dyDescent="0.25">
      <c r="A21" s="57" t="s">
        <v>55</v>
      </c>
      <c r="B21" s="57"/>
      <c r="C21" s="57"/>
      <c r="D21" s="57"/>
      <c r="E21" s="57"/>
      <c r="F21" s="57"/>
      <c r="G21" s="57"/>
      <c r="H21" s="57"/>
    </row>
    <row r="22" spans="1:8" x14ac:dyDescent="0.25">
      <c r="A22" s="10">
        <v>1</v>
      </c>
      <c r="B22" s="58" t="s">
        <v>56</v>
      </c>
      <c r="C22" s="58"/>
      <c r="D22" s="58"/>
      <c r="E22" s="58"/>
      <c r="F22" s="58"/>
      <c r="G22" s="58"/>
      <c r="H22" s="10" t="s">
        <v>136</v>
      </c>
    </row>
    <row r="23" spans="1:8" x14ac:dyDescent="0.25">
      <c r="A23" s="10">
        <v>2</v>
      </c>
      <c r="B23" s="58" t="s">
        <v>57</v>
      </c>
      <c r="C23" s="58"/>
      <c r="D23" s="58"/>
      <c r="E23" s="58"/>
      <c r="F23" s="58"/>
      <c r="G23" s="58"/>
      <c r="H23" s="10" t="s">
        <v>137</v>
      </c>
    </row>
    <row r="24" spans="1:8" x14ac:dyDescent="0.25">
      <c r="A24" s="10">
        <v>3</v>
      </c>
      <c r="B24" s="58" t="s">
        <v>58</v>
      </c>
      <c r="C24" s="58"/>
      <c r="D24" s="58"/>
      <c r="E24" s="58"/>
      <c r="F24" s="58"/>
      <c r="G24" s="58"/>
      <c r="H24" s="10" t="s">
        <v>138</v>
      </c>
    </row>
    <row r="25" spans="1:8" x14ac:dyDescent="0.25">
      <c r="A25" s="25"/>
      <c r="B25" s="34"/>
      <c r="C25" s="34"/>
      <c r="D25" s="34"/>
      <c r="E25" s="34"/>
      <c r="F25" s="34"/>
      <c r="G25" s="34"/>
      <c r="H25" s="31"/>
    </row>
    <row r="26" spans="1:8" x14ac:dyDescent="0.25">
      <c r="B26" s="32" t="str">
        <f>B2</f>
        <v xml:space="preserve">    Grid No:  </v>
      </c>
      <c r="F26" s="24" t="s">
        <v>74</v>
      </c>
      <c r="G26" s="24"/>
    </row>
    <row r="27" spans="1:8" x14ac:dyDescent="0.25">
      <c r="A27" s="57" t="s">
        <v>46</v>
      </c>
      <c r="B27" s="57" t="s">
        <v>47</v>
      </c>
      <c r="C27" s="57" t="s">
        <v>48</v>
      </c>
      <c r="D27" s="55" t="s">
        <v>49</v>
      </c>
      <c r="E27" s="57" t="s">
        <v>50</v>
      </c>
      <c r="F27" s="57" t="s">
        <v>51</v>
      </c>
      <c r="G27" s="57"/>
      <c r="H27" s="57" t="s">
        <v>52</v>
      </c>
    </row>
    <row r="28" spans="1:8" ht="63" x14ac:dyDescent="0.25">
      <c r="A28" s="57"/>
      <c r="B28" s="57"/>
      <c r="C28" s="57"/>
      <c r="D28" s="56"/>
      <c r="E28" s="57"/>
      <c r="F28" s="17" t="s">
        <v>53</v>
      </c>
      <c r="G28" s="17" t="s">
        <v>54</v>
      </c>
      <c r="H28" s="57"/>
    </row>
    <row r="29" spans="1:8" s="23" customFormat="1" ht="31.5" x14ac:dyDescent="0.25">
      <c r="A29" s="10">
        <v>1</v>
      </c>
      <c r="B29" s="35" t="s">
        <v>127</v>
      </c>
      <c r="C29" s="10" t="s">
        <v>148</v>
      </c>
      <c r="D29" s="10">
        <v>7</v>
      </c>
      <c r="E29" s="10">
        <v>3.5</v>
      </c>
      <c r="F29" s="10" t="s">
        <v>166</v>
      </c>
      <c r="G29" s="11">
        <f t="shared" ref="G29:G31" si="2">D29*E29</f>
        <v>24.5</v>
      </c>
      <c r="H29" s="10"/>
    </row>
    <row r="30" spans="1:8" s="23" customFormat="1" ht="31.5" x14ac:dyDescent="0.25">
      <c r="A30" s="10">
        <v>2</v>
      </c>
      <c r="B30" s="35" t="s">
        <v>139</v>
      </c>
      <c r="C30" s="10" t="s">
        <v>153</v>
      </c>
      <c r="D30" s="10">
        <v>2.2000000000000002</v>
      </c>
      <c r="E30" s="10">
        <v>1.8</v>
      </c>
      <c r="F30" s="10" t="s">
        <v>165</v>
      </c>
      <c r="G30" s="11">
        <f t="shared" si="2"/>
        <v>3.9600000000000004</v>
      </c>
      <c r="H30" s="10"/>
    </row>
    <row r="31" spans="1:8" s="23" customFormat="1" x14ac:dyDescent="0.25">
      <c r="A31" s="10">
        <v>3</v>
      </c>
      <c r="B31" s="35" t="s">
        <v>140</v>
      </c>
      <c r="C31" s="10" t="s">
        <v>154</v>
      </c>
      <c r="D31" s="10">
        <v>3.5</v>
      </c>
      <c r="E31" s="10">
        <v>2.8</v>
      </c>
      <c r="F31" s="10" t="s">
        <v>162</v>
      </c>
      <c r="G31" s="11">
        <f t="shared" si="2"/>
        <v>9.7999999999999989</v>
      </c>
      <c r="H31" s="10"/>
    </row>
    <row r="32" spans="1:8" x14ac:dyDescent="0.25">
      <c r="A32" s="25"/>
      <c r="B32" s="25"/>
      <c r="C32" s="25"/>
      <c r="D32" s="25"/>
      <c r="E32" s="25"/>
      <c r="F32" s="25"/>
      <c r="G32" s="25"/>
      <c r="H32" s="25"/>
    </row>
    <row r="33" spans="1:8" x14ac:dyDescent="0.25">
      <c r="B33" s="32" t="str">
        <f>B2</f>
        <v xml:space="preserve">    Grid No:  </v>
      </c>
      <c r="F33" s="59" t="s">
        <v>75</v>
      </c>
      <c r="G33" s="59"/>
      <c r="H33" s="59"/>
    </row>
    <row r="34" spans="1:8" x14ac:dyDescent="0.25">
      <c r="A34" s="55" t="s">
        <v>46</v>
      </c>
      <c r="B34" s="55" t="s">
        <v>47</v>
      </c>
      <c r="C34" s="55" t="s">
        <v>48</v>
      </c>
      <c r="D34" s="55" t="s">
        <v>49</v>
      </c>
      <c r="E34" s="55" t="s">
        <v>50</v>
      </c>
      <c r="F34" s="60" t="s">
        <v>51</v>
      </c>
      <c r="G34" s="61"/>
      <c r="H34" s="55" t="s">
        <v>52</v>
      </c>
    </row>
    <row r="35" spans="1:8" ht="63" x14ac:dyDescent="0.25">
      <c r="A35" s="56"/>
      <c r="B35" s="56"/>
      <c r="C35" s="56"/>
      <c r="D35" s="56"/>
      <c r="E35" s="56"/>
      <c r="F35" s="17" t="s">
        <v>53</v>
      </c>
      <c r="G35" s="17" t="s">
        <v>54</v>
      </c>
      <c r="H35" s="56"/>
    </row>
    <row r="36" spans="1:8" s="23" customFormat="1" x14ac:dyDescent="0.25">
      <c r="A36" s="36">
        <v>1</v>
      </c>
      <c r="B36" s="35" t="s">
        <v>139</v>
      </c>
      <c r="C36" s="10" t="s">
        <v>153</v>
      </c>
      <c r="D36" s="36">
        <v>3</v>
      </c>
      <c r="E36" s="37">
        <v>1</v>
      </c>
      <c r="F36" s="22" t="s">
        <v>164</v>
      </c>
      <c r="G36" s="11">
        <f t="shared" ref="G36:G37" si="3">D36*E36</f>
        <v>3</v>
      </c>
      <c r="H36" s="22"/>
    </row>
    <row r="37" spans="1:8" s="23" customFormat="1" x14ac:dyDescent="0.25">
      <c r="A37" s="36">
        <v>2</v>
      </c>
      <c r="B37" s="35" t="s">
        <v>140</v>
      </c>
      <c r="C37" s="10" t="s">
        <v>154</v>
      </c>
      <c r="D37" s="36">
        <v>2.2000000000000002</v>
      </c>
      <c r="E37" s="37">
        <v>1.8</v>
      </c>
      <c r="F37" s="22" t="s">
        <v>162</v>
      </c>
      <c r="G37" s="11">
        <f t="shared" si="3"/>
        <v>3.9600000000000004</v>
      </c>
      <c r="H37" s="22"/>
    </row>
  </sheetData>
  <mergeCells count="39">
    <mergeCell ref="H27:H28"/>
    <mergeCell ref="F33:H33"/>
    <mergeCell ref="A34:A35"/>
    <mergeCell ref="B34:B35"/>
    <mergeCell ref="C34:C35"/>
    <mergeCell ref="D34:D35"/>
    <mergeCell ref="E34:E35"/>
    <mergeCell ref="F34:G34"/>
    <mergeCell ref="H34:H35"/>
    <mergeCell ref="A27:A28"/>
    <mergeCell ref="B27:B28"/>
    <mergeCell ref="C27:C28"/>
    <mergeCell ref="D27:D28"/>
    <mergeCell ref="E27:E28"/>
    <mergeCell ref="F27:G27"/>
    <mergeCell ref="H16:H17"/>
    <mergeCell ref="A21:H21"/>
    <mergeCell ref="B22:G22"/>
    <mergeCell ref="B23:G23"/>
    <mergeCell ref="B24:G24"/>
    <mergeCell ref="A16:A17"/>
    <mergeCell ref="B16:B17"/>
    <mergeCell ref="C16:C17"/>
    <mergeCell ref="D16:D17"/>
    <mergeCell ref="E16:E17"/>
    <mergeCell ref="F16:G16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10:H10"/>
    <mergeCell ref="B11:G11"/>
    <mergeCell ref="B12:G12"/>
    <mergeCell ref="B13:G13"/>
  </mergeCells>
  <printOptions horizontalCentered="1"/>
  <pageMargins left="0.15748031496062992" right="0.23622047244094491" top="0.39370078740157483" bottom="0.27559055118110237" header="0.15748031496062992" footer="0.15748031496062992"/>
  <pageSetup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9"/>
  <sheetViews>
    <sheetView tabSelected="1" view="pageBreakPreview" zoomScale="85" zoomScaleNormal="85" zoomScaleSheetLayoutView="85" workbookViewId="0">
      <selection activeCell="D22" sqref="D22"/>
    </sheetView>
  </sheetViews>
  <sheetFormatPr defaultRowHeight="15.75" x14ac:dyDescent="0.25"/>
  <cols>
    <col min="1" max="1" width="6.5703125" style="12" customWidth="1"/>
    <col min="2" max="2" width="19.28515625" style="12" bestFit="1" customWidth="1"/>
    <col min="3" max="3" width="13.140625" style="27" bestFit="1" customWidth="1"/>
    <col min="4" max="4" width="9.140625" style="12"/>
    <col min="5" max="6" width="10.28515625" style="12" customWidth="1"/>
    <col min="7" max="7" width="18.28515625" style="12" customWidth="1"/>
    <col min="8" max="16384" width="9.140625" style="12"/>
  </cols>
  <sheetData>
    <row r="1" spans="1:7" x14ac:dyDescent="0.25">
      <c r="A1" s="53" t="s">
        <v>60</v>
      </c>
      <c r="B1" s="53"/>
      <c r="C1" s="53"/>
      <c r="D1" s="53"/>
      <c r="E1" s="53"/>
      <c r="F1" s="53"/>
      <c r="G1" s="53"/>
    </row>
    <row r="2" spans="1:7" x14ac:dyDescent="0.25">
      <c r="E2" s="54" t="s">
        <v>45</v>
      </c>
      <c r="F2" s="54"/>
      <c r="G2" s="54"/>
    </row>
    <row r="3" spans="1:7" x14ac:dyDescent="0.25">
      <c r="A3" s="57" t="s">
        <v>46</v>
      </c>
      <c r="B3" s="57" t="s">
        <v>47</v>
      </c>
      <c r="C3" s="52" t="s">
        <v>48</v>
      </c>
      <c r="D3" s="57" t="s">
        <v>61</v>
      </c>
      <c r="E3" s="57" t="s">
        <v>51</v>
      </c>
      <c r="F3" s="57"/>
      <c r="G3" s="57" t="s">
        <v>62</v>
      </c>
    </row>
    <row r="4" spans="1:7" ht="31.5" x14ac:dyDescent="0.25">
      <c r="A4" s="57"/>
      <c r="B4" s="57"/>
      <c r="C4" s="52"/>
      <c r="D4" s="57"/>
      <c r="E4" s="17" t="s">
        <v>63</v>
      </c>
      <c r="F4" s="17" t="s">
        <v>64</v>
      </c>
      <c r="G4" s="57"/>
    </row>
    <row r="5" spans="1:7" x14ac:dyDescent="0.25">
      <c r="A5" s="57"/>
      <c r="B5" s="57"/>
      <c r="C5" s="52"/>
      <c r="D5" s="57"/>
      <c r="E5" s="17" t="s">
        <v>65</v>
      </c>
      <c r="F5" s="17" t="s">
        <v>71</v>
      </c>
      <c r="G5" s="57"/>
    </row>
    <row r="6" spans="1:7" x14ac:dyDescent="0.25">
      <c r="A6" s="10">
        <v>1</v>
      </c>
      <c r="B6" s="17" t="s">
        <v>121</v>
      </c>
      <c r="C6" s="38" t="s">
        <v>155</v>
      </c>
      <c r="D6" s="17">
        <v>42</v>
      </c>
      <c r="E6" s="17" t="s">
        <v>161</v>
      </c>
      <c r="F6" s="17">
        <f>0.05*(D6)*(D6)</f>
        <v>88.2</v>
      </c>
      <c r="G6" s="17"/>
    </row>
    <row r="7" spans="1:7" x14ac:dyDescent="0.25">
      <c r="A7" s="10">
        <v>2</v>
      </c>
      <c r="B7" s="17" t="s">
        <v>122</v>
      </c>
      <c r="C7" s="38"/>
      <c r="D7" s="17">
        <v>34</v>
      </c>
      <c r="E7" s="17" t="s">
        <v>163</v>
      </c>
      <c r="F7" s="17">
        <f t="shared" ref="F7:F8" si="0">0.05*(D7)*(D7)</f>
        <v>57.800000000000004</v>
      </c>
      <c r="G7" s="17"/>
    </row>
    <row r="8" spans="1:7" x14ac:dyDescent="0.25">
      <c r="A8" s="10">
        <v>3</v>
      </c>
      <c r="B8" s="17" t="s">
        <v>123</v>
      </c>
      <c r="C8" s="38" t="s">
        <v>156</v>
      </c>
      <c r="D8" s="17">
        <v>40</v>
      </c>
      <c r="E8" s="17"/>
      <c r="F8" s="17">
        <f t="shared" si="0"/>
        <v>80</v>
      </c>
      <c r="G8" s="17"/>
    </row>
    <row r="9" spans="1:7" x14ac:dyDescent="0.25">
      <c r="A9" s="57" t="s">
        <v>55</v>
      </c>
      <c r="B9" s="57"/>
      <c r="C9" s="57"/>
      <c r="D9" s="57"/>
      <c r="E9" s="57"/>
      <c r="F9" s="57"/>
      <c r="G9" s="57"/>
    </row>
    <row r="10" spans="1:7" x14ac:dyDescent="0.25">
      <c r="A10" s="25"/>
      <c r="B10" s="31"/>
      <c r="C10" s="34"/>
      <c r="D10" s="25"/>
      <c r="E10" s="31"/>
      <c r="F10" s="31"/>
      <c r="G10" s="31"/>
    </row>
    <row r="11" spans="1:7" s="23" customFormat="1" x14ac:dyDescent="0.25">
      <c r="B11" s="39" t="s">
        <v>67</v>
      </c>
      <c r="C11" s="40"/>
      <c r="E11" s="53" t="s">
        <v>68</v>
      </c>
      <c r="F11" s="53"/>
      <c r="G11" s="53"/>
    </row>
    <row r="12" spans="1:7" x14ac:dyDescent="0.25">
      <c r="A12" s="57" t="s">
        <v>46</v>
      </c>
      <c r="B12" s="57" t="s">
        <v>47</v>
      </c>
      <c r="C12" s="62" t="s">
        <v>48</v>
      </c>
      <c r="D12" s="57" t="s">
        <v>61</v>
      </c>
      <c r="E12" s="57" t="s">
        <v>51</v>
      </c>
      <c r="F12" s="57"/>
      <c r="G12" s="57" t="s">
        <v>62</v>
      </c>
    </row>
    <row r="13" spans="1:7" ht="31.5" x14ac:dyDescent="0.25">
      <c r="A13" s="57"/>
      <c r="B13" s="57"/>
      <c r="C13" s="63"/>
      <c r="D13" s="57"/>
      <c r="E13" s="17" t="s">
        <v>63</v>
      </c>
      <c r="F13" s="17" t="s">
        <v>64</v>
      </c>
      <c r="G13" s="57"/>
    </row>
    <row r="14" spans="1:7" ht="31.5" x14ac:dyDescent="0.25">
      <c r="A14" s="57"/>
      <c r="B14" s="57"/>
      <c r="C14" s="64"/>
      <c r="D14" s="57"/>
      <c r="E14" s="17" t="s">
        <v>65</v>
      </c>
      <c r="F14" s="17" t="s">
        <v>66</v>
      </c>
      <c r="G14" s="57"/>
    </row>
    <row r="15" spans="1:7" s="23" customFormat="1" x14ac:dyDescent="0.25">
      <c r="A15" s="36">
        <v>1</v>
      </c>
      <c r="B15" s="22" t="s">
        <v>124</v>
      </c>
      <c r="C15" s="41"/>
      <c r="D15" s="36">
        <v>40</v>
      </c>
      <c r="E15" s="22" t="s">
        <v>160</v>
      </c>
      <c r="F15" s="17">
        <f t="shared" ref="F15:F17" si="1">0.05*(D15)*(D15)</f>
        <v>80</v>
      </c>
      <c r="G15" s="22"/>
    </row>
    <row r="16" spans="1:7" s="23" customFormat="1" x14ac:dyDescent="0.25">
      <c r="A16" s="36">
        <v>2</v>
      </c>
      <c r="B16" s="22" t="s">
        <v>125</v>
      </c>
      <c r="C16" s="41" t="s">
        <v>155</v>
      </c>
      <c r="D16" s="36">
        <v>33</v>
      </c>
      <c r="E16" s="22" t="s">
        <v>161</v>
      </c>
      <c r="F16" s="17">
        <f t="shared" si="1"/>
        <v>54.45</v>
      </c>
      <c r="G16" s="22"/>
    </row>
    <row r="17" spans="1:7" s="23" customFormat="1" x14ac:dyDescent="0.25">
      <c r="A17" s="36">
        <v>3</v>
      </c>
      <c r="B17" s="22" t="s">
        <v>114</v>
      </c>
      <c r="C17" s="41" t="s">
        <v>157</v>
      </c>
      <c r="D17" s="36">
        <v>82</v>
      </c>
      <c r="E17" s="22" t="s">
        <v>162</v>
      </c>
      <c r="F17" s="17">
        <f t="shared" si="1"/>
        <v>336.20000000000005</v>
      </c>
      <c r="G17" s="22"/>
    </row>
    <row r="18" spans="1:7" s="23" customFormat="1" x14ac:dyDescent="0.25">
      <c r="A18" s="36">
        <v>4</v>
      </c>
      <c r="B18" s="22" t="s">
        <v>114</v>
      </c>
      <c r="C18" s="41" t="s">
        <v>157</v>
      </c>
      <c r="D18" s="36">
        <v>100</v>
      </c>
      <c r="E18" s="22" t="s">
        <v>162</v>
      </c>
      <c r="F18" s="17" t="s">
        <v>159</v>
      </c>
      <c r="G18" s="22"/>
    </row>
    <row r="19" spans="1:7" s="23" customFormat="1" x14ac:dyDescent="0.25">
      <c r="A19" s="36">
        <v>5</v>
      </c>
      <c r="B19" s="22" t="s">
        <v>114</v>
      </c>
      <c r="C19" s="41" t="s">
        <v>157</v>
      </c>
      <c r="D19" s="36">
        <v>108</v>
      </c>
      <c r="E19" s="22"/>
      <c r="F19" s="17" t="s">
        <v>158</v>
      </c>
      <c r="G19" s="22"/>
    </row>
  </sheetData>
  <mergeCells count="16">
    <mergeCell ref="A9:G9"/>
    <mergeCell ref="E11:G11"/>
    <mergeCell ref="A12:A14"/>
    <mergeCell ref="B12:B14"/>
    <mergeCell ref="C12:C14"/>
    <mergeCell ref="D12:D14"/>
    <mergeCell ref="E12:F12"/>
    <mergeCell ref="G12:G14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3622047244094491" right="0.39370078740157483" top="0.31496062992125984" bottom="0.19685039370078741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Form 1</vt:lpstr>
      <vt:lpstr>Form II</vt:lpstr>
      <vt:lpstr>Sheet2</vt:lpstr>
      <vt:lpstr>Sheet3</vt:lpstr>
      <vt:lpstr>F-B</vt:lpstr>
      <vt:lpstr>Form C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2024-10-25T10:32:08Z</cp:lastPrinted>
  <dcterms:created xsi:type="dcterms:W3CDTF">2023-09-21T06:16:02Z</dcterms:created>
  <dcterms:modified xsi:type="dcterms:W3CDTF">2024-10-25T10:32:10Z</dcterms:modified>
</cp:coreProperties>
</file>