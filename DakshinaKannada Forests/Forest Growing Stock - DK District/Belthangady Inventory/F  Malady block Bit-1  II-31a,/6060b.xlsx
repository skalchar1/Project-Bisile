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Malady block Bit-1  II-31a\"/>
    </mc:Choice>
  </mc:AlternateContent>
  <xr:revisionPtr revIDLastSave="0" documentId="13_ncr:1_{EA3D7158-7149-4F7D-A780-135D9E09BF7B}" xr6:coauthVersionLast="47" xr6:coauthVersionMax="47" xr10:uidLastSave="{00000000-0000-0000-0000-000000000000}"/>
  <bookViews>
    <workbookView xWindow="1905" yWindow="1905" windowWidth="22140" windowHeight="13110" firstSheet="4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" i="8" l="1"/>
  <c r="G71" i="8"/>
  <c r="G70" i="8"/>
  <c r="G69" i="8"/>
  <c r="G45" i="8"/>
  <c r="G44" i="8"/>
  <c r="G43" i="8"/>
  <c r="G42" i="8"/>
  <c r="G41" i="8"/>
  <c r="G40" i="8"/>
  <c r="G39" i="8"/>
  <c r="G38" i="8"/>
  <c r="G7" i="8"/>
  <c r="G6" i="8"/>
  <c r="G5" i="8"/>
  <c r="F44" i="9"/>
  <c r="F43" i="9"/>
  <c r="F42" i="9"/>
  <c r="F41" i="9"/>
  <c r="F40" i="9"/>
  <c r="F39" i="9"/>
  <c r="F10" i="9"/>
  <c r="F9" i="9"/>
  <c r="F8" i="9"/>
  <c r="F7" i="9"/>
  <c r="F6" i="9"/>
  <c r="C5" i="5"/>
  <c r="C7" i="5"/>
  <c r="C8" i="5"/>
  <c r="C9" i="5"/>
  <c r="C10" i="5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12" i="6"/>
  <c r="B93" i="8"/>
  <c r="B66" i="8"/>
  <c r="B35" i="8"/>
</calcChain>
</file>

<file path=xl/sharedStrings.xml><?xml version="1.0" encoding="utf-8"?>
<sst xmlns="http://schemas.openxmlformats.org/spreadsheetml/2006/main" count="487" uniqueCount="327">
  <si>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</si>
  <si>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</si>
  <si>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</si>
  <si>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</si>
  <si>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</si>
  <si>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</si>
  <si>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</si>
  <si>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</si>
  <si>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</si>
  <si>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</si>
  <si>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</si>
  <si>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</si>
  <si>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</si>
  <si>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</si>
  <si>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</si>
  <si>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</si>
  <si>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</si>
  <si>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</si>
  <si>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</si>
  <si>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</si>
  <si>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</si>
  <si>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</si>
  <si>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</si>
  <si>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</si>
  <si>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</si>
  <si>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</si>
  <si>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</si>
  <si>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</si>
  <si>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</si>
  <si>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</si>
  <si>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</si>
  <si>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</si>
  <si>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</si>
  <si>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</si>
  <si>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</si>
  <si>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</si>
  <si>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</si>
  <si>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</si>
  <si>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</si>
  <si>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</si>
  <si>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</si>
  <si>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</si>
  <si>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</si>
  <si>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</si>
  <si>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</si>
  <si>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</si>
  <si>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</si>
  <si>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</si>
  <si>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</si>
  <si>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</si>
  <si>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</si>
  <si>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</si>
  <si>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</si>
  <si>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</si>
  <si>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</si>
  <si>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</si>
  <si>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</si>
  <si>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</si>
  <si>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</si>
  <si>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</si>
  <si>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</si>
  <si>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</si>
  <si>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</si>
  <si>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</si>
  <si>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</si>
  <si>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</si>
  <si>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</si>
  <si>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</si>
  <si>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</si>
  <si>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</si>
  <si>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</si>
  <si>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</si>
  <si>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</si>
  <si>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</si>
  <si>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</si>
  <si>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</si>
  <si>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</si>
  <si>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</si>
  <si>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</si>
  <si>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</si>
  <si>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</si>
  <si>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</si>
  <si>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</si>
  <si>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</si>
  <si>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</si>
  <si>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</si>
  <si>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</si>
  <si>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</si>
  <si>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</si>
  <si>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</si>
  <si>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</si>
  <si>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</si>
  <si>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</si>
  <si>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</si>
  <si>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</si>
  <si>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</si>
  <si>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</si>
  <si>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</si>
  <si>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</si>
  <si>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</si>
  <si>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</si>
  <si>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</si>
  <si>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</si>
  <si>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</si>
  <si>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</si>
  <si>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</si>
  <si>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</si>
  <si>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</si>
  <si>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</si>
  <si>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</si>
  <si>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</si>
  <si>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</si>
  <si>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</si>
  <si>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</si>
  <si>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</si>
  <si>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</si>
  <si>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</si>
  <si>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</si>
  <si>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</si>
  <si>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</si>
  <si>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</si>
  <si>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</si>
  <si>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</si>
  <si>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</si>
  <si>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</si>
  <si>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</si>
  <si>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</si>
  <si>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</si>
  <si>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</si>
  <si>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</si>
  <si>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</si>
  <si>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</si>
  <si>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</si>
  <si>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</si>
  <si>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</si>
  <si>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</si>
  <si>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</si>
  <si>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</si>
  <si>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</si>
  <si>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</si>
  <si>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</si>
  <si>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</si>
  <si>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</si>
  <si>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</si>
  <si>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</si>
  <si>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</si>
  <si>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</si>
  <si>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</si>
  <si>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</si>
  <si>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</si>
  <si>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</si>
  <si>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</si>
  <si>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</si>
  <si>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</si>
  <si>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</si>
  <si>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</si>
  <si>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</si>
  <si>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</si>
  <si>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</si>
  <si>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</si>
  <si>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</si>
  <si>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</si>
  <si>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</si>
  <si>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</si>
  <si>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</si>
  <si>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</si>
  <si>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</si>
  <si>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</si>
  <si>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</si>
  <si>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</si>
  <si>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</si>
  <si>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</si>
  <si>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</si>
  <si>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</si>
  <si>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</si>
  <si>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</si>
  <si>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</si>
  <si>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</si>
  <si>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</si>
  <si>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</si>
  <si>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</si>
  <si>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</si>
  <si>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</si>
  <si>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</si>
  <si>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</si>
  <si>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</si>
  <si>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</si>
  <si>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</si>
  <si>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</si>
  <si>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</si>
  <si>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</si>
  <si>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</si>
  <si>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</si>
  <si>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</si>
  <si>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</si>
  <si>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</si>
  <si>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</si>
  <si>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</si>
  <si>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</si>
  <si>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</si>
  <si>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</si>
  <si>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</si>
  <si>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</si>
  <si>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</si>
  <si>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</si>
  <si>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</si>
  <si>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</si>
  <si>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</si>
  <si>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</si>
  <si>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</si>
  <si>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</si>
  <si>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</si>
  <si>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</si>
  <si>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</si>
  <si>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</si>
  <si>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</si>
  <si>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</si>
  <si>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</si>
  <si>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</si>
  <si>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</si>
  <si>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</si>
  <si>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</si>
  <si>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</si>
  <si>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</si>
  <si>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</si>
  <si>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</si>
  <si>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</si>
  <si>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</si>
  <si>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</si>
  <si>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</si>
  <si>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</si>
  <si>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</si>
  <si>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</si>
  <si>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</si>
  <si>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</si>
  <si>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</si>
  <si>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</si>
  <si>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</si>
  <si>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</si>
  <si>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</si>
  <si>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</si>
  <si>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</si>
  <si>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</si>
  <si>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6060b</t>
  </si>
  <si>
    <t xml:space="preserve">Veteria indica , Acacia auriculiformis , Terminalia paniculata , Swietenia mohogony </t>
  </si>
  <si>
    <t>Tract - Flat</t>
  </si>
  <si>
    <t>Aspect - No aspect</t>
  </si>
  <si>
    <t>Canopy Dencity - 0.67</t>
  </si>
  <si>
    <t>Soil - Gravelly soil</t>
  </si>
  <si>
    <t>Grasses - Arundinella sp</t>
  </si>
  <si>
    <t>Weeds - Chromolaena odorata , Sida sp</t>
  </si>
  <si>
    <t>Bamboos - NIL</t>
  </si>
  <si>
    <t xml:space="preserve">Herbs - Ventilago sp </t>
  </si>
  <si>
    <t xml:space="preserve">Shrubs - Veteria indica , Pterocarpus marsupium </t>
  </si>
  <si>
    <t xml:space="preserve">Underwood species – Veteria indica </t>
  </si>
  <si>
    <t xml:space="preserve">Climbers - Pothos scandens </t>
  </si>
  <si>
    <t>Rattans –NIL</t>
  </si>
  <si>
    <t xml:space="preserve">NTFP yieding sps –Veteria indica </t>
  </si>
  <si>
    <t>Road and Plantation nearby</t>
  </si>
  <si>
    <t>Mildly</t>
  </si>
  <si>
    <t>1.5m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</si>
  <si>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</si>
  <si>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</si>
  <si>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</si>
  <si>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</si>
  <si>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</si>
  <si>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Gravelly</t>
  </si>
  <si>
    <t>Depth- Deep</t>
  </si>
  <si>
    <t>Permiability-Good</t>
  </si>
  <si>
    <r>
      <t>Heavy / Moderate /Mild /</t>
    </r>
    <r>
      <rPr>
        <b/>
        <sz val="12"/>
        <rFont val="Times New Roman"/>
        <family val="1"/>
      </rPr>
      <t>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</si>
  <si>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</si>
  <si>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</si>
  <si>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Fungi, Inscects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</si>
  <si>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</si>
  <si>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</si>
  <si>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</si>
  <si>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</si>
  <si>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</si>
  <si>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</si>
  <si>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</si>
  <si>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 xml:space="preserve">Swietenia mohogony </t>
  </si>
  <si>
    <t xml:space="preserve">Pterocarpus marsupium </t>
  </si>
  <si>
    <t xml:space="preserve">Mangifera indica </t>
  </si>
  <si>
    <t>Artocarpus hirusts</t>
  </si>
  <si>
    <t xml:space="preserve">Acacia auriculiformis </t>
  </si>
  <si>
    <t>Syzygium caryophyllateum</t>
  </si>
  <si>
    <t xml:space="preserve">Meyna laxiflora </t>
  </si>
  <si>
    <t xml:space="preserve">Chromolaena odorata </t>
  </si>
  <si>
    <t>Chromolaena odorata</t>
  </si>
  <si>
    <t>Habbullu</t>
  </si>
  <si>
    <t xml:space="preserve">Ziziphus oenoplia </t>
  </si>
  <si>
    <t>62g</t>
  </si>
  <si>
    <t>180g</t>
  </si>
  <si>
    <t>1.2Kg</t>
  </si>
  <si>
    <t>420g</t>
  </si>
  <si>
    <t>5Kg</t>
  </si>
  <si>
    <t>Aporosa lindleyana</t>
  </si>
  <si>
    <t>82g</t>
  </si>
  <si>
    <t>210g</t>
  </si>
  <si>
    <t>65g</t>
  </si>
  <si>
    <t>7.5Kg</t>
  </si>
  <si>
    <t xml:space="preserve">Getonia floribunda </t>
  </si>
  <si>
    <t xml:space="preserve">Caryota urens </t>
  </si>
  <si>
    <t>Belthangady</t>
  </si>
  <si>
    <t xml:space="preserve">Malady block Bit-1  </t>
  </si>
  <si>
    <t>II-31a</t>
  </si>
  <si>
    <t>438 ft</t>
  </si>
  <si>
    <t>Unknwon</t>
  </si>
  <si>
    <t>Trvel from Ujire  to Madabettu Bayalu     upto N 12.962094   E 75. 179437   by vehicle then travel in the bearing of  210  degree upto a distance of   100 m  to reach the grid.</t>
  </si>
  <si>
    <t xml:space="preserve">Swietenia mohogony , Pterocarpus marsupium , Artocarpus hirusts , Mangifera indica </t>
  </si>
  <si>
    <t>Mangalore Division</t>
  </si>
  <si>
    <t>Paragi</t>
  </si>
  <si>
    <t>Mahogony</t>
  </si>
  <si>
    <t>Salle</t>
  </si>
  <si>
    <t>Kumsa</t>
  </si>
  <si>
    <t>Baine</t>
  </si>
  <si>
    <t>Congress gida</t>
  </si>
  <si>
    <t>Oplismenus hirtellus</t>
  </si>
  <si>
    <t>flowers</t>
  </si>
  <si>
    <t>leaves</t>
  </si>
  <si>
    <t>oil</t>
  </si>
  <si>
    <t>edible fruits, leaevs</t>
  </si>
  <si>
    <t>edible stem</t>
  </si>
  <si>
    <t>pods</t>
  </si>
  <si>
    <t>fruits</t>
  </si>
  <si>
    <t>seeds</t>
  </si>
  <si>
    <t xml:space="preserve">fruit pulp, seed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</si>
</sst>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53" t="s">
        <v>310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303</v>
      </c>
    </row>
    <row r="6" spans="1:3" ht="39" customHeight="1" x14ac:dyDescent="0.25">
      <c r="A6" s="4">
        <v>2</v>
      </c>
      <c r="B6" s="50" t="s">
        <v>7</v>
      </c>
      <c r="C6" s="8" t="s">
        <v>304</v>
      </c>
    </row>
    <row r="7" spans="1:3" ht="39" customHeight="1" x14ac:dyDescent="0.25">
      <c r="A7" s="4">
        <v>3</v>
      </c>
      <c r="B7" s="50" t="s">
        <v>8</v>
      </c>
      <c r="C7" s="8" t="s">
        <v>305</v>
      </c>
    </row>
    <row r="8" spans="1:3" ht="39" customHeight="1" x14ac:dyDescent="0.25">
      <c r="A8" s="4">
        <v>4</v>
      </c>
      <c r="B8" s="50" t="s">
        <v>9</v>
      </c>
      <c r="C8" s="8" t="s">
        <v>243</v>
      </c>
    </row>
    <row r="9" spans="1:3" ht="39" customHeight="1" x14ac:dyDescent="0.25">
      <c r="A9" s="4">
        <v>5</v>
      </c>
      <c r="B9" s="50" t="s">
        <v>10</v>
      </c>
      <c r="C9" s="9">
        <v>12.961295</v>
      </c>
    </row>
    <row r="10" spans="1:3" ht="39" customHeight="1" x14ac:dyDescent="0.25">
      <c r="A10" s="4">
        <v>6</v>
      </c>
      <c r="B10" s="50" t="s">
        <v>11</v>
      </c>
      <c r="C10" s="9">
        <v>75.180723999999998</v>
      </c>
    </row>
    <row r="11" spans="1:3" ht="141.75" customHeight="1" x14ac:dyDescent="0.25">
      <c r="A11" s="4">
        <v>7</v>
      </c>
      <c r="B11" s="50" t="s">
        <v>12</v>
      </c>
      <c r="C11" s="52" t="s">
        <v>308</v>
      </c>
    </row>
    <row r="12" spans="1:3" ht="98.25" customHeight="1" x14ac:dyDescent="0.25">
      <c r="A12" s="4">
        <v>8</v>
      </c>
      <c r="B12" s="50" t="s">
        <v>13</v>
      </c>
      <c r="C12" s="10" t="s">
        <v>244</v>
      </c>
    </row>
    <row r="13" spans="1:3" ht="32.25" customHeight="1" x14ac:dyDescent="0.25">
      <c r="A13" s="55">
        <v>9</v>
      </c>
      <c r="B13" s="56" t="s">
        <v>14</v>
      </c>
      <c r="C13" s="6" t="s">
        <v>245</v>
      </c>
    </row>
    <row r="14" spans="1:3" ht="32.25" customHeight="1" x14ac:dyDescent="0.25">
      <c r="A14" s="55"/>
      <c r="B14" s="56"/>
      <c r="C14" s="6" t="s">
        <v>246</v>
      </c>
    </row>
    <row r="15" spans="1:3" ht="32.25" customHeight="1" x14ac:dyDescent="0.25">
      <c r="A15" s="55"/>
      <c r="B15" s="56"/>
      <c r="C15" s="6" t="s">
        <v>247</v>
      </c>
    </row>
    <row r="16" spans="1:3" ht="32.25" customHeight="1" x14ac:dyDescent="0.25">
      <c r="A16" s="55"/>
      <c r="B16" s="56"/>
      <c r="C16" s="6" t="s">
        <v>248</v>
      </c>
    </row>
    <row r="17" spans="1:3" ht="32.25" customHeight="1" x14ac:dyDescent="0.25">
      <c r="A17" s="55"/>
      <c r="B17" s="56"/>
      <c r="C17" s="6" t="s">
        <v>249</v>
      </c>
    </row>
    <row r="18" spans="1:3" ht="32.25" customHeight="1" x14ac:dyDescent="0.25">
      <c r="A18" s="55"/>
      <c r="B18" s="56"/>
      <c r="C18" s="6" t="s">
        <v>250</v>
      </c>
    </row>
    <row r="19" spans="1:3" ht="32.25" customHeight="1" x14ac:dyDescent="0.25">
      <c r="A19" s="55"/>
      <c r="B19" s="56"/>
      <c r="C19" s="6" t="s">
        <v>251</v>
      </c>
    </row>
    <row r="20" spans="1:3" ht="57.75" customHeight="1" x14ac:dyDescent="0.25">
      <c r="A20" s="55"/>
      <c r="B20" s="56"/>
      <c r="C20" s="6" t="s">
        <v>252</v>
      </c>
    </row>
    <row r="21" spans="1:3" ht="63" customHeight="1" x14ac:dyDescent="0.25">
      <c r="A21" s="55"/>
      <c r="B21" s="56"/>
      <c r="C21" s="6" t="s">
        <v>253</v>
      </c>
    </row>
    <row r="22" spans="1:3" ht="63" customHeight="1" x14ac:dyDescent="0.25">
      <c r="A22" s="55"/>
      <c r="B22" s="56"/>
      <c r="C22" s="6" t="s">
        <v>254</v>
      </c>
    </row>
    <row r="23" spans="1:3" ht="63" customHeight="1" x14ac:dyDescent="0.25">
      <c r="A23" s="55"/>
      <c r="B23" s="56"/>
      <c r="C23" s="6" t="s">
        <v>255</v>
      </c>
    </row>
    <row r="24" spans="1:3" ht="63" customHeight="1" x14ac:dyDescent="0.25">
      <c r="A24" s="55"/>
      <c r="B24" s="56"/>
      <c r="C24" s="6" t="s">
        <v>256</v>
      </c>
    </row>
    <row r="25" spans="1:3" ht="63" customHeight="1" x14ac:dyDescent="0.25">
      <c r="A25" s="55"/>
      <c r="B25" s="56"/>
      <c r="C25" s="6" t="s">
        <v>257</v>
      </c>
    </row>
    <row r="26" spans="1:3" ht="49.5" customHeight="1" x14ac:dyDescent="0.25">
      <c r="A26" s="4">
        <v>10</v>
      </c>
      <c r="B26" s="50" t="s">
        <v>15</v>
      </c>
      <c r="C26" s="6" t="s">
        <v>258</v>
      </c>
    </row>
    <row r="27" spans="1:3" ht="53.25" customHeight="1" x14ac:dyDescent="0.25">
      <c r="A27" s="4">
        <v>11</v>
      </c>
      <c r="B27" s="50" t="s">
        <v>16</v>
      </c>
      <c r="C27" s="6" t="s">
        <v>259</v>
      </c>
    </row>
    <row r="28" spans="1:3" s="13" customFormat="1" ht="51" customHeight="1" x14ac:dyDescent="0.25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25">
      <c r="A29" s="17">
        <v>13</v>
      </c>
      <c r="B29" s="51" t="s">
        <v>219</v>
      </c>
      <c r="C29" s="12" t="s">
        <v>260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53" t="s">
        <v>310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224</v>
      </c>
      <c r="C6" s="19"/>
    </row>
    <row r="7" spans="1:3" ht="32.25" customHeight="1" x14ac:dyDescent="0.25">
      <c r="A7" s="11">
        <v>3</v>
      </c>
      <c r="B7" s="51" t="s">
        <v>220</v>
      </c>
      <c r="C7" s="19" t="str">
        <f>'Form 1'!C6</f>
        <v xml:space="preserve">Malady block Bit-1  </v>
      </c>
    </row>
    <row r="8" spans="1:3" ht="32.25" customHeight="1" x14ac:dyDescent="0.25">
      <c r="A8" s="11">
        <v>4</v>
      </c>
      <c r="B8" s="51" t="s">
        <v>9</v>
      </c>
      <c r="C8" s="19" t="str">
        <f>'Form 1'!C8</f>
        <v>6060b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12.961295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75.180723999999998</v>
      </c>
    </row>
    <row r="11" spans="1:3" ht="32.25" customHeight="1" x14ac:dyDescent="0.25">
      <c r="A11" s="11">
        <v>7</v>
      </c>
      <c r="B11" s="51" t="s">
        <v>22</v>
      </c>
      <c r="C11" s="19" t="s">
        <v>306</v>
      </c>
    </row>
    <row r="12" spans="1:3" ht="43.5" customHeight="1" x14ac:dyDescent="0.25">
      <c r="A12" s="11">
        <v>8</v>
      </c>
      <c r="B12" s="51" t="s">
        <v>23</v>
      </c>
      <c r="C12" s="19" t="s">
        <v>261</v>
      </c>
    </row>
    <row r="13" spans="1:3" ht="43.5" customHeight="1" x14ac:dyDescent="0.25">
      <c r="A13" s="11">
        <v>9</v>
      </c>
      <c r="B13" s="51" t="s">
        <v>24</v>
      </c>
      <c r="C13" s="19" t="s">
        <v>262</v>
      </c>
    </row>
    <row r="14" spans="1:3" ht="38.25" customHeight="1" x14ac:dyDescent="0.25">
      <c r="A14" s="11">
        <v>10</v>
      </c>
      <c r="B14" s="51" t="s">
        <v>25</v>
      </c>
      <c r="C14" s="19" t="s">
        <v>263</v>
      </c>
    </row>
    <row r="15" spans="1:3" ht="25.5" customHeight="1" x14ac:dyDescent="0.25">
      <c r="A15" s="11">
        <v>11</v>
      </c>
      <c r="B15" s="51" t="s">
        <v>26</v>
      </c>
      <c r="C15" s="21" t="s">
        <v>264</v>
      </c>
    </row>
    <row r="16" spans="1:3" ht="37.5" customHeight="1" x14ac:dyDescent="0.25">
      <c r="A16" s="11">
        <v>12</v>
      </c>
      <c r="B16" s="51" t="s">
        <v>27</v>
      </c>
      <c r="C16" s="21" t="s">
        <v>265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8">
        <v>14</v>
      </c>
      <c r="B18" s="59" t="s">
        <v>30</v>
      </c>
      <c r="C18" s="21" t="s">
        <v>266</v>
      </c>
    </row>
    <row r="19" spans="1:3" ht="30.75" customHeight="1" x14ac:dyDescent="0.25">
      <c r="A19" s="58"/>
      <c r="B19" s="59"/>
      <c r="C19" s="21" t="s">
        <v>267</v>
      </c>
    </row>
    <row r="20" spans="1:3" ht="30.75" customHeight="1" x14ac:dyDescent="0.25">
      <c r="A20" s="58"/>
      <c r="B20" s="59"/>
      <c r="C20" s="22" t="s">
        <v>268</v>
      </c>
    </row>
    <row r="21" spans="1:3" ht="36" customHeight="1" x14ac:dyDescent="0.25">
      <c r="A21" s="11">
        <v>15</v>
      </c>
      <c r="B21" s="51" t="s">
        <v>31</v>
      </c>
      <c r="C21" s="21" t="s">
        <v>269</v>
      </c>
    </row>
    <row r="22" spans="1:3" ht="54.75" customHeight="1" x14ac:dyDescent="0.25">
      <c r="A22" s="11">
        <v>16</v>
      </c>
      <c r="B22" s="51" t="s">
        <v>32</v>
      </c>
      <c r="C22" s="21" t="s">
        <v>309</v>
      </c>
    </row>
    <row r="23" spans="1:3" ht="15.75" x14ac:dyDescent="0.25">
      <c r="A23" s="11">
        <v>17</v>
      </c>
      <c r="B23" s="51" t="s">
        <v>221</v>
      </c>
      <c r="C23" s="21" t="s">
        <v>270</v>
      </c>
    </row>
    <row r="24" spans="1:3" ht="35.25" customHeight="1" x14ac:dyDescent="0.25">
      <c r="A24" s="11">
        <v>18</v>
      </c>
      <c r="B24" s="51" t="s">
        <v>33</v>
      </c>
      <c r="C24" s="21" t="s">
        <v>271</v>
      </c>
    </row>
    <row r="25" spans="1:3" ht="72.75" customHeight="1" x14ac:dyDescent="0.25">
      <c r="A25" s="11">
        <v>19</v>
      </c>
      <c r="B25" s="51" t="s">
        <v>34</v>
      </c>
      <c r="C25" s="21" t="s">
        <v>272</v>
      </c>
    </row>
    <row r="26" spans="1:3" ht="30" customHeight="1" x14ac:dyDescent="0.25">
      <c r="A26" s="11">
        <v>20</v>
      </c>
      <c r="B26" s="51" t="s">
        <v>35</v>
      </c>
      <c r="C26" s="22" t="s">
        <v>273</v>
      </c>
    </row>
    <row r="27" spans="1:3" ht="30" customHeight="1" x14ac:dyDescent="0.25">
      <c r="A27" s="11">
        <v>21</v>
      </c>
      <c r="B27" s="51" t="s">
        <v>36</v>
      </c>
      <c r="C27" s="21" t="s">
        <v>274</v>
      </c>
    </row>
    <row r="28" spans="1:3" ht="30" customHeight="1" x14ac:dyDescent="0.25">
      <c r="A28" s="11">
        <v>22</v>
      </c>
      <c r="B28" s="51" t="s">
        <v>37</v>
      </c>
      <c r="C28" s="21" t="s">
        <v>275</v>
      </c>
    </row>
    <row r="29" spans="1:3" ht="32.25" customHeight="1" x14ac:dyDescent="0.25">
      <c r="A29" s="11">
        <v>23</v>
      </c>
      <c r="B29" s="51" t="s">
        <v>38</v>
      </c>
      <c r="C29" s="21" t="s">
        <v>276</v>
      </c>
    </row>
    <row r="30" spans="1:3" ht="62.25" customHeight="1" x14ac:dyDescent="0.25">
      <c r="A30" s="11">
        <v>24</v>
      </c>
      <c r="B30" s="51" t="s">
        <v>39</v>
      </c>
      <c r="C30" s="21" t="s">
        <v>277</v>
      </c>
    </row>
    <row r="31" spans="1:3" ht="72.75" customHeight="1" x14ac:dyDescent="0.25">
      <c r="A31" s="11">
        <v>25</v>
      </c>
      <c r="B31" s="51" t="s">
        <v>40</v>
      </c>
      <c r="C31" s="21" t="s">
        <v>277</v>
      </c>
    </row>
    <row r="32" spans="1:3" ht="60" customHeight="1" x14ac:dyDescent="0.25">
      <c r="A32" s="11">
        <v>26</v>
      </c>
      <c r="B32" s="51" t="s">
        <v>41</v>
      </c>
      <c r="C32" s="21" t="s">
        <v>277</v>
      </c>
    </row>
    <row r="33" spans="1:3" ht="60" customHeight="1" x14ac:dyDescent="0.25">
      <c r="A33" s="11">
        <v>27</v>
      </c>
      <c r="B33" s="51" t="s">
        <v>42</v>
      </c>
      <c r="C33" s="19" t="s">
        <v>278</v>
      </c>
    </row>
    <row r="34" spans="1:3" ht="57.75" customHeight="1" x14ac:dyDescent="0.25">
      <c r="A34" s="11">
        <v>28</v>
      </c>
      <c r="B34" s="51" t="s">
        <v>43</v>
      </c>
      <c r="C34" s="21" t="s">
        <v>277</v>
      </c>
    </row>
    <row r="35" spans="1:3" ht="59.25" customHeight="1" x14ac:dyDescent="0.25">
      <c r="A35" s="11">
        <v>29</v>
      </c>
      <c r="B35" s="51" t="s">
        <v>44</v>
      </c>
      <c r="C35" s="21" t="s">
        <v>277</v>
      </c>
    </row>
    <row r="36" spans="1:3" ht="66" customHeight="1" x14ac:dyDescent="0.25">
      <c r="A36" s="11">
        <v>30</v>
      </c>
      <c r="B36" s="51" t="s">
        <v>225</v>
      </c>
      <c r="C36" s="21" t="s">
        <v>279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3"/>
  <sheetViews>
    <sheetView view="pageBreakPreview" zoomScale="60" zoomScaleNormal="70" workbookViewId="0">
      <selection activeCell="E18" sqref="E18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5" t="s">
        <v>240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226</v>
      </c>
    </row>
    <row r="9" spans="1:20" s="24" customFormat="1" ht="40.5" customHeight="1" x14ac:dyDescent="0.25">
      <c r="A9" s="65"/>
      <c r="B9" s="55" t="s">
        <v>71</v>
      </c>
      <c r="C9" s="55" t="s">
        <v>72</v>
      </c>
      <c r="D9" s="55" t="s">
        <v>231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4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f>ROW()-11</f>
        <v>1</v>
      </c>
      <c r="B12" s="23" t="s">
        <v>280</v>
      </c>
      <c r="C12" s="23"/>
      <c r="D12" s="23">
        <v>120</v>
      </c>
      <c r="E12" s="23"/>
      <c r="F12" s="23"/>
      <c r="G12" s="23"/>
      <c r="H12" s="23"/>
      <c r="I12" s="23">
        <v>8</v>
      </c>
      <c r="J12" s="23">
        <v>10</v>
      </c>
      <c r="K12" s="23">
        <f>L12+M12+R12</f>
        <v>12.8</v>
      </c>
      <c r="L12" s="23">
        <v>7</v>
      </c>
      <c r="M12" s="23">
        <v>4</v>
      </c>
      <c r="N12" s="23"/>
      <c r="O12" s="23"/>
      <c r="P12" s="23"/>
      <c r="Q12" s="23"/>
      <c r="R12" s="23">
        <v>1.8</v>
      </c>
      <c r="S12" s="23"/>
      <c r="T12" s="23"/>
    </row>
    <row r="13" spans="1:20" ht="40.5" customHeight="1" x14ac:dyDescent="0.25">
      <c r="A13" s="23">
        <f t="shared" ref="A13:A33" si="0">ROW()-11</f>
        <v>2</v>
      </c>
      <c r="B13" s="23" t="s">
        <v>281</v>
      </c>
      <c r="C13" s="23"/>
      <c r="D13" s="23">
        <v>94</v>
      </c>
      <c r="E13" s="23"/>
      <c r="F13" s="23"/>
      <c r="G13" s="23"/>
      <c r="H13" s="23"/>
      <c r="I13" s="23">
        <v>6</v>
      </c>
      <c r="J13" s="23">
        <v>5.5</v>
      </c>
      <c r="K13" s="23">
        <f t="shared" ref="K13:K33" si="1">L13+M13+R13</f>
        <v>10.5</v>
      </c>
      <c r="L13" s="23">
        <v>4</v>
      </c>
      <c r="M13" s="23">
        <v>3.5</v>
      </c>
      <c r="N13" s="23"/>
      <c r="O13" s="23"/>
      <c r="P13" s="23"/>
      <c r="Q13" s="23"/>
      <c r="R13" s="23">
        <v>3</v>
      </c>
      <c r="S13" s="23"/>
      <c r="T13" s="23"/>
    </row>
    <row r="14" spans="1:20" ht="40.5" customHeight="1" x14ac:dyDescent="0.25">
      <c r="A14" s="23">
        <f t="shared" si="0"/>
        <v>3</v>
      </c>
      <c r="B14" s="23" t="s">
        <v>282</v>
      </c>
      <c r="C14" s="23"/>
      <c r="D14" s="23">
        <v>51</v>
      </c>
      <c r="E14" s="23"/>
      <c r="F14" s="23"/>
      <c r="G14" s="23"/>
      <c r="H14" s="23"/>
      <c r="I14" s="23">
        <v>6</v>
      </c>
      <c r="J14" s="23">
        <v>5.5</v>
      </c>
      <c r="K14" s="23">
        <f t="shared" si="1"/>
        <v>12</v>
      </c>
      <c r="L14" s="23">
        <v>3</v>
      </c>
      <c r="M14" s="23">
        <v>4</v>
      </c>
      <c r="N14" s="23"/>
      <c r="O14" s="23"/>
      <c r="P14" s="23"/>
      <c r="Q14" s="23"/>
      <c r="R14" s="23">
        <v>5</v>
      </c>
      <c r="S14" s="23"/>
      <c r="T14" s="23"/>
    </row>
    <row r="15" spans="1:20" ht="40.5" customHeight="1" x14ac:dyDescent="0.25">
      <c r="A15" s="23">
        <f t="shared" si="0"/>
        <v>4</v>
      </c>
      <c r="B15" s="23" t="s">
        <v>307</v>
      </c>
      <c r="C15" s="23"/>
      <c r="D15" s="23">
        <v>68</v>
      </c>
      <c r="E15" s="23"/>
      <c r="F15" s="23"/>
      <c r="G15" s="23"/>
      <c r="H15" s="23"/>
      <c r="I15" s="23">
        <v>0</v>
      </c>
      <c r="J15" s="23">
        <v>0</v>
      </c>
      <c r="K15" s="23">
        <f t="shared" si="1"/>
        <v>0</v>
      </c>
      <c r="L15" s="23">
        <v>0</v>
      </c>
      <c r="M15" s="23">
        <v>0</v>
      </c>
      <c r="N15" s="23"/>
      <c r="O15" s="23"/>
      <c r="P15" s="23"/>
      <c r="Q15" s="23"/>
      <c r="R15" s="23">
        <v>0</v>
      </c>
      <c r="S15" s="23"/>
      <c r="T15" s="23"/>
    </row>
    <row r="16" spans="1:20" ht="40.5" customHeight="1" x14ac:dyDescent="0.25">
      <c r="A16" s="23">
        <f t="shared" si="0"/>
        <v>5</v>
      </c>
      <c r="B16" s="23" t="s">
        <v>281</v>
      </c>
      <c r="C16" s="23"/>
      <c r="D16" s="23">
        <v>125</v>
      </c>
      <c r="E16" s="23"/>
      <c r="F16" s="23"/>
      <c r="G16" s="23"/>
      <c r="H16" s="23"/>
      <c r="I16" s="23">
        <v>7</v>
      </c>
      <c r="J16" s="23">
        <v>5</v>
      </c>
      <c r="K16" s="23">
        <f t="shared" si="1"/>
        <v>15</v>
      </c>
      <c r="L16" s="23">
        <v>4</v>
      </c>
      <c r="M16" s="23">
        <v>3</v>
      </c>
      <c r="N16" s="23"/>
      <c r="O16" s="23"/>
      <c r="P16" s="23"/>
      <c r="Q16" s="23"/>
      <c r="R16" s="23">
        <v>8</v>
      </c>
      <c r="S16" s="23"/>
      <c r="T16" s="23"/>
    </row>
    <row r="17" spans="1:20" ht="40.5" customHeight="1" x14ac:dyDescent="0.25">
      <c r="A17" s="23">
        <f t="shared" si="0"/>
        <v>6</v>
      </c>
      <c r="B17" s="23" t="s">
        <v>280</v>
      </c>
      <c r="C17" s="23"/>
      <c r="D17" s="23">
        <v>128</v>
      </c>
      <c r="E17" s="23"/>
      <c r="F17" s="23"/>
      <c r="G17" s="23"/>
      <c r="H17" s="23"/>
      <c r="I17" s="23">
        <v>6</v>
      </c>
      <c r="J17" s="23">
        <v>7</v>
      </c>
      <c r="K17" s="23">
        <f t="shared" si="1"/>
        <v>16</v>
      </c>
      <c r="L17" s="23">
        <v>4</v>
      </c>
      <c r="M17" s="23">
        <v>5</v>
      </c>
      <c r="N17" s="23"/>
      <c r="O17" s="23"/>
      <c r="P17" s="23"/>
      <c r="Q17" s="23"/>
      <c r="R17" s="23">
        <v>7</v>
      </c>
      <c r="S17" s="23"/>
      <c r="T17" s="23"/>
    </row>
    <row r="18" spans="1:20" ht="40.5" customHeight="1" x14ac:dyDescent="0.25">
      <c r="A18" s="23">
        <f t="shared" si="0"/>
        <v>7</v>
      </c>
      <c r="B18" s="23" t="s">
        <v>281</v>
      </c>
      <c r="C18" s="23"/>
      <c r="D18" s="23">
        <v>58</v>
      </c>
      <c r="E18" s="23"/>
      <c r="F18" s="23"/>
      <c r="G18" s="23"/>
      <c r="H18" s="23"/>
      <c r="I18" s="23">
        <v>6</v>
      </c>
      <c r="J18" s="23">
        <v>5.5</v>
      </c>
      <c r="K18" s="23">
        <f t="shared" si="1"/>
        <v>14</v>
      </c>
      <c r="L18" s="23">
        <v>5</v>
      </c>
      <c r="M18" s="23">
        <v>3</v>
      </c>
      <c r="N18" s="23"/>
      <c r="O18" s="23"/>
      <c r="P18" s="23"/>
      <c r="Q18" s="23"/>
      <c r="R18" s="23">
        <v>6</v>
      </c>
      <c r="S18" s="23"/>
      <c r="T18" s="23"/>
    </row>
    <row r="19" spans="1:20" ht="40.5" customHeight="1" x14ac:dyDescent="0.25">
      <c r="A19" s="23">
        <f t="shared" si="0"/>
        <v>8</v>
      </c>
      <c r="B19" s="23" t="s">
        <v>282</v>
      </c>
      <c r="C19" s="23"/>
      <c r="D19" s="23">
        <v>32</v>
      </c>
      <c r="E19" s="23"/>
      <c r="F19" s="23"/>
      <c r="G19" s="23"/>
      <c r="H19" s="23"/>
      <c r="I19" s="23">
        <v>3</v>
      </c>
      <c r="J19" s="23">
        <v>2.5</v>
      </c>
      <c r="K19" s="23">
        <f t="shared" si="1"/>
        <v>4.5</v>
      </c>
      <c r="L19" s="23">
        <v>1</v>
      </c>
      <c r="M19" s="23">
        <v>2</v>
      </c>
      <c r="N19" s="23"/>
      <c r="O19" s="23"/>
      <c r="P19" s="23"/>
      <c r="Q19" s="23"/>
      <c r="R19" s="23">
        <v>1.5</v>
      </c>
      <c r="S19" s="23"/>
      <c r="T19" s="23"/>
    </row>
    <row r="20" spans="1:20" ht="40.5" customHeight="1" x14ac:dyDescent="0.25">
      <c r="A20" s="23">
        <f t="shared" si="0"/>
        <v>9</v>
      </c>
      <c r="B20" s="23" t="s">
        <v>283</v>
      </c>
      <c r="C20" s="23"/>
      <c r="D20" s="23">
        <v>108</v>
      </c>
      <c r="E20" s="23"/>
      <c r="F20" s="23"/>
      <c r="G20" s="23"/>
      <c r="H20" s="23"/>
      <c r="I20" s="23">
        <v>6</v>
      </c>
      <c r="J20" s="23">
        <v>5.5</v>
      </c>
      <c r="K20" s="23">
        <f t="shared" si="1"/>
        <v>15</v>
      </c>
      <c r="L20" s="23">
        <v>4</v>
      </c>
      <c r="M20" s="23">
        <v>3</v>
      </c>
      <c r="N20" s="23"/>
      <c r="O20" s="23"/>
      <c r="P20" s="23"/>
      <c r="Q20" s="23"/>
      <c r="R20" s="23">
        <v>8</v>
      </c>
      <c r="S20" s="23"/>
      <c r="T20" s="23"/>
    </row>
    <row r="21" spans="1:20" ht="40.5" customHeight="1" x14ac:dyDescent="0.25">
      <c r="A21" s="23">
        <f t="shared" si="0"/>
        <v>10</v>
      </c>
      <c r="B21" s="23" t="s">
        <v>284</v>
      </c>
      <c r="C21" s="23"/>
      <c r="D21" s="23">
        <v>175</v>
      </c>
      <c r="E21" s="23"/>
      <c r="F21" s="23"/>
      <c r="G21" s="23"/>
      <c r="H21" s="23"/>
      <c r="I21" s="23">
        <v>7</v>
      </c>
      <c r="J21" s="23">
        <v>10</v>
      </c>
      <c r="K21" s="23">
        <f t="shared" si="1"/>
        <v>14.1</v>
      </c>
      <c r="L21" s="23">
        <v>8</v>
      </c>
      <c r="M21" s="23">
        <v>4</v>
      </c>
      <c r="N21" s="23"/>
      <c r="O21" s="23"/>
      <c r="P21" s="23"/>
      <c r="Q21" s="23"/>
      <c r="R21" s="23">
        <v>2.1</v>
      </c>
      <c r="S21" s="23"/>
      <c r="T21" s="23"/>
    </row>
    <row r="22" spans="1:20" ht="40.5" customHeight="1" x14ac:dyDescent="0.25">
      <c r="A22" s="23">
        <f t="shared" si="0"/>
        <v>11</v>
      </c>
      <c r="B22" s="23" t="s">
        <v>280</v>
      </c>
      <c r="C22" s="23"/>
      <c r="D22" s="23">
        <v>63</v>
      </c>
      <c r="E22" s="23"/>
      <c r="F22" s="23"/>
      <c r="G22" s="23"/>
      <c r="H22" s="23"/>
      <c r="I22" s="23">
        <v>4</v>
      </c>
      <c r="J22" s="23">
        <v>6.5</v>
      </c>
      <c r="K22" s="23">
        <f t="shared" si="1"/>
        <v>12</v>
      </c>
      <c r="L22" s="23">
        <v>4</v>
      </c>
      <c r="M22" s="23">
        <v>5</v>
      </c>
      <c r="N22" s="23"/>
      <c r="O22" s="23"/>
      <c r="P22" s="23"/>
      <c r="Q22" s="23"/>
      <c r="R22" s="23">
        <v>3</v>
      </c>
      <c r="S22" s="23"/>
      <c r="T22" s="23"/>
    </row>
    <row r="23" spans="1:20" ht="40.5" customHeight="1" x14ac:dyDescent="0.25">
      <c r="A23" s="23">
        <f t="shared" si="0"/>
        <v>12</v>
      </c>
      <c r="B23" s="23" t="s">
        <v>282</v>
      </c>
      <c r="C23" s="23"/>
      <c r="D23" s="23">
        <v>49</v>
      </c>
      <c r="E23" s="23"/>
      <c r="F23" s="23"/>
      <c r="G23" s="23"/>
      <c r="H23" s="23"/>
      <c r="I23" s="23">
        <v>3</v>
      </c>
      <c r="J23" s="23">
        <v>5.5</v>
      </c>
      <c r="K23" s="23">
        <f t="shared" si="1"/>
        <v>8.4</v>
      </c>
      <c r="L23" s="23">
        <v>3</v>
      </c>
      <c r="M23" s="23">
        <v>4</v>
      </c>
      <c r="N23" s="23"/>
      <c r="O23" s="23"/>
      <c r="P23" s="23"/>
      <c r="Q23" s="23"/>
      <c r="R23" s="23">
        <v>1.4</v>
      </c>
      <c r="S23" s="23"/>
      <c r="T23" s="23"/>
    </row>
    <row r="24" spans="1:20" ht="40.5" customHeight="1" x14ac:dyDescent="0.25">
      <c r="A24" s="23">
        <f t="shared" si="0"/>
        <v>13</v>
      </c>
      <c r="B24" s="23" t="s">
        <v>281</v>
      </c>
      <c r="C24" s="23"/>
      <c r="D24" s="23">
        <v>128</v>
      </c>
      <c r="E24" s="23"/>
      <c r="F24" s="23"/>
      <c r="G24" s="23"/>
      <c r="H24" s="23"/>
      <c r="I24" s="23">
        <v>7</v>
      </c>
      <c r="J24" s="23">
        <v>8</v>
      </c>
      <c r="K24" s="23">
        <f t="shared" si="1"/>
        <v>12</v>
      </c>
      <c r="L24" s="23">
        <v>6</v>
      </c>
      <c r="M24" s="23">
        <v>4</v>
      </c>
      <c r="N24" s="23"/>
      <c r="O24" s="23"/>
      <c r="P24" s="23"/>
      <c r="Q24" s="23"/>
      <c r="R24" s="23">
        <v>2</v>
      </c>
      <c r="S24" s="23"/>
      <c r="T24" s="23"/>
    </row>
    <row r="25" spans="1:20" ht="40.5" customHeight="1" x14ac:dyDescent="0.25">
      <c r="A25" s="23">
        <f t="shared" si="0"/>
        <v>14</v>
      </c>
      <c r="B25" s="23" t="s">
        <v>307</v>
      </c>
      <c r="C25" s="23"/>
      <c r="D25" s="23">
        <v>46</v>
      </c>
      <c r="E25" s="23"/>
      <c r="F25" s="23"/>
      <c r="G25" s="23"/>
      <c r="H25" s="23"/>
      <c r="I25" s="23">
        <v>0</v>
      </c>
      <c r="J25" s="23">
        <v>0</v>
      </c>
      <c r="K25" s="23">
        <f t="shared" si="1"/>
        <v>0</v>
      </c>
      <c r="L25" s="23">
        <v>0</v>
      </c>
      <c r="M25" s="23">
        <v>0</v>
      </c>
      <c r="N25" s="23"/>
      <c r="O25" s="23"/>
      <c r="P25" s="23"/>
      <c r="Q25" s="23"/>
      <c r="R25" s="23">
        <v>0</v>
      </c>
      <c r="S25" s="23"/>
      <c r="T25" s="23"/>
    </row>
    <row r="26" spans="1:20" ht="40.5" customHeight="1" x14ac:dyDescent="0.25">
      <c r="A26" s="23">
        <f t="shared" si="0"/>
        <v>15</v>
      </c>
      <c r="B26" s="23" t="s">
        <v>307</v>
      </c>
      <c r="C26" s="23"/>
      <c r="D26" s="23">
        <v>41</v>
      </c>
      <c r="E26" s="23"/>
      <c r="F26" s="23"/>
      <c r="G26" s="23"/>
      <c r="H26" s="23"/>
      <c r="I26" s="23">
        <v>0</v>
      </c>
      <c r="J26" s="23">
        <v>0</v>
      </c>
      <c r="K26" s="23">
        <f t="shared" si="1"/>
        <v>0</v>
      </c>
      <c r="L26" s="23">
        <v>0</v>
      </c>
      <c r="M26" s="23">
        <v>0</v>
      </c>
      <c r="N26" s="23"/>
      <c r="O26" s="23"/>
      <c r="P26" s="23"/>
      <c r="Q26" s="23"/>
      <c r="R26" s="23">
        <v>0</v>
      </c>
      <c r="S26" s="23"/>
      <c r="T26" s="23"/>
    </row>
    <row r="27" spans="1:20" ht="40.5" customHeight="1" x14ac:dyDescent="0.25">
      <c r="A27" s="23">
        <f t="shared" si="0"/>
        <v>16</v>
      </c>
      <c r="B27" s="23" t="s">
        <v>281</v>
      </c>
      <c r="C27" s="23"/>
      <c r="D27" s="23">
        <v>46</v>
      </c>
      <c r="E27" s="23"/>
      <c r="F27" s="23"/>
      <c r="G27" s="23"/>
      <c r="H27" s="23"/>
      <c r="I27" s="23">
        <v>7</v>
      </c>
      <c r="J27" s="23">
        <v>6</v>
      </c>
      <c r="K27" s="23">
        <f t="shared" si="1"/>
        <v>14</v>
      </c>
      <c r="L27" s="23">
        <v>4</v>
      </c>
      <c r="M27" s="23">
        <v>5</v>
      </c>
      <c r="N27" s="23"/>
      <c r="O27" s="23"/>
      <c r="P27" s="23"/>
      <c r="Q27" s="23"/>
      <c r="R27" s="23">
        <v>5</v>
      </c>
      <c r="S27" s="23"/>
      <c r="T27" s="23"/>
    </row>
    <row r="28" spans="1:20" ht="40.5" customHeight="1" x14ac:dyDescent="0.25">
      <c r="A28" s="23">
        <f t="shared" si="0"/>
        <v>17</v>
      </c>
      <c r="B28" s="23" t="s">
        <v>281</v>
      </c>
      <c r="C28" s="23"/>
      <c r="D28" s="23">
        <v>97</v>
      </c>
      <c r="E28" s="23"/>
      <c r="F28" s="23"/>
      <c r="G28" s="23"/>
      <c r="H28" s="23"/>
      <c r="I28" s="23">
        <v>4</v>
      </c>
      <c r="J28" s="23">
        <v>6</v>
      </c>
      <c r="K28" s="23">
        <f t="shared" si="1"/>
        <v>13.5</v>
      </c>
      <c r="L28" s="23">
        <v>6</v>
      </c>
      <c r="M28" s="23">
        <v>5</v>
      </c>
      <c r="N28" s="23"/>
      <c r="O28" s="23"/>
      <c r="P28" s="23"/>
      <c r="Q28" s="23"/>
      <c r="R28" s="23">
        <v>2.5</v>
      </c>
      <c r="S28" s="23"/>
      <c r="T28" s="23"/>
    </row>
    <row r="29" spans="1:20" ht="40.5" customHeight="1" x14ac:dyDescent="0.25">
      <c r="A29" s="23">
        <f t="shared" si="0"/>
        <v>18</v>
      </c>
      <c r="B29" s="23" t="s">
        <v>281</v>
      </c>
      <c r="C29" s="23"/>
      <c r="D29" s="23">
        <v>84</v>
      </c>
      <c r="E29" s="23"/>
      <c r="F29" s="23"/>
      <c r="G29" s="23"/>
      <c r="H29" s="23"/>
      <c r="I29" s="23">
        <v>5</v>
      </c>
      <c r="J29" s="23">
        <v>4.5</v>
      </c>
      <c r="K29" s="23">
        <f t="shared" si="1"/>
        <v>13</v>
      </c>
      <c r="L29" s="23">
        <v>4</v>
      </c>
      <c r="M29" s="23">
        <v>3</v>
      </c>
      <c r="N29" s="23"/>
      <c r="O29" s="23"/>
      <c r="P29" s="23"/>
      <c r="Q29" s="23"/>
      <c r="R29" s="23">
        <v>6</v>
      </c>
      <c r="S29" s="23"/>
      <c r="T29" s="23"/>
    </row>
    <row r="30" spans="1:20" ht="40.5" customHeight="1" x14ac:dyDescent="0.25">
      <c r="A30" s="23">
        <f t="shared" si="0"/>
        <v>19</v>
      </c>
      <c r="B30" s="23" t="s">
        <v>285</v>
      </c>
      <c r="C30" s="23"/>
      <c r="D30" s="23">
        <v>54</v>
      </c>
      <c r="E30" s="23"/>
      <c r="F30" s="23"/>
      <c r="G30" s="23"/>
      <c r="H30" s="23"/>
      <c r="I30" s="23">
        <v>4</v>
      </c>
      <c r="J30" s="23">
        <v>3.5</v>
      </c>
      <c r="K30" s="23">
        <f t="shared" si="1"/>
        <v>10</v>
      </c>
      <c r="L30" s="23">
        <v>4</v>
      </c>
      <c r="M30" s="23">
        <v>3</v>
      </c>
      <c r="N30" s="23"/>
      <c r="O30" s="23"/>
      <c r="P30" s="23"/>
      <c r="Q30" s="23"/>
      <c r="R30" s="23">
        <v>3</v>
      </c>
      <c r="S30" s="23"/>
      <c r="T30" s="23"/>
    </row>
    <row r="31" spans="1:20" ht="40.5" customHeight="1" x14ac:dyDescent="0.25">
      <c r="A31" s="23">
        <f t="shared" si="0"/>
        <v>20</v>
      </c>
      <c r="B31" s="23" t="s">
        <v>280</v>
      </c>
      <c r="C31" s="23"/>
      <c r="D31" s="23">
        <v>120</v>
      </c>
      <c r="E31" s="23"/>
      <c r="F31" s="23"/>
      <c r="G31" s="23"/>
      <c r="H31" s="23"/>
      <c r="I31" s="23">
        <v>6</v>
      </c>
      <c r="J31" s="23">
        <v>5.5</v>
      </c>
      <c r="K31" s="23">
        <f t="shared" si="1"/>
        <v>15</v>
      </c>
      <c r="L31" s="23">
        <v>3</v>
      </c>
      <c r="M31" s="23">
        <v>3</v>
      </c>
      <c r="N31" s="23"/>
      <c r="O31" s="23"/>
      <c r="P31" s="23"/>
      <c r="Q31" s="23"/>
      <c r="R31" s="23">
        <v>9</v>
      </c>
      <c r="S31" s="23"/>
      <c r="T31" s="23"/>
    </row>
    <row r="32" spans="1:20" ht="40.5" customHeight="1" x14ac:dyDescent="0.25">
      <c r="A32" s="23">
        <f t="shared" si="0"/>
        <v>21</v>
      </c>
      <c r="B32" s="23" t="s">
        <v>282</v>
      </c>
      <c r="C32" s="23"/>
      <c r="D32" s="23">
        <v>42</v>
      </c>
      <c r="E32" s="23"/>
      <c r="F32" s="23"/>
      <c r="G32" s="23"/>
      <c r="H32" s="23"/>
      <c r="I32" s="23">
        <v>3</v>
      </c>
      <c r="J32" s="23">
        <v>3.5</v>
      </c>
      <c r="K32" s="23">
        <f t="shared" si="1"/>
        <v>9</v>
      </c>
      <c r="L32" s="23">
        <v>2</v>
      </c>
      <c r="M32" s="23">
        <v>3</v>
      </c>
      <c r="N32" s="23"/>
      <c r="O32" s="23"/>
      <c r="P32" s="23"/>
      <c r="Q32" s="23"/>
      <c r="R32" s="23">
        <v>4</v>
      </c>
      <c r="S32" s="23"/>
      <c r="T32" s="23"/>
    </row>
    <row r="33" spans="1:20" ht="40.5" customHeight="1" x14ac:dyDescent="0.25">
      <c r="A33" s="23">
        <f t="shared" si="0"/>
        <v>22</v>
      </c>
      <c r="B33" s="23" t="s">
        <v>280</v>
      </c>
      <c r="C33" s="23"/>
      <c r="D33" s="23">
        <v>132</v>
      </c>
      <c r="E33" s="23"/>
      <c r="F33" s="23"/>
      <c r="G33" s="23"/>
      <c r="H33" s="23"/>
      <c r="I33" s="23">
        <v>4</v>
      </c>
      <c r="J33" s="23">
        <v>4.5</v>
      </c>
      <c r="K33" s="23">
        <f t="shared" si="1"/>
        <v>13</v>
      </c>
      <c r="L33" s="23">
        <v>3</v>
      </c>
      <c r="M33" s="23">
        <v>4</v>
      </c>
      <c r="N33" s="23"/>
      <c r="O33" s="23"/>
      <c r="P33" s="23"/>
      <c r="Q33" s="23"/>
      <c r="R33" s="23">
        <v>6</v>
      </c>
      <c r="S33" s="23"/>
      <c r="T33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8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8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6" customFormat="1" ht="24.75" customHeight="1" x14ac:dyDescent="0.25">
      <c r="A10" s="54" t="s">
        <v>120</v>
      </c>
      <c r="B10" s="54"/>
      <c r="C10" s="55" t="s">
        <v>121</v>
      </c>
      <c r="D10" s="55" t="s">
        <v>232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6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6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="60" workbookViewId="0">
      <selection activeCell="D12" sqref="D12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7" customFormat="1" ht="24.75" customHeight="1" x14ac:dyDescent="0.25">
      <c r="B2" s="28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7" t="s">
        <v>173</v>
      </c>
      <c r="G4" s="17" t="s">
        <v>174</v>
      </c>
      <c r="H4" s="75"/>
    </row>
    <row r="5" spans="1:8" ht="29.25" customHeight="1" x14ac:dyDescent="0.25">
      <c r="A5" s="11">
        <v>1</v>
      </c>
      <c r="B5" s="12" t="s">
        <v>290</v>
      </c>
      <c r="C5" s="12" t="s">
        <v>311</v>
      </c>
      <c r="D5" s="12">
        <v>3.5</v>
      </c>
      <c r="E5" s="12">
        <v>6</v>
      </c>
      <c r="F5" s="12" t="s">
        <v>324</v>
      </c>
      <c r="G5" s="12">
        <f>D5*E5</f>
        <v>21</v>
      </c>
      <c r="H5" s="12"/>
    </row>
    <row r="6" spans="1:8" ht="29.25" customHeight="1" x14ac:dyDescent="0.25">
      <c r="A6" s="11">
        <v>2</v>
      </c>
      <c r="B6" s="12" t="s">
        <v>280</v>
      </c>
      <c r="C6" s="12" t="s">
        <v>312</v>
      </c>
      <c r="D6" s="12">
        <v>4.2</v>
      </c>
      <c r="E6" s="12">
        <v>2.8</v>
      </c>
      <c r="F6" s="12"/>
      <c r="G6" s="12">
        <f t="shared" ref="G6:G7" si="0">D6*E6</f>
        <v>11.76</v>
      </c>
      <c r="H6" s="12"/>
    </row>
    <row r="7" spans="1:8" ht="29.25" customHeight="1" x14ac:dyDescent="0.25">
      <c r="A7" s="11">
        <v>3</v>
      </c>
      <c r="B7" s="12" t="s">
        <v>280</v>
      </c>
      <c r="C7" s="12" t="s">
        <v>312</v>
      </c>
      <c r="D7" s="12">
        <v>3.5</v>
      </c>
      <c r="E7" s="12">
        <v>3</v>
      </c>
      <c r="F7" s="89" t="s">
        <v>326</v>
      </c>
      <c r="G7" s="12">
        <f t="shared" si="0"/>
        <v>10.5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4" t="s">
        <v>291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4" t="s">
        <v>292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4" t="s">
        <v>293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4" t="s">
        <v>294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4" t="s">
        <v>295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7" t="s">
        <v>173</v>
      </c>
      <c r="G37" s="17" t="s">
        <v>174</v>
      </c>
      <c r="H37" s="72"/>
    </row>
    <row r="38" spans="1:8" ht="36" customHeight="1" x14ac:dyDescent="0.25">
      <c r="A38" s="11">
        <v>1</v>
      </c>
      <c r="B38" s="17" t="s">
        <v>280</v>
      </c>
      <c r="C38" s="17" t="s">
        <v>312</v>
      </c>
      <c r="D38" s="17">
        <v>7</v>
      </c>
      <c r="E38" s="17">
        <v>4</v>
      </c>
      <c r="F38" s="89" t="s">
        <v>326</v>
      </c>
      <c r="G38" s="12">
        <f t="shared" ref="G38:G45" si="1">D38*E38</f>
        <v>28</v>
      </c>
      <c r="H38" s="17"/>
    </row>
    <row r="39" spans="1:8" ht="36" customHeight="1" x14ac:dyDescent="0.25">
      <c r="A39" s="11">
        <v>2</v>
      </c>
      <c r="B39" s="17" t="s">
        <v>280</v>
      </c>
      <c r="C39" s="17" t="s">
        <v>312</v>
      </c>
      <c r="D39" s="17">
        <v>4</v>
      </c>
      <c r="E39" s="17">
        <v>3.2</v>
      </c>
      <c r="F39" s="17"/>
      <c r="G39" s="12">
        <f t="shared" si="1"/>
        <v>12.8</v>
      </c>
      <c r="H39" s="17"/>
    </row>
    <row r="40" spans="1:8" ht="36" customHeight="1" x14ac:dyDescent="0.25">
      <c r="A40" s="11">
        <v>3</v>
      </c>
      <c r="B40" s="17" t="s">
        <v>280</v>
      </c>
      <c r="C40" s="17" t="s">
        <v>312</v>
      </c>
      <c r="D40" s="17">
        <v>3.5</v>
      </c>
      <c r="E40" s="17">
        <v>5</v>
      </c>
      <c r="F40" s="17"/>
      <c r="G40" s="12">
        <f t="shared" si="1"/>
        <v>17.5</v>
      </c>
      <c r="H40" s="17"/>
    </row>
    <row r="41" spans="1:8" ht="36" customHeight="1" x14ac:dyDescent="0.25">
      <c r="A41" s="11">
        <v>4</v>
      </c>
      <c r="B41" s="17" t="s">
        <v>280</v>
      </c>
      <c r="C41" s="17" t="s">
        <v>312</v>
      </c>
      <c r="D41" s="17">
        <v>6</v>
      </c>
      <c r="E41" s="17">
        <v>4</v>
      </c>
      <c r="F41" s="89" t="s">
        <v>326</v>
      </c>
      <c r="G41" s="12">
        <f t="shared" si="1"/>
        <v>24</v>
      </c>
      <c r="H41" s="17"/>
    </row>
    <row r="42" spans="1:8" ht="36" customHeight="1" x14ac:dyDescent="0.25">
      <c r="A42" s="11">
        <v>5</v>
      </c>
      <c r="B42" s="17" t="s">
        <v>280</v>
      </c>
      <c r="C42" s="17" t="s">
        <v>312</v>
      </c>
      <c r="D42" s="17">
        <v>5</v>
      </c>
      <c r="E42" s="17">
        <v>3.5</v>
      </c>
      <c r="F42" s="17"/>
      <c r="G42" s="12">
        <f t="shared" si="1"/>
        <v>17.5</v>
      </c>
      <c r="H42" s="17"/>
    </row>
    <row r="43" spans="1:8" ht="36" customHeight="1" x14ac:dyDescent="0.25">
      <c r="A43" s="11">
        <v>6</v>
      </c>
      <c r="B43" s="17" t="s">
        <v>280</v>
      </c>
      <c r="C43" s="17" t="s">
        <v>312</v>
      </c>
      <c r="D43" s="17">
        <v>4</v>
      </c>
      <c r="E43" s="17">
        <v>3</v>
      </c>
      <c r="F43" s="17"/>
      <c r="G43" s="12">
        <f t="shared" si="1"/>
        <v>12</v>
      </c>
      <c r="H43" s="17"/>
    </row>
    <row r="44" spans="1:8" ht="36" customHeight="1" x14ac:dyDescent="0.25">
      <c r="A44" s="11">
        <v>7</v>
      </c>
      <c r="B44" s="17" t="s">
        <v>280</v>
      </c>
      <c r="C44" s="17" t="s">
        <v>312</v>
      </c>
      <c r="D44" s="17">
        <v>5</v>
      </c>
      <c r="E44" s="17">
        <v>4</v>
      </c>
      <c r="F44" s="17"/>
      <c r="G44" s="12">
        <f t="shared" si="1"/>
        <v>20</v>
      </c>
      <c r="H44" s="17"/>
    </row>
    <row r="45" spans="1:8" ht="36" customHeight="1" x14ac:dyDescent="0.25">
      <c r="A45" s="11">
        <v>8</v>
      </c>
      <c r="B45" s="17" t="s">
        <v>296</v>
      </c>
      <c r="C45" s="17" t="s">
        <v>313</v>
      </c>
      <c r="D45" s="17">
        <v>4</v>
      </c>
      <c r="E45" s="17">
        <v>3.5</v>
      </c>
      <c r="F45" s="17" t="s">
        <v>325</v>
      </c>
      <c r="G45" s="12">
        <f t="shared" si="1"/>
        <v>14</v>
      </c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297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298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>
        <v>0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299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300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7" t="s">
        <v>173</v>
      </c>
      <c r="G68" s="17" t="s">
        <v>174</v>
      </c>
      <c r="H68" s="72"/>
    </row>
    <row r="69" spans="1:8" s="27" customFormat="1" ht="41.25" customHeight="1" x14ac:dyDescent="0.25">
      <c r="A69" s="11">
        <v>1</v>
      </c>
      <c r="B69" s="39" t="s">
        <v>284</v>
      </c>
      <c r="C69" s="11"/>
      <c r="D69" s="11">
        <v>5</v>
      </c>
      <c r="E69" s="11">
        <v>4</v>
      </c>
      <c r="F69" s="11" t="s">
        <v>323</v>
      </c>
      <c r="G69" s="12">
        <f t="shared" ref="G69:G71" si="2">D69*E69</f>
        <v>20</v>
      </c>
      <c r="H69" s="11"/>
    </row>
    <row r="70" spans="1:8" s="27" customFormat="1" ht="41.25" customHeight="1" x14ac:dyDescent="0.25">
      <c r="A70" s="11">
        <v>2</v>
      </c>
      <c r="B70" s="39" t="s">
        <v>290</v>
      </c>
      <c r="C70" s="11" t="s">
        <v>311</v>
      </c>
      <c r="D70" s="11">
        <v>4</v>
      </c>
      <c r="E70" s="11">
        <v>3</v>
      </c>
      <c r="F70" s="11" t="s">
        <v>324</v>
      </c>
      <c r="G70" s="12">
        <f t="shared" si="2"/>
        <v>12</v>
      </c>
      <c r="H70" s="11"/>
    </row>
    <row r="71" spans="1:8" s="27" customFormat="1" ht="41.25" customHeight="1" x14ac:dyDescent="0.25">
      <c r="A71" s="11">
        <v>3</v>
      </c>
      <c r="B71" s="39" t="s">
        <v>301</v>
      </c>
      <c r="C71" s="11" t="s">
        <v>314</v>
      </c>
      <c r="D71" s="11">
        <v>3</v>
      </c>
      <c r="E71" s="11">
        <v>2</v>
      </c>
      <c r="F71" s="11" t="s">
        <v>318</v>
      </c>
      <c r="G71" s="12">
        <f t="shared" si="2"/>
        <v>6</v>
      </c>
      <c r="H71" s="11"/>
    </row>
    <row r="72" spans="1:8" s="27" customFormat="1" ht="41.25" customHeight="1" x14ac:dyDescent="0.25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25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3" t="s">
        <v>242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7" t="s">
        <v>173</v>
      </c>
      <c r="G95" s="17" t="s">
        <v>174</v>
      </c>
      <c r="H95" s="75"/>
    </row>
    <row r="96" spans="1:8" s="27" customFormat="1" ht="39" customHeight="1" x14ac:dyDescent="0.25">
      <c r="A96" s="40">
        <v>1</v>
      </c>
      <c r="B96" s="39" t="s">
        <v>302</v>
      </c>
      <c r="C96" s="11" t="s">
        <v>315</v>
      </c>
      <c r="D96" s="40">
        <v>3.5</v>
      </c>
      <c r="E96" s="41">
        <v>1.8</v>
      </c>
      <c r="F96" s="22" t="s">
        <v>322</v>
      </c>
      <c r="G96" s="12">
        <f>D96*E96</f>
        <v>6.3</v>
      </c>
      <c r="H96" s="22"/>
    </row>
    <row r="97" spans="1:8" s="27" customFormat="1" ht="39" customHeight="1" x14ac:dyDescent="0.25">
      <c r="A97" s="40">
        <v>2</v>
      </c>
      <c r="B97" s="39"/>
      <c r="C97" s="11"/>
      <c r="D97" s="40"/>
      <c r="E97" s="41"/>
      <c r="F97" s="22"/>
      <c r="G97" s="22"/>
      <c r="H97" s="22"/>
    </row>
    <row r="98" spans="1:8" s="27" customFormat="1" ht="39" customHeight="1" x14ac:dyDescent="0.25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25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C8" sqref="C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7" t="s">
        <v>187</v>
      </c>
      <c r="F4" s="17" t="s">
        <v>188</v>
      </c>
      <c r="G4" s="72"/>
    </row>
    <row r="5" spans="1:7" ht="45.6" customHeight="1" x14ac:dyDescent="0.25">
      <c r="A5" s="72"/>
      <c r="B5" s="72"/>
      <c r="C5" s="59"/>
      <c r="D5" s="72"/>
      <c r="E5" s="17" t="s">
        <v>189</v>
      </c>
      <c r="F5" s="17" t="s">
        <v>222</v>
      </c>
      <c r="G5" s="72"/>
    </row>
    <row r="6" spans="1:7" ht="45.6" customHeight="1" x14ac:dyDescent="0.25">
      <c r="A6" s="11">
        <v>1</v>
      </c>
      <c r="B6" s="17" t="s">
        <v>286</v>
      </c>
      <c r="C6" s="44"/>
      <c r="D6" s="17">
        <v>45</v>
      </c>
      <c r="E6" s="17" t="s">
        <v>321</v>
      </c>
      <c r="F6" s="17">
        <f>0.05*(D6)*(D6)</f>
        <v>101.25</v>
      </c>
      <c r="G6" s="17"/>
    </row>
    <row r="7" spans="1:7" ht="45.6" customHeight="1" x14ac:dyDescent="0.25">
      <c r="A7" s="11">
        <v>2</v>
      </c>
      <c r="B7" s="17" t="s">
        <v>287</v>
      </c>
      <c r="C7" s="44" t="s">
        <v>316</v>
      </c>
      <c r="D7" s="17">
        <v>15</v>
      </c>
      <c r="E7" s="17" t="s">
        <v>319</v>
      </c>
      <c r="F7" s="17">
        <f t="shared" ref="F7:F10" si="0">0.05*(D7)*(D7)</f>
        <v>11.25</v>
      </c>
      <c r="G7" s="17"/>
    </row>
    <row r="8" spans="1:7" ht="45.6" customHeight="1" x14ac:dyDescent="0.25">
      <c r="A8" s="11">
        <v>3</v>
      </c>
      <c r="B8" s="17" t="s">
        <v>287</v>
      </c>
      <c r="C8" s="44" t="s">
        <v>316</v>
      </c>
      <c r="D8" s="17">
        <v>20</v>
      </c>
      <c r="E8" s="17"/>
      <c r="F8" s="17">
        <f t="shared" si="0"/>
        <v>20</v>
      </c>
      <c r="G8" s="17"/>
    </row>
    <row r="9" spans="1:7" ht="45.6" customHeight="1" x14ac:dyDescent="0.25">
      <c r="A9" s="11">
        <v>4</v>
      </c>
      <c r="B9" s="17" t="s">
        <v>287</v>
      </c>
      <c r="C9" s="44" t="s">
        <v>316</v>
      </c>
      <c r="D9" s="17">
        <v>25</v>
      </c>
      <c r="E9" s="17"/>
      <c r="F9" s="17">
        <f t="shared" si="0"/>
        <v>31.25</v>
      </c>
      <c r="G9" s="17"/>
    </row>
    <row r="10" spans="1:7" ht="45.6" customHeight="1" x14ac:dyDescent="0.25">
      <c r="A10" s="11">
        <v>5</v>
      </c>
      <c r="B10" s="17" t="s">
        <v>287</v>
      </c>
      <c r="C10" s="44" t="s">
        <v>316</v>
      </c>
      <c r="D10" s="17">
        <v>13</v>
      </c>
      <c r="E10" s="17"/>
      <c r="F10" s="17">
        <f t="shared" si="0"/>
        <v>8.4500000000000011</v>
      </c>
      <c r="G10" s="17"/>
    </row>
    <row r="11" spans="1:7" ht="45.6" customHeight="1" x14ac:dyDescent="0.25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25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7" t="s">
        <v>187</v>
      </c>
      <c r="F37" s="17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7" t="s">
        <v>189</v>
      </c>
      <c r="F38" s="17" t="s">
        <v>190</v>
      </c>
      <c r="G38" s="72"/>
    </row>
    <row r="39" spans="1:7" s="27" customFormat="1" ht="45.6" customHeight="1" x14ac:dyDescent="0.25">
      <c r="A39" s="40">
        <v>1</v>
      </c>
      <c r="B39" s="22" t="s">
        <v>280</v>
      </c>
      <c r="C39" s="47" t="s">
        <v>312</v>
      </c>
      <c r="D39" s="40">
        <v>15</v>
      </c>
      <c r="E39" s="22" t="s">
        <v>318</v>
      </c>
      <c r="F39" s="17">
        <f t="shared" ref="F39:F44" si="1">0.05*(D39)*(D39)</f>
        <v>11.25</v>
      </c>
      <c r="G39" s="22"/>
    </row>
    <row r="40" spans="1:7" s="27" customFormat="1" ht="45.6" customHeight="1" x14ac:dyDescent="0.25">
      <c r="A40" s="40">
        <v>2</v>
      </c>
      <c r="B40" s="22" t="s">
        <v>288</v>
      </c>
      <c r="C40" s="47" t="s">
        <v>316</v>
      </c>
      <c r="D40" s="40">
        <v>45</v>
      </c>
      <c r="E40" s="22" t="s">
        <v>319</v>
      </c>
      <c r="F40" s="17">
        <f t="shared" si="1"/>
        <v>101.25</v>
      </c>
      <c r="G40" s="22"/>
    </row>
    <row r="41" spans="1:7" s="27" customFormat="1" ht="45.6" customHeight="1" x14ac:dyDescent="0.25">
      <c r="A41" s="40">
        <v>3</v>
      </c>
      <c r="B41" s="22" t="s">
        <v>317</v>
      </c>
      <c r="C41" s="22" t="s">
        <v>289</v>
      </c>
      <c r="D41" s="40">
        <v>18</v>
      </c>
      <c r="E41" s="22" t="s">
        <v>319</v>
      </c>
      <c r="F41" s="17">
        <f t="shared" si="1"/>
        <v>16.2</v>
      </c>
      <c r="G41" s="22"/>
    </row>
    <row r="42" spans="1:7" s="27" customFormat="1" ht="45.6" customHeight="1" x14ac:dyDescent="0.25">
      <c r="A42" s="40">
        <v>4</v>
      </c>
      <c r="B42" s="22" t="s">
        <v>317</v>
      </c>
      <c r="C42" s="22" t="s">
        <v>289</v>
      </c>
      <c r="D42" s="40">
        <v>12</v>
      </c>
      <c r="E42" s="22" t="s">
        <v>320</v>
      </c>
      <c r="F42" s="17">
        <f t="shared" si="1"/>
        <v>7.2000000000000011</v>
      </c>
      <c r="G42" s="22"/>
    </row>
    <row r="43" spans="1:7" s="27" customFormat="1" ht="45.6" customHeight="1" x14ac:dyDescent="0.25">
      <c r="A43" s="40">
        <v>5</v>
      </c>
      <c r="B43" s="22" t="s">
        <v>317</v>
      </c>
      <c r="C43" s="22" t="s">
        <v>289</v>
      </c>
      <c r="D43" s="40">
        <v>20</v>
      </c>
      <c r="E43" s="22"/>
      <c r="F43" s="17">
        <f t="shared" si="1"/>
        <v>20</v>
      </c>
      <c r="G43" s="22"/>
    </row>
    <row r="44" spans="1:7" s="27" customFormat="1" ht="45.6" customHeight="1" x14ac:dyDescent="0.25">
      <c r="A44" s="40">
        <v>6</v>
      </c>
      <c r="B44" s="22" t="s">
        <v>317</v>
      </c>
      <c r="C44" s="22" t="s">
        <v>289</v>
      </c>
      <c r="D44" s="40">
        <v>15</v>
      </c>
      <c r="E44" s="22"/>
      <c r="F44" s="17">
        <f t="shared" si="1"/>
        <v>11.25</v>
      </c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C11" sqref="C11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3" customFormat="1" ht="75" customHeight="1" x14ac:dyDescent="0.25">
      <c r="A10" s="55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227</v>
      </c>
      <c r="B1" s="54"/>
      <c r="C1" s="54"/>
      <c r="D1" s="54"/>
      <c r="E1" s="54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4" t="s">
        <v>237</v>
      </c>
      <c r="B19" s="54"/>
      <c r="C19" s="54"/>
      <c r="D19" s="54"/>
      <c r="E19" s="54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2024-06-17T09:23:44Z</dcterms:modified>
</cp:coreProperties>
</file>