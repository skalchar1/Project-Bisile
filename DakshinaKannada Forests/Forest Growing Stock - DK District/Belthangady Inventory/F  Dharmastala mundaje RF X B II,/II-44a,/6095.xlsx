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\II-44a\"/>
    </mc:Choice>
  </mc:AlternateContent>
  <xr:revisionPtr revIDLastSave="0" documentId="13_ncr:1_{DBD1459C-DEA5-4BA6-9E16-A3FB4944F58C}" xr6:coauthVersionLast="47" xr6:coauthVersionMax="47" xr10:uidLastSave="{00000000-0000-0000-0000-000000000000}"/>
  <bookViews>
    <workbookView xWindow="3075" yWindow="307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3'!$A$1:$T$47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2" i="8"/>
  <c r="G71" i="8"/>
  <c r="G70" i="8"/>
  <c r="G69" i="8"/>
  <c r="G41" i="8"/>
  <c r="G40" i="8"/>
  <c r="G39" i="8"/>
  <c r="G38" i="8"/>
  <c r="G8" i="8"/>
  <c r="G7" i="8"/>
  <c r="G6" i="8"/>
  <c r="G5" i="8"/>
  <c r="F45" i="9"/>
  <c r="F44" i="9"/>
  <c r="F43" i="9"/>
  <c r="F42" i="9"/>
  <c r="F41" i="9"/>
  <c r="F40" i="9"/>
  <c r="F39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<sst xmlns="http://schemas.openxmlformats.org/spreadsheetml/2006/main" count="496" uniqueCount="343">
  <si>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</si>
  <si>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</si>
  <si>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</si>
  <si>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</si>
  <si>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</si>
  <si>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</si>
  <si>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</si>
  <si>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</si>
  <si>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</si>
  <si>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</si>
  <si>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</si>
  <si>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</si>
  <si>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</si>
  <si>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</si>
  <si>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</si>
  <si>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</si>
  <si>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</si>
  <si>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</si>
  <si>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</si>
  <si>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</si>
  <si>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</si>
  <si>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</si>
  <si>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</si>
  <si>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</si>
  <si>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</si>
  <si>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</si>
  <si>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</si>
  <si>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</si>
  <si>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</si>
  <si>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</si>
  <si>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</si>
  <si>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</si>
  <si>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</si>
  <si>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</si>
  <si>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</si>
  <si>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</si>
  <si>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</si>
  <si>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</si>
  <si>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</si>
  <si>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</si>
  <si>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</si>
  <si>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</si>
  <si>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</si>
  <si>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</si>
  <si>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</si>
  <si>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</si>
  <si>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</si>
  <si>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</si>
  <si>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</si>
  <si>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</si>
  <si>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</si>
  <si>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</si>
  <si>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</si>
  <si>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</si>
  <si>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</si>
  <si>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</si>
  <si>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</si>
  <si>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</si>
  <si>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</si>
  <si>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</si>
  <si>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</si>
  <si>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</si>
  <si>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</si>
  <si>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</si>
  <si>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</si>
  <si>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</si>
  <si>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</si>
  <si>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</si>
  <si>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</si>
  <si>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</si>
  <si>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</si>
  <si>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</si>
  <si>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</si>
  <si>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</si>
  <si>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</si>
  <si>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</si>
  <si>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</si>
  <si>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</si>
  <si>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</si>
  <si>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</si>
  <si>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</si>
  <si>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</si>
  <si>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</si>
  <si>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</si>
  <si>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</si>
  <si>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</si>
  <si>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</si>
  <si>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</si>
  <si>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</si>
  <si>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</si>
  <si>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</si>
  <si>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</si>
  <si>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</si>
  <si>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</si>
  <si>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</si>
  <si>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</si>
  <si>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</si>
  <si>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</si>
  <si>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</si>
  <si>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</si>
  <si>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</si>
  <si>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</si>
  <si>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</si>
  <si>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</si>
  <si>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</si>
  <si>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</si>
  <si>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</si>
  <si>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</si>
  <si>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</si>
  <si>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</si>
  <si>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</si>
  <si>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</si>
  <si>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</si>
  <si>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</si>
  <si>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</si>
  <si>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</si>
  <si>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</si>
  <si>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</si>
  <si>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</si>
  <si>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</si>
  <si>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</si>
  <si>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</si>
  <si>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</si>
  <si>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</si>
  <si>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</si>
  <si>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</si>
  <si>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</si>
  <si>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</si>
  <si>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</si>
  <si>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</si>
  <si>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</si>
  <si>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</si>
  <si>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</si>
  <si>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</si>
  <si>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</si>
  <si>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</si>
  <si>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</si>
  <si>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</si>
  <si>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</si>
  <si>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</si>
  <si>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</si>
  <si>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</si>
  <si>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</si>
  <si>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</si>
  <si>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</si>
  <si>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</si>
  <si>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</si>
  <si>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</si>
  <si>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</si>
  <si>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</si>
  <si>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</si>
  <si>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</si>
  <si>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</si>
  <si>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</si>
  <si>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</si>
  <si>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</si>
  <si>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</si>
  <si>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</si>
  <si>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</si>
  <si>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</si>
  <si>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</si>
  <si>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</si>
  <si>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</si>
  <si>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</si>
  <si>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</si>
  <si>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</si>
  <si>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</si>
  <si>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</si>
  <si>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</si>
  <si>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</si>
  <si>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</si>
  <si>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</si>
  <si>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</si>
  <si>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</si>
  <si>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</si>
  <si>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</si>
  <si>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</si>
  <si>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</si>
  <si>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</si>
  <si>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</si>
  <si>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</si>
  <si>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</si>
  <si>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</si>
  <si>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</si>
  <si>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SOUTH EAST CORNER </t>
  </si>
  <si>
    <t>NORTH WEST CORNER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</si>
  <si>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</si>
  <si>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</si>
  <si>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</si>
  <si>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</si>
  <si>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</si>
  <si>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</si>
  <si>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</si>
  <si>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</si>
  <si>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</si>
  <si>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</si>
  <si>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</si>
  <si>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</si>
  <si>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</si>
  <si>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</si>
  <si>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</si>
  <si>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</si>
  <si>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</si>
  <si>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</si>
  <si>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</si>
  <si>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</si>
  <si>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</si>
  <si>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</si>
  <si>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</si>
  <si>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</si>
  <si>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</si>
  <si>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</si>
  <si>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</si>
  <si>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</si>
  <si>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</si>
  <si>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</si>
  <si>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</si>
  <si>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</si>
  <si>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</si>
  <si>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</si>
  <si>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</si>
  <si>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</si>
  <si>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</si>
  <si>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</si>
  <si>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</si>
  <si>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</si>
  <si>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</si>
  <si>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</si>
  <si>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</si>
  <si>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</si>
  <si>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</si>
  <si>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</si>
  <si>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</si>
  <si>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</si>
  <si>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</si>
  <si>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</si>
  <si>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</si>
  <si>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</si>
  <si>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</si>
  <si>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</si>
  <si>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</si>
  <si>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</si>
  <si>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</si>
  <si>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>Travel from Dharmasthala to Belnoru upto N  12.958106 , E  75.425071  than take 285 degree and wlk 163m to rech the grid.</t>
  </si>
  <si>
    <t>Artocarpus lacucha, Terminalia paniculata, Artocarpus hirsutus ,  Aporosa Lindleyan</t>
  </si>
  <si>
    <t>Tract - Hilly</t>
  </si>
  <si>
    <t>Aspect - SE</t>
  </si>
  <si>
    <t>Canopy Dencity -0.7</t>
  </si>
  <si>
    <t>Soil - Sandy loam (Humas rich)</t>
  </si>
  <si>
    <t>Weeds - Mimosoides, Sphagneticola trilobata</t>
  </si>
  <si>
    <t>Herbs - Sphagneticola trilobata, Colocasia spp</t>
  </si>
  <si>
    <t>Shrubs - Costus spp, Gliricidia sepium</t>
  </si>
  <si>
    <t>Underwood species – Terminalia paniculata, Xylia xylocarpa</t>
  </si>
  <si>
    <t xml:space="preserve">Rattans –  Calamus thwiitesii </t>
  </si>
  <si>
    <t xml:space="preserve">Olea dioca </t>
  </si>
  <si>
    <t xml:space="preserve">Aporosa lindleyana </t>
  </si>
  <si>
    <t>Terminalia bellarica</t>
  </si>
  <si>
    <t>Xylia xylocarpa</t>
  </si>
  <si>
    <t>Dolichandron atrovirens</t>
  </si>
  <si>
    <t>Alstonia scholaris</t>
  </si>
  <si>
    <t>Macaranga peltata</t>
  </si>
  <si>
    <t>Schleichera oleosa</t>
  </si>
  <si>
    <t>Getonia floribunda</t>
  </si>
  <si>
    <t>Bombax cieba</t>
  </si>
  <si>
    <t>Terminalia paniculata</t>
  </si>
  <si>
    <t xml:space="preserve">Tabernamontana heyneana </t>
  </si>
  <si>
    <t xml:space="preserve">Caryota urens </t>
  </si>
  <si>
    <t xml:space="preserve">Leea indica </t>
  </si>
  <si>
    <t xml:space="preserve">Dillenia pentagyna </t>
  </si>
  <si>
    <t xml:space="preserve">Cinnamomum verum </t>
  </si>
  <si>
    <t xml:space="preserve">Ixora brachiata </t>
  </si>
  <si>
    <t xml:space="preserve">Psychotria dalzelli </t>
  </si>
  <si>
    <t xml:space="preserve">Mallotus philippensis </t>
  </si>
  <si>
    <t xml:space="preserve">Heliscteres isora </t>
  </si>
  <si>
    <t xml:space="preserve">Xylia xylocarpa </t>
  </si>
  <si>
    <t xml:space="preserve">Schleichera oleosa </t>
  </si>
  <si>
    <t>Psychotria dalzelli</t>
  </si>
  <si>
    <t>P kuntanerale</t>
  </si>
  <si>
    <t xml:space="preserve">Psychotria flavida </t>
  </si>
  <si>
    <t>Strychnos sp</t>
  </si>
  <si>
    <t xml:space="preserve">Memecylon talbotianum </t>
  </si>
  <si>
    <t>Koliballi</t>
  </si>
  <si>
    <t>dead</t>
  </si>
  <si>
    <t>6m</t>
  </si>
  <si>
    <t>Hilly road nearby</t>
  </si>
  <si>
    <r>
      <t>Closed Forest /</t>
    </r>
    <r>
      <rPr>
        <b/>
        <sz val="12"/>
        <rFont val="Times New Roman"/>
        <family val="1"/>
      </rPr>
      <t>Dense Fores</t>
    </r>
    <r>
      <rPr>
        <sz val="12"/>
        <rFont val="Times New Roman"/>
        <family val="1"/>
      </rPr>
      <t>t /Open Forest / Scrub</t>
    </r>
  </si>
  <si>
    <r>
      <rPr>
        <b/>
        <sz val="12"/>
        <color theme="1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</si>
  <si>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</si>
  <si>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</si>
  <si>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</si>
  <si>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</si>
  <si>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</si>
  <si>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</si>
  <si>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</si>
  <si>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</si>
  <si>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</si>
  <si>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</si>
  <si>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160g</t>
  </si>
  <si>
    <t>9kg</t>
  </si>
  <si>
    <t>151g</t>
  </si>
  <si>
    <t>320g</t>
  </si>
  <si>
    <t>8.5kg</t>
  </si>
  <si>
    <t>120g</t>
  </si>
  <si>
    <t>860g</t>
  </si>
  <si>
    <t>420g</t>
  </si>
  <si>
    <t>16kg</t>
  </si>
  <si>
    <t>Unknown</t>
  </si>
  <si>
    <r>
      <t>Climbers - Mussaenda frondosa</t>
    </r>
    <r>
      <rPr>
        <sz val="12"/>
        <color rgb="FFFF0000"/>
        <rFont val="Times New Roman"/>
        <family val="1"/>
      </rPr>
      <t>,</t>
    </r>
    <r>
      <rPr>
        <sz val="12"/>
        <color theme="1"/>
        <rFont val="Times New Roman"/>
        <family val="1"/>
      </rPr>
      <t xml:space="preserve"> Acacia concinna, Getonia floribunda </t>
    </r>
  </si>
  <si>
    <t>Belthangady</t>
  </si>
  <si>
    <t xml:space="preserve">Dharmastala mundaje RF X B II </t>
  </si>
  <si>
    <t>II-44a</t>
  </si>
  <si>
    <t>Bamboos - NIL</t>
  </si>
  <si>
    <t>Grasses - NIL</t>
  </si>
  <si>
    <t xml:space="preserve">NTFP yieding sps – Artocarpus hirusts </t>
  </si>
  <si>
    <t>Mildly</t>
  </si>
  <si>
    <t>NIL</t>
  </si>
  <si>
    <t>Termite Microbes and Insects</t>
  </si>
  <si>
    <t>Texture- Sandy loam</t>
  </si>
  <si>
    <t>Depth- Shallow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</si>
  <si>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</si>
  <si>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</si>
  <si>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>466 ft</t>
  </si>
  <si>
    <t xml:space="preserve">Macaranga peltata , Schleichera oleosa , Aporosa lindleyana </t>
  </si>
  <si>
    <t>Mangalore</t>
  </si>
  <si>
    <t>Gorbale</t>
  </si>
  <si>
    <t>Salle</t>
  </si>
  <si>
    <t>Konana kivi</t>
  </si>
  <si>
    <t>Kumkum Tree</t>
  </si>
  <si>
    <t>Balamuri</t>
  </si>
  <si>
    <t>Jambe</t>
  </si>
  <si>
    <t>Sagadi</t>
  </si>
  <si>
    <t>Kaadu coffee</t>
  </si>
  <si>
    <t>Kaadu coffe</t>
  </si>
  <si>
    <t>stems</t>
  </si>
  <si>
    <t>leaves</t>
  </si>
  <si>
    <t>leavs</t>
  </si>
  <si>
    <t>seeds</t>
  </si>
  <si>
    <t>bark, roots</t>
  </si>
  <si>
    <t>leavse</t>
  </si>
  <si>
    <t xml:space="preserve">seed, leaves </t>
  </si>
  <si>
    <t>flowers</t>
  </si>
  <si>
    <t>furits, leves</t>
  </si>
  <si>
    <t xml:space="preserve">Bark and roots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</si>
</sst>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323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308</v>
      </c>
    </row>
    <row r="6" spans="1:3" ht="39" customHeight="1" x14ac:dyDescent="0.25">
      <c r="A6" s="4">
        <v>2</v>
      </c>
      <c r="B6" s="51" t="s">
        <v>7</v>
      </c>
      <c r="C6" s="8" t="s">
        <v>309</v>
      </c>
    </row>
    <row r="7" spans="1:3" ht="39" customHeight="1" x14ac:dyDescent="0.25">
      <c r="A7" s="4">
        <v>3</v>
      </c>
      <c r="B7" s="51" t="s">
        <v>8</v>
      </c>
      <c r="C7" s="8" t="s">
        <v>310</v>
      </c>
    </row>
    <row r="8" spans="1:3" ht="39" customHeight="1" x14ac:dyDescent="0.25">
      <c r="A8" s="4">
        <v>4</v>
      </c>
      <c r="B8" s="51" t="s">
        <v>9</v>
      </c>
      <c r="C8" s="8">
        <v>6095</v>
      </c>
    </row>
    <row r="9" spans="1:3" ht="39" customHeight="1" x14ac:dyDescent="0.25">
      <c r="A9" s="4">
        <v>5</v>
      </c>
      <c r="B9" s="51" t="s">
        <v>10</v>
      </c>
      <c r="C9" s="9">
        <v>12.95847</v>
      </c>
    </row>
    <row r="10" spans="1:3" ht="39" customHeight="1" x14ac:dyDescent="0.25">
      <c r="A10" s="4">
        <v>6</v>
      </c>
      <c r="B10" s="51" t="s">
        <v>11</v>
      </c>
      <c r="C10" s="9">
        <v>75.423608999999999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312</v>
      </c>
    </row>
    <row r="18" spans="1:3" ht="32.25" customHeight="1" x14ac:dyDescent="0.25">
      <c r="A18" s="54"/>
      <c r="B18" s="55"/>
      <c r="C18" s="6" t="s">
        <v>249</v>
      </c>
    </row>
    <row r="19" spans="1:3" ht="32.25" customHeight="1" x14ac:dyDescent="0.25">
      <c r="A19" s="54"/>
      <c r="B19" s="55"/>
      <c r="C19" s="6" t="s">
        <v>311</v>
      </c>
    </row>
    <row r="20" spans="1:3" ht="57.75" customHeight="1" x14ac:dyDescent="0.25">
      <c r="A20" s="54"/>
      <c r="B20" s="55"/>
      <c r="C20" s="6" t="s">
        <v>250</v>
      </c>
    </row>
    <row r="21" spans="1:3" ht="63" customHeight="1" x14ac:dyDescent="0.25">
      <c r="A21" s="54"/>
      <c r="B21" s="55"/>
      <c r="C21" s="6" t="s">
        <v>251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307</v>
      </c>
    </row>
    <row r="24" spans="1:3" ht="63" customHeight="1" x14ac:dyDescent="0.25">
      <c r="A24" s="54"/>
      <c r="B24" s="55"/>
      <c r="C24" s="6" t="s">
        <v>253</v>
      </c>
    </row>
    <row r="25" spans="1:3" ht="63" customHeight="1" x14ac:dyDescent="0.25">
      <c r="A25" s="54"/>
      <c r="B25" s="55"/>
      <c r="C25" s="6" t="s">
        <v>313</v>
      </c>
    </row>
    <row r="26" spans="1:3" ht="49.5" customHeight="1" x14ac:dyDescent="0.25">
      <c r="A26" s="4">
        <v>10</v>
      </c>
      <c r="B26" s="51" t="s">
        <v>15</v>
      </c>
      <c r="C26" s="6" t="s">
        <v>284</v>
      </c>
    </row>
    <row r="27" spans="1:3" ht="53.25" customHeight="1" x14ac:dyDescent="0.25">
      <c r="A27" s="4">
        <v>11</v>
      </c>
      <c r="B27" s="51" t="s">
        <v>16</v>
      </c>
      <c r="C27" s="6" t="s">
        <v>314</v>
      </c>
    </row>
    <row r="28" spans="1:3" s="13" customFormat="1" ht="51" customHeight="1" x14ac:dyDescent="0.25">
      <c r="A28" s="18">
        <v>12</v>
      </c>
      <c r="B28" s="52" t="s">
        <v>220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221</v>
      </c>
      <c r="C29" s="12" t="s">
        <v>283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="89" zoomScaleSheetLayoutView="89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323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226</v>
      </c>
      <c r="C6" s="20"/>
    </row>
    <row r="7" spans="1:3" ht="32.25" customHeight="1" x14ac:dyDescent="0.25">
      <c r="A7" s="11">
        <v>3</v>
      </c>
      <c r="B7" s="52" t="s">
        <v>222</v>
      </c>
      <c r="C7" s="20" t="str">
        <f>'Form 1'!C6</f>
        <v xml:space="preserve">Dharmastala mundaje RF X B II 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6095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12.95847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75.423608999999999</v>
      </c>
    </row>
    <row r="11" spans="1:3" ht="32.25" customHeight="1" x14ac:dyDescent="0.25">
      <c r="A11" s="11">
        <v>7</v>
      </c>
      <c r="B11" s="52" t="s">
        <v>22</v>
      </c>
      <c r="C11" s="20" t="s">
        <v>321</v>
      </c>
    </row>
    <row r="12" spans="1:3" ht="43.5" customHeight="1" x14ac:dyDescent="0.25">
      <c r="A12" s="11">
        <v>8</v>
      </c>
      <c r="B12" s="52" t="s">
        <v>23</v>
      </c>
      <c r="C12" s="20" t="s">
        <v>286</v>
      </c>
    </row>
    <row r="13" spans="1:3" ht="43.5" customHeight="1" x14ac:dyDescent="0.25">
      <c r="A13" s="11">
        <v>9</v>
      </c>
      <c r="B13" s="52" t="s">
        <v>24</v>
      </c>
      <c r="C13" s="20" t="s">
        <v>285</v>
      </c>
    </row>
    <row r="14" spans="1:3" ht="38.25" customHeight="1" x14ac:dyDescent="0.25">
      <c r="A14" s="11">
        <v>10</v>
      </c>
      <c r="B14" s="52" t="s">
        <v>25</v>
      </c>
      <c r="C14" s="20" t="s">
        <v>288</v>
      </c>
    </row>
    <row r="15" spans="1:3" ht="25.5" customHeight="1" x14ac:dyDescent="0.25">
      <c r="A15" s="11">
        <v>11</v>
      </c>
      <c r="B15" s="52" t="s">
        <v>26</v>
      </c>
      <c r="C15" s="22" t="s">
        <v>287</v>
      </c>
    </row>
    <row r="16" spans="1:3" ht="37.5" customHeight="1" x14ac:dyDescent="0.25">
      <c r="A16" s="11">
        <v>12</v>
      </c>
      <c r="B16" s="52" t="s">
        <v>27</v>
      </c>
      <c r="C16" s="22" t="s">
        <v>289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317</v>
      </c>
    </row>
    <row r="19" spans="1:3" ht="30.75" customHeight="1" x14ac:dyDescent="0.25">
      <c r="A19" s="57"/>
      <c r="B19" s="58"/>
      <c r="C19" s="22" t="s">
        <v>318</v>
      </c>
    </row>
    <row r="20" spans="1:3" ht="30.75" customHeight="1" x14ac:dyDescent="0.25">
      <c r="A20" s="57"/>
      <c r="B20" s="58"/>
      <c r="C20" s="23" t="s">
        <v>319</v>
      </c>
    </row>
    <row r="21" spans="1:3" ht="36" customHeight="1" x14ac:dyDescent="0.25">
      <c r="A21" s="11">
        <v>15</v>
      </c>
      <c r="B21" s="52" t="s">
        <v>31</v>
      </c>
      <c r="C21" s="22" t="s">
        <v>320</v>
      </c>
    </row>
    <row r="22" spans="1:3" ht="54.75" customHeight="1" x14ac:dyDescent="0.25">
      <c r="A22" s="11">
        <v>16</v>
      </c>
      <c r="B22" s="52" t="s">
        <v>32</v>
      </c>
      <c r="C22" s="22" t="s">
        <v>322</v>
      </c>
    </row>
    <row r="23" spans="1:3" ht="15.75" x14ac:dyDescent="0.25">
      <c r="A23" s="11">
        <v>17</v>
      </c>
      <c r="B23" s="52" t="s">
        <v>223</v>
      </c>
      <c r="C23" s="22" t="s">
        <v>290</v>
      </c>
    </row>
    <row r="24" spans="1:3" ht="35.25" customHeight="1" x14ac:dyDescent="0.25">
      <c r="A24" s="11">
        <v>18</v>
      </c>
      <c r="B24" s="52" t="s">
        <v>33</v>
      </c>
      <c r="C24" s="22" t="s">
        <v>291</v>
      </c>
    </row>
    <row r="25" spans="1:3" ht="72.75" customHeight="1" x14ac:dyDescent="0.25">
      <c r="A25" s="11">
        <v>19</v>
      </c>
      <c r="B25" s="52" t="s">
        <v>34</v>
      </c>
      <c r="C25" s="22" t="s">
        <v>316</v>
      </c>
    </row>
    <row r="26" spans="1:3" ht="30" customHeight="1" x14ac:dyDescent="0.25">
      <c r="A26" s="11">
        <v>20</v>
      </c>
      <c r="B26" s="52" t="s">
        <v>35</v>
      </c>
      <c r="C26" s="23" t="s">
        <v>292</v>
      </c>
    </row>
    <row r="27" spans="1:3" ht="30" customHeight="1" x14ac:dyDescent="0.25">
      <c r="A27" s="11">
        <v>21</v>
      </c>
      <c r="B27" s="52" t="s">
        <v>36</v>
      </c>
      <c r="C27" s="22" t="s">
        <v>293</v>
      </c>
    </row>
    <row r="28" spans="1:3" ht="30" customHeight="1" x14ac:dyDescent="0.25">
      <c r="A28" s="11">
        <v>22</v>
      </c>
      <c r="B28" s="52" t="s">
        <v>37</v>
      </c>
      <c r="C28" s="22" t="s">
        <v>294</v>
      </c>
    </row>
    <row r="29" spans="1:3" ht="32.25" customHeight="1" x14ac:dyDescent="0.25">
      <c r="A29" s="11">
        <v>23</v>
      </c>
      <c r="B29" s="52" t="s">
        <v>38</v>
      </c>
      <c r="C29" s="22" t="s">
        <v>294</v>
      </c>
    </row>
    <row r="30" spans="1:3" ht="62.25" customHeight="1" x14ac:dyDescent="0.25">
      <c r="A30" s="11">
        <v>24</v>
      </c>
      <c r="B30" s="52" t="s">
        <v>39</v>
      </c>
      <c r="C30" s="22" t="s">
        <v>315</v>
      </c>
    </row>
    <row r="31" spans="1:3" ht="72.75" customHeight="1" x14ac:dyDescent="0.25">
      <c r="A31" s="11">
        <v>25</v>
      </c>
      <c r="B31" s="52" t="s">
        <v>40</v>
      </c>
      <c r="C31" s="22" t="s">
        <v>315</v>
      </c>
    </row>
    <row r="32" spans="1:3" ht="60" customHeight="1" x14ac:dyDescent="0.25">
      <c r="A32" s="11">
        <v>26</v>
      </c>
      <c r="B32" s="52" t="s">
        <v>41</v>
      </c>
      <c r="C32" s="22" t="s">
        <v>315</v>
      </c>
    </row>
    <row r="33" spans="1:3" ht="60" customHeight="1" x14ac:dyDescent="0.25">
      <c r="A33" s="11">
        <v>27</v>
      </c>
      <c r="B33" s="52" t="s">
        <v>42</v>
      </c>
      <c r="C33" s="20" t="s">
        <v>295</v>
      </c>
    </row>
    <row r="34" spans="1:3" ht="57.75" customHeight="1" x14ac:dyDescent="0.25">
      <c r="A34" s="11">
        <v>28</v>
      </c>
      <c r="B34" s="52" t="s">
        <v>43</v>
      </c>
      <c r="C34" s="22" t="s">
        <v>315</v>
      </c>
    </row>
    <row r="35" spans="1:3" ht="59.25" customHeight="1" x14ac:dyDescent="0.25">
      <c r="A35" s="11">
        <v>29</v>
      </c>
      <c r="B35" s="52" t="s">
        <v>44</v>
      </c>
      <c r="C35" s="22" t="s">
        <v>315</v>
      </c>
    </row>
    <row r="36" spans="1:3" ht="66" customHeight="1" x14ac:dyDescent="0.25">
      <c r="A36" s="11">
        <v>30</v>
      </c>
      <c r="B36" s="52" t="s">
        <v>227</v>
      </c>
      <c r="C36" s="22" t="s">
        <v>296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view="pageBreakPreview" topLeftCell="A2" zoomScale="60" zoomScaleNormal="70" workbookViewId="0">
      <selection activeCell="P31" sqref="P31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242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228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233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255</v>
      </c>
      <c r="C12" s="24"/>
      <c r="D12" s="24">
        <v>85</v>
      </c>
      <c r="E12" s="24"/>
      <c r="F12" s="24"/>
      <c r="G12" s="24"/>
      <c r="H12" s="24"/>
      <c r="I12" s="24">
        <v>5</v>
      </c>
      <c r="J12" s="24">
        <v>7</v>
      </c>
      <c r="K12" s="24">
        <f>L12+M12+R12</f>
        <v>12</v>
      </c>
      <c r="L12" s="24">
        <v>5</v>
      </c>
      <c r="M12" s="24">
        <v>4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25">
      <c r="A13" s="24">
        <f t="shared" ref="A13:A28" si="0">ROW()-11</f>
        <v>2</v>
      </c>
      <c r="B13" s="24" t="s">
        <v>254</v>
      </c>
      <c r="C13" s="24"/>
      <c r="D13" s="24">
        <v>48</v>
      </c>
      <c r="E13" s="24"/>
      <c r="F13" s="24"/>
      <c r="G13" s="24"/>
      <c r="H13" s="24"/>
      <c r="I13" s="24">
        <v>5</v>
      </c>
      <c r="J13" s="24">
        <v>6</v>
      </c>
      <c r="K13" s="24">
        <f t="shared" ref="K13:K28" si="1">L13+M13+R13</f>
        <v>10</v>
      </c>
      <c r="L13" s="24">
        <v>5</v>
      </c>
      <c r="M13" s="24">
        <v>3</v>
      </c>
      <c r="N13" s="24"/>
      <c r="O13" s="24"/>
      <c r="P13" s="24"/>
      <c r="Q13" s="24"/>
      <c r="R13" s="24">
        <v>2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256</v>
      </c>
      <c r="C14" s="24"/>
      <c r="D14" s="24">
        <v>130</v>
      </c>
      <c r="E14" s="24"/>
      <c r="F14" s="24"/>
      <c r="G14" s="24"/>
      <c r="H14" s="24"/>
      <c r="I14" s="24">
        <v>5</v>
      </c>
      <c r="J14" s="24">
        <v>6</v>
      </c>
      <c r="K14" s="24">
        <f t="shared" si="1"/>
        <v>16</v>
      </c>
      <c r="L14" s="24">
        <v>4</v>
      </c>
      <c r="M14" s="24">
        <v>3</v>
      </c>
      <c r="N14" s="24"/>
      <c r="O14" s="24"/>
      <c r="P14" s="24"/>
      <c r="Q14" s="24"/>
      <c r="R14" s="24">
        <v>9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257</v>
      </c>
      <c r="C15" s="24"/>
      <c r="D15" s="24">
        <v>110</v>
      </c>
      <c r="E15" s="24"/>
      <c r="F15" s="24"/>
      <c r="G15" s="24"/>
      <c r="H15" s="24"/>
      <c r="I15" s="24">
        <v>5</v>
      </c>
      <c r="J15" s="24">
        <v>6</v>
      </c>
      <c r="K15" s="24">
        <f t="shared" si="1"/>
        <v>14</v>
      </c>
      <c r="L15" s="24">
        <v>5</v>
      </c>
      <c r="M15" s="24">
        <v>4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258</v>
      </c>
      <c r="C16" s="24"/>
      <c r="D16" s="24">
        <v>44</v>
      </c>
      <c r="E16" s="24"/>
      <c r="F16" s="24"/>
      <c r="G16" s="24"/>
      <c r="H16" s="24"/>
      <c r="I16" s="24">
        <v>0</v>
      </c>
      <c r="J16" s="24">
        <v>0</v>
      </c>
      <c r="K16" s="24">
        <f t="shared" si="1"/>
        <v>0</v>
      </c>
      <c r="L16" s="24">
        <v>0</v>
      </c>
      <c r="M16" s="24">
        <v>0</v>
      </c>
      <c r="N16" s="24"/>
      <c r="O16" s="24"/>
      <c r="P16" s="24"/>
      <c r="Q16" s="24"/>
      <c r="R16" s="24">
        <v>0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259</v>
      </c>
      <c r="C17" s="24"/>
      <c r="D17" s="24">
        <v>181</v>
      </c>
      <c r="E17" s="24"/>
      <c r="F17" s="24"/>
      <c r="G17" s="24"/>
      <c r="H17" s="24"/>
      <c r="I17" s="24">
        <v>6</v>
      </c>
      <c r="J17" s="24">
        <v>7</v>
      </c>
      <c r="K17" s="24">
        <f t="shared" si="1"/>
        <v>18</v>
      </c>
      <c r="L17" s="24">
        <v>4</v>
      </c>
      <c r="M17" s="24">
        <v>4</v>
      </c>
      <c r="N17" s="24"/>
      <c r="O17" s="24"/>
      <c r="P17" s="24"/>
      <c r="Q17" s="24"/>
      <c r="R17" s="24">
        <v>10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260</v>
      </c>
      <c r="C18" s="24"/>
      <c r="D18" s="24">
        <v>63</v>
      </c>
      <c r="E18" s="24"/>
      <c r="F18" s="24"/>
      <c r="G18" s="24"/>
      <c r="H18" s="24"/>
      <c r="I18" s="24">
        <v>4</v>
      </c>
      <c r="J18" s="24">
        <v>5</v>
      </c>
      <c r="K18" s="24">
        <f t="shared" si="1"/>
        <v>16</v>
      </c>
      <c r="L18" s="24">
        <v>4</v>
      </c>
      <c r="M18" s="24">
        <v>2</v>
      </c>
      <c r="N18" s="24"/>
      <c r="O18" s="24"/>
      <c r="P18" s="24"/>
      <c r="Q18" s="24"/>
      <c r="R18" s="24">
        <v>10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261</v>
      </c>
      <c r="C19" s="24"/>
      <c r="D19" s="24">
        <v>41</v>
      </c>
      <c r="E19" s="24"/>
      <c r="F19" s="24"/>
      <c r="G19" s="24"/>
      <c r="H19" s="24"/>
      <c r="I19" s="24">
        <v>0</v>
      </c>
      <c r="J19" s="24">
        <v>0</v>
      </c>
      <c r="K19" s="24">
        <f t="shared" si="1"/>
        <v>10</v>
      </c>
      <c r="L19" s="24">
        <v>3</v>
      </c>
      <c r="M19" s="24">
        <v>2</v>
      </c>
      <c r="N19" s="24"/>
      <c r="O19" s="24"/>
      <c r="P19" s="24"/>
      <c r="Q19" s="24"/>
      <c r="R19" s="24">
        <v>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261</v>
      </c>
      <c r="C20" s="24"/>
      <c r="D20" s="24">
        <v>36</v>
      </c>
      <c r="E20" s="24"/>
      <c r="F20" s="24"/>
      <c r="G20" s="24"/>
      <c r="H20" s="24"/>
      <c r="I20" s="24">
        <v>3</v>
      </c>
      <c r="J20" s="24">
        <v>4</v>
      </c>
      <c r="K20" s="24">
        <f t="shared" si="1"/>
        <v>8</v>
      </c>
      <c r="L20" s="24">
        <v>3</v>
      </c>
      <c r="M20" s="24">
        <v>2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262</v>
      </c>
      <c r="C21" s="24"/>
      <c r="D21" s="24">
        <v>42</v>
      </c>
      <c r="E21" s="24"/>
      <c r="F21" s="24"/>
      <c r="G21" s="24"/>
      <c r="H21" s="24"/>
      <c r="I21" s="24">
        <v>0</v>
      </c>
      <c r="J21" s="24">
        <v>0</v>
      </c>
      <c r="K21" s="24">
        <f t="shared" si="1"/>
        <v>0</v>
      </c>
      <c r="L21" s="24">
        <v>0</v>
      </c>
      <c r="M21" s="24">
        <v>0</v>
      </c>
      <c r="N21" s="24"/>
      <c r="O21" s="24"/>
      <c r="P21" s="24"/>
      <c r="Q21" s="24"/>
      <c r="R21" s="24">
        <v>0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263</v>
      </c>
      <c r="C22" s="24"/>
      <c r="D22" s="24">
        <v>68</v>
      </c>
      <c r="E22" s="24"/>
      <c r="F22" s="24"/>
      <c r="G22" s="24"/>
      <c r="H22" s="24"/>
      <c r="I22" s="24">
        <v>4</v>
      </c>
      <c r="J22" s="24">
        <v>4.5</v>
      </c>
      <c r="K22" s="24">
        <f t="shared" si="1"/>
        <v>13.5</v>
      </c>
      <c r="L22" s="24">
        <v>2</v>
      </c>
      <c r="M22" s="24">
        <v>2.5</v>
      </c>
      <c r="N22" s="24"/>
      <c r="O22" s="24"/>
      <c r="P22" s="24"/>
      <c r="Q22" s="24"/>
      <c r="R22" s="24">
        <v>9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264</v>
      </c>
      <c r="C23" s="24"/>
      <c r="D23" s="24">
        <v>160</v>
      </c>
      <c r="E23" s="24"/>
      <c r="F23" s="24"/>
      <c r="G23" s="24"/>
      <c r="H23" s="24"/>
      <c r="I23" s="24">
        <v>7</v>
      </c>
      <c r="J23" s="24">
        <v>7.5</v>
      </c>
      <c r="K23" s="24">
        <f t="shared" si="1"/>
        <v>16</v>
      </c>
      <c r="L23" s="24">
        <v>5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265</v>
      </c>
      <c r="C24" s="24"/>
      <c r="D24" s="24">
        <v>36</v>
      </c>
      <c r="E24" s="24"/>
      <c r="F24" s="24"/>
      <c r="G24" s="24"/>
      <c r="H24" s="24"/>
      <c r="I24" s="24">
        <v>3</v>
      </c>
      <c r="J24" s="24">
        <v>4</v>
      </c>
      <c r="K24" s="24">
        <f t="shared" si="1"/>
        <v>6.5</v>
      </c>
      <c r="L24" s="24">
        <v>0</v>
      </c>
      <c r="M24" s="24">
        <v>1.5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266</v>
      </c>
      <c r="C25" s="24"/>
      <c r="D25" s="24">
        <v>132</v>
      </c>
      <c r="E25" s="24"/>
      <c r="F25" s="24"/>
      <c r="G25" s="24"/>
      <c r="H25" s="24"/>
      <c r="I25" s="24">
        <v>6</v>
      </c>
      <c r="J25" s="24">
        <v>6</v>
      </c>
      <c r="K25" s="24">
        <f t="shared" si="1"/>
        <v>12</v>
      </c>
      <c r="L25" s="24">
        <v>1</v>
      </c>
      <c r="M25" s="24">
        <v>3</v>
      </c>
      <c r="N25" s="24"/>
      <c r="O25" s="24"/>
      <c r="P25" s="24"/>
      <c r="Q25" s="24"/>
      <c r="R25" s="24">
        <v>8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267</v>
      </c>
      <c r="C26" s="24"/>
      <c r="D26" s="24">
        <v>46</v>
      </c>
      <c r="E26" s="24"/>
      <c r="F26" s="24"/>
      <c r="G26" s="24"/>
      <c r="H26" s="24"/>
      <c r="I26" s="24">
        <v>0</v>
      </c>
      <c r="J26" s="24">
        <v>0</v>
      </c>
      <c r="K26" s="24">
        <f t="shared" si="1"/>
        <v>2</v>
      </c>
      <c r="L26" s="24">
        <v>0</v>
      </c>
      <c r="M26" s="24">
        <v>0</v>
      </c>
      <c r="N26" s="24"/>
      <c r="O26" s="24"/>
      <c r="P26" s="24"/>
      <c r="Q26" s="24"/>
      <c r="R26" s="24">
        <v>2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268</v>
      </c>
      <c r="C27" s="24"/>
      <c r="D27" s="24">
        <v>164</v>
      </c>
      <c r="E27" s="24"/>
      <c r="F27" s="24"/>
      <c r="G27" s="24"/>
      <c r="H27" s="24"/>
      <c r="I27" s="24">
        <v>8</v>
      </c>
      <c r="J27" s="24">
        <v>9</v>
      </c>
      <c r="K27" s="24">
        <f t="shared" si="1"/>
        <v>17</v>
      </c>
      <c r="L27" s="24">
        <v>7</v>
      </c>
      <c r="M27" s="24">
        <v>3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269</v>
      </c>
      <c r="C28" s="24"/>
      <c r="D28" s="24">
        <v>82</v>
      </c>
      <c r="E28" s="24" t="s">
        <v>282</v>
      </c>
      <c r="F28" s="24"/>
      <c r="G28" s="24"/>
      <c r="H28" s="24"/>
      <c r="I28" s="24">
        <v>0</v>
      </c>
      <c r="J28" s="24">
        <v>0</v>
      </c>
      <c r="K28" s="24">
        <f t="shared" si="1"/>
        <v>7.5</v>
      </c>
      <c r="L28" s="24">
        <v>0</v>
      </c>
      <c r="M28" s="24">
        <v>0</v>
      </c>
      <c r="N28" s="24"/>
      <c r="O28" s="24"/>
      <c r="P28" s="24"/>
      <c r="Q28" s="24"/>
      <c r="R28" s="24">
        <v>7.5</v>
      </c>
      <c r="S28" s="24"/>
      <c r="T28" s="24"/>
    </row>
    <row r="29" spans="1:20" ht="40.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234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H14" sqref="H14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270</v>
      </c>
      <c r="C5" s="12" t="s">
        <v>324</v>
      </c>
      <c r="D5" s="12">
        <v>4.5</v>
      </c>
      <c r="E5" s="12">
        <v>3</v>
      </c>
      <c r="F5" s="12" t="s">
        <v>340</v>
      </c>
      <c r="G5" s="12">
        <f>D5*E5</f>
        <v>13.5</v>
      </c>
      <c r="H5" s="12"/>
    </row>
    <row r="6" spans="1:8" ht="29.25" customHeight="1" x14ac:dyDescent="0.25">
      <c r="A6" s="11">
        <v>2</v>
      </c>
      <c r="B6" s="12" t="s">
        <v>255</v>
      </c>
      <c r="C6" s="12" t="s">
        <v>325</v>
      </c>
      <c r="D6" s="12">
        <v>4</v>
      </c>
      <c r="E6" s="12">
        <v>2.5</v>
      </c>
      <c r="F6" s="12" t="s">
        <v>336</v>
      </c>
      <c r="G6" s="12">
        <f t="shared" ref="G6:G8" si="0">D6*E6</f>
        <v>10</v>
      </c>
      <c r="H6" s="12"/>
    </row>
    <row r="7" spans="1:8" ht="29.25" customHeight="1" x14ac:dyDescent="0.25">
      <c r="A7" s="11">
        <v>3</v>
      </c>
      <c r="B7" s="12" t="s">
        <v>271</v>
      </c>
      <c r="C7" s="12" t="s">
        <v>326</v>
      </c>
      <c r="D7" s="12">
        <v>4</v>
      </c>
      <c r="E7" s="12">
        <v>2.5</v>
      </c>
      <c r="F7" s="12" t="s">
        <v>335</v>
      </c>
      <c r="G7" s="12">
        <f t="shared" si="0"/>
        <v>10</v>
      </c>
      <c r="H7" s="12"/>
    </row>
    <row r="8" spans="1:8" ht="29.25" customHeight="1" x14ac:dyDescent="0.25">
      <c r="A8" s="11">
        <v>4</v>
      </c>
      <c r="B8" s="12" t="s">
        <v>271</v>
      </c>
      <c r="C8" s="12" t="s">
        <v>326</v>
      </c>
      <c r="D8" s="12">
        <v>3</v>
      </c>
      <c r="E8" s="12">
        <v>2</v>
      </c>
      <c r="F8" s="12"/>
      <c r="G8" s="12">
        <f t="shared" si="0"/>
        <v>6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297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298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299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300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301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272</v>
      </c>
      <c r="C38" s="18" t="s">
        <v>327</v>
      </c>
      <c r="D38" s="18">
        <v>3</v>
      </c>
      <c r="E38" s="18">
        <v>3.5</v>
      </c>
      <c r="F38" s="18" t="s">
        <v>341</v>
      </c>
      <c r="G38" s="12">
        <f t="shared" ref="G38:G41" si="1">D38*E38</f>
        <v>10.5</v>
      </c>
      <c r="H38" s="18"/>
    </row>
    <row r="39" spans="1:8" ht="36" customHeight="1" x14ac:dyDescent="0.25">
      <c r="A39" s="11">
        <v>2</v>
      </c>
      <c r="B39" s="18" t="s">
        <v>272</v>
      </c>
      <c r="C39" s="18" t="s">
        <v>327</v>
      </c>
      <c r="D39" s="18">
        <v>4</v>
      </c>
      <c r="E39" s="18">
        <v>3</v>
      </c>
      <c r="F39" s="18"/>
      <c r="G39" s="12">
        <f t="shared" si="1"/>
        <v>12</v>
      </c>
      <c r="H39" s="18"/>
    </row>
    <row r="40" spans="1:8" ht="36" customHeight="1" x14ac:dyDescent="0.25">
      <c r="A40" s="11">
        <v>3</v>
      </c>
      <c r="B40" s="18" t="s">
        <v>272</v>
      </c>
      <c r="C40" s="18" t="s">
        <v>327</v>
      </c>
      <c r="D40" s="18">
        <v>4.5</v>
      </c>
      <c r="E40" s="18">
        <v>3</v>
      </c>
      <c r="F40" s="18"/>
      <c r="G40" s="12">
        <f t="shared" si="1"/>
        <v>13.5</v>
      </c>
      <c r="H40" s="18"/>
    </row>
    <row r="41" spans="1:8" ht="36" customHeight="1" x14ac:dyDescent="0.25">
      <c r="A41" s="11">
        <v>4</v>
      </c>
      <c r="B41" s="18" t="s">
        <v>273</v>
      </c>
      <c r="C41" s="18" t="s">
        <v>328</v>
      </c>
      <c r="D41" s="18">
        <v>5</v>
      </c>
      <c r="E41" s="18">
        <v>3.5</v>
      </c>
      <c r="F41" s="88" t="s">
        <v>342</v>
      </c>
      <c r="G41" s="12">
        <f t="shared" si="1"/>
        <v>17.5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302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303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304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305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184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274</v>
      </c>
      <c r="C69" s="11" t="s">
        <v>329</v>
      </c>
      <c r="D69" s="11">
        <v>5</v>
      </c>
      <c r="E69" s="11">
        <v>4</v>
      </c>
      <c r="F69" s="11" t="s">
        <v>336</v>
      </c>
      <c r="G69" s="12">
        <f t="shared" ref="G69:G72" si="2">D69*E69</f>
        <v>20</v>
      </c>
      <c r="H69" s="11"/>
    </row>
    <row r="70" spans="1:8" s="28" customFormat="1" ht="41.25" customHeight="1" x14ac:dyDescent="0.25">
      <c r="A70" s="11">
        <v>2</v>
      </c>
      <c r="B70" s="40" t="s">
        <v>270</v>
      </c>
      <c r="C70" s="11" t="s">
        <v>324</v>
      </c>
      <c r="D70" s="11">
        <v>4.5</v>
      </c>
      <c r="E70" s="11">
        <v>3.5</v>
      </c>
      <c r="F70" s="11"/>
      <c r="G70" s="12">
        <f t="shared" si="2"/>
        <v>15.75</v>
      </c>
      <c r="H70" s="11"/>
    </row>
    <row r="71" spans="1:8" s="28" customFormat="1" ht="41.25" customHeight="1" x14ac:dyDescent="0.25">
      <c r="A71" s="11">
        <v>3</v>
      </c>
      <c r="B71" s="40" t="s">
        <v>275</v>
      </c>
      <c r="C71" s="11" t="s">
        <v>330</v>
      </c>
      <c r="D71" s="11">
        <v>4.5</v>
      </c>
      <c r="E71" s="11">
        <v>4</v>
      </c>
      <c r="F71" s="88" t="s">
        <v>339</v>
      </c>
      <c r="G71" s="12">
        <f t="shared" si="2"/>
        <v>18</v>
      </c>
      <c r="H71" s="11"/>
    </row>
    <row r="72" spans="1:8" s="28" customFormat="1" ht="41.25" customHeight="1" x14ac:dyDescent="0.25">
      <c r="A72" s="11">
        <v>4</v>
      </c>
      <c r="B72" s="40" t="s">
        <v>270</v>
      </c>
      <c r="C72" s="11" t="s">
        <v>324</v>
      </c>
      <c r="D72" s="11">
        <v>3</v>
      </c>
      <c r="E72" s="11">
        <v>4</v>
      </c>
      <c r="F72" s="11" t="s">
        <v>340</v>
      </c>
      <c r="G72" s="12">
        <f t="shared" si="2"/>
        <v>12</v>
      </c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185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276</v>
      </c>
      <c r="C96" s="11" t="s">
        <v>326</v>
      </c>
      <c r="D96" s="41">
        <v>3</v>
      </c>
      <c r="E96" s="42">
        <v>2</v>
      </c>
      <c r="F96" s="23"/>
      <c r="G96" s="12">
        <f t="shared" ref="G96:G100" si="3">D96*E96</f>
        <v>6</v>
      </c>
      <c r="H96" s="23"/>
    </row>
    <row r="97" spans="1:8" s="28" customFormat="1" ht="39" customHeight="1" x14ac:dyDescent="0.25">
      <c r="A97" s="41">
        <v>2</v>
      </c>
      <c r="B97" s="40" t="s">
        <v>276</v>
      </c>
      <c r="C97" s="11" t="s">
        <v>326</v>
      </c>
      <c r="D97" s="41">
        <v>4</v>
      </c>
      <c r="E97" s="42">
        <v>1.8</v>
      </c>
      <c r="F97" s="23" t="s">
        <v>333</v>
      </c>
      <c r="G97" s="12">
        <f t="shared" si="3"/>
        <v>7.2</v>
      </c>
      <c r="H97" s="23"/>
    </row>
    <row r="98" spans="1:8" s="28" customFormat="1" ht="39" customHeight="1" x14ac:dyDescent="0.25">
      <c r="A98" s="41">
        <v>3</v>
      </c>
      <c r="B98" s="40" t="s">
        <v>276</v>
      </c>
      <c r="C98" s="11" t="s">
        <v>326</v>
      </c>
      <c r="D98" s="41">
        <v>4.5</v>
      </c>
      <c r="E98" s="42">
        <v>1.5</v>
      </c>
      <c r="F98" s="23" t="s">
        <v>338</v>
      </c>
      <c r="G98" s="12">
        <f t="shared" si="3"/>
        <v>6.75</v>
      </c>
      <c r="H98" s="23"/>
    </row>
    <row r="99" spans="1:8" s="28" customFormat="1" ht="39" customHeight="1" x14ac:dyDescent="0.25">
      <c r="A99" s="41">
        <v>4</v>
      </c>
      <c r="B99" s="40" t="s">
        <v>277</v>
      </c>
      <c r="C99" s="11"/>
      <c r="D99" s="41">
        <v>8</v>
      </c>
      <c r="E99" s="42">
        <v>5</v>
      </c>
      <c r="F99" s="23"/>
      <c r="G99" s="12">
        <f t="shared" si="3"/>
        <v>40</v>
      </c>
      <c r="H99" s="23"/>
    </row>
    <row r="100" spans="1:8" s="28" customFormat="1" ht="39" customHeight="1" x14ac:dyDescent="0.25">
      <c r="A100" s="41">
        <v>5</v>
      </c>
      <c r="B100" s="40" t="s">
        <v>255</v>
      </c>
      <c r="C100" s="11" t="s">
        <v>325</v>
      </c>
      <c r="D100" s="41">
        <v>5</v>
      </c>
      <c r="E100" s="42">
        <v>3.5</v>
      </c>
      <c r="F100" s="23" t="s">
        <v>336</v>
      </c>
      <c r="G100" s="12">
        <f t="shared" si="3"/>
        <v>17.5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C13" sqref="C13"/>
    </sheetView>
  </sheetViews>
  <sheetFormatPr defaultRowHeight="15.75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24" customHeight="1" x14ac:dyDescent="0.25">
      <c r="A1" s="74" t="s">
        <v>186</v>
      </c>
      <c r="B1" s="74"/>
      <c r="C1" s="74"/>
      <c r="D1" s="74"/>
      <c r="E1" s="74"/>
      <c r="F1" s="74"/>
      <c r="G1" s="74"/>
    </row>
    <row r="2" spans="1:7" ht="24" customHeight="1" x14ac:dyDescent="0.25">
      <c r="E2" s="75" t="s">
        <v>165</v>
      </c>
      <c r="F2" s="75"/>
      <c r="G2" s="75"/>
    </row>
    <row r="3" spans="1:7" ht="29.45" customHeight="1" x14ac:dyDescent="0.25">
      <c r="A3" s="78" t="s">
        <v>166</v>
      </c>
      <c r="B3" s="78" t="s">
        <v>167</v>
      </c>
      <c r="C3" s="58" t="s">
        <v>168</v>
      </c>
      <c r="D3" s="78" t="s">
        <v>187</v>
      </c>
      <c r="E3" s="78" t="s">
        <v>171</v>
      </c>
      <c r="F3" s="78"/>
      <c r="G3" s="78" t="s">
        <v>188</v>
      </c>
    </row>
    <row r="4" spans="1:7" ht="38.450000000000003" customHeight="1" x14ac:dyDescent="0.25">
      <c r="A4" s="78"/>
      <c r="B4" s="78"/>
      <c r="C4" s="58"/>
      <c r="D4" s="78"/>
      <c r="E4" s="18" t="s">
        <v>189</v>
      </c>
      <c r="F4" s="18" t="s">
        <v>190</v>
      </c>
      <c r="G4" s="78"/>
    </row>
    <row r="5" spans="1:7" ht="28.15" customHeight="1" x14ac:dyDescent="0.25">
      <c r="A5" s="78"/>
      <c r="B5" s="78"/>
      <c r="C5" s="58"/>
      <c r="D5" s="78"/>
      <c r="E5" s="18" t="s">
        <v>191</v>
      </c>
      <c r="F5" s="18" t="s">
        <v>224</v>
      </c>
      <c r="G5" s="78"/>
    </row>
    <row r="6" spans="1:7" ht="31.5" customHeight="1" x14ac:dyDescent="0.25">
      <c r="A6" s="11">
        <v>1</v>
      </c>
      <c r="B6" s="18" t="s">
        <v>278</v>
      </c>
      <c r="C6" s="45" t="s">
        <v>331</v>
      </c>
      <c r="D6" s="18">
        <v>30</v>
      </c>
      <c r="E6" s="18" t="s">
        <v>333</v>
      </c>
      <c r="F6" s="18">
        <f>0.05*(D6)*(D6)</f>
        <v>45</v>
      </c>
      <c r="G6" s="18"/>
    </row>
    <row r="7" spans="1:7" ht="31.5" customHeight="1" x14ac:dyDescent="0.25">
      <c r="A7" s="11">
        <v>2</v>
      </c>
      <c r="B7" s="18" t="s">
        <v>278</v>
      </c>
      <c r="C7" s="45" t="s">
        <v>331</v>
      </c>
      <c r="D7" s="18">
        <v>40</v>
      </c>
      <c r="E7" s="18" t="s">
        <v>335</v>
      </c>
      <c r="F7" s="18">
        <f t="shared" ref="F7:F12" si="0">0.05*(D7)*(D7)</f>
        <v>80</v>
      </c>
      <c r="G7" s="18"/>
    </row>
    <row r="8" spans="1:7" ht="31.5" customHeight="1" x14ac:dyDescent="0.25">
      <c r="A8" s="11">
        <v>3</v>
      </c>
      <c r="B8" s="18" t="s">
        <v>278</v>
      </c>
      <c r="C8" s="45" t="s">
        <v>331</v>
      </c>
      <c r="D8" s="18">
        <v>40</v>
      </c>
      <c r="E8" s="18"/>
      <c r="F8" s="18">
        <f t="shared" si="0"/>
        <v>80</v>
      </c>
      <c r="G8" s="18"/>
    </row>
    <row r="9" spans="1:7" ht="31.5" customHeight="1" x14ac:dyDescent="0.25">
      <c r="A9" s="11">
        <v>4</v>
      </c>
      <c r="B9" s="18" t="s">
        <v>278</v>
      </c>
      <c r="C9" s="45" t="s">
        <v>331</v>
      </c>
      <c r="D9" s="18">
        <v>35</v>
      </c>
      <c r="E9" s="18"/>
      <c r="F9" s="18">
        <f t="shared" si="0"/>
        <v>61.25</v>
      </c>
      <c r="G9" s="18"/>
    </row>
    <row r="10" spans="1:7" ht="31.5" customHeight="1" x14ac:dyDescent="0.25">
      <c r="A10" s="11">
        <v>5</v>
      </c>
      <c r="B10" s="18" t="s">
        <v>274</v>
      </c>
      <c r="C10" s="45" t="s">
        <v>329</v>
      </c>
      <c r="D10" s="18">
        <v>25</v>
      </c>
      <c r="E10" s="18" t="s">
        <v>336</v>
      </c>
      <c r="F10" s="18">
        <f t="shared" si="0"/>
        <v>31.25</v>
      </c>
      <c r="G10" s="18"/>
    </row>
    <row r="11" spans="1:7" ht="31.5" customHeight="1" x14ac:dyDescent="0.25">
      <c r="A11" s="11">
        <v>6</v>
      </c>
      <c r="B11" s="18" t="s">
        <v>279</v>
      </c>
      <c r="C11" s="45"/>
      <c r="D11" s="18">
        <v>45</v>
      </c>
      <c r="E11" s="18"/>
      <c r="F11" s="18">
        <f t="shared" si="0"/>
        <v>101.25</v>
      </c>
      <c r="G11" s="18"/>
    </row>
    <row r="12" spans="1:7" ht="31.5" customHeight="1" x14ac:dyDescent="0.25">
      <c r="A12" s="11">
        <v>7</v>
      </c>
      <c r="B12" s="18" t="s">
        <v>280</v>
      </c>
      <c r="C12" s="45"/>
      <c r="D12" s="18">
        <v>40</v>
      </c>
      <c r="E12" s="18" t="s">
        <v>337</v>
      </c>
      <c r="F12" s="18">
        <f t="shared" si="0"/>
        <v>80</v>
      </c>
      <c r="G12" s="18"/>
    </row>
    <row r="13" spans="1:7" ht="31.5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31.5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31.5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31.5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31.5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31.5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31.5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31.5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31.5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31.5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31.5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31.5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31.5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31.5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31.5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31.5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31.5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31.5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31.5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31.5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24.75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21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24" customHeight="1" x14ac:dyDescent="0.25">
      <c r="B35" s="46" t="s">
        <v>193</v>
      </c>
      <c r="C35" s="47"/>
      <c r="E35" s="74" t="s">
        <v>194</v>
      </c>
      <c r="F35" s="74"/>
      <c r="G35" s="74"/>
    </row>
    <row r="36" spans="1:7" ht="25.9" customHeight="1" x14ac:dyDescent="0.25">
      <c r="A36" s="78" t="s">
        <v>166</v>
      </c>
      <c r="B36" s="78" t="s">
        <v>167</v>
      </c>
      <c r="C36" s="83" t="s">
        <v>168</v>
      </c>
      <c r="D36" s="78" t="s">
        <v>187</v>
      </c>
      <c r="E36" s="78" t="s">
        <v>171</v>
      </c>
      <c r="F36" s="78"/>
      <c r="G36" s="78" t="s">
        <v>188</v>
      </c>
    </row>
    <row r="37" spans="1:7" ht="37.15" customHeight="1" x14ac:dyDescent="0.25">
      <c r="A37" s="78"/>
      <c r="B37" s="78"/>
      <c r="C37" s="84"/>
      <c r="D37" s="78"/>
      <c r="E37" s="18" t="s">
        <v>189</v>
      </c>
      <c r="F37" s="18" t="s">
        <v>190</v>
      </c>
      <c r="G37" s="78"/>
    </row>
    <row r="38" spans="1:7" ht="32.450000000000003" customHeight="1" x14ac:dyDescent="0.25">
      <c r="A38" s="78"/>
      <c r="B38" s="78"/>
      <c r="C38" s="85"/>
      <c r="D38" s="78"/>
      <c r="E38" s="18" t="s">
        <v>191</v>
      </c>
      <c r="F38" s="18" t="s">
        <v>192</v>
      </c>
      <c r="G38" s="78"/>
    </row>
    <row r="39" spans="1:7" s="28" customFormat="1" ht="42" customHeight="1" x14ac:dyDescent="0.25">
      <c r="A39" s="41">
        <v>1</v>
      </c>
      <c r="B39" s="23" t="s">
        <v>278</v>
      </c>
      <c r="C39" s="48" t="s">
        <v>332</v>
      </c>
      <c r="D39" s="41">
        <v>25</v>
      </c>
      <c r="E39" s="23" t="s">
        <v>333</v>
      </c>
      <c r="F39" s="18">
        <f t="shared" ref="F39:F45" si="1">0.05*(D39)*(D39)</f>
        <v>31.25</v>
      </c>
      <c r="G39" s="23"/>
    </row>
    <row r="40" spans="1:7" s="28" customFormat="1" ht="42" customHeight="1" x14ac:dyDescent="0.25">
      <c r="A40" s="41">
        <v>2</v>
      </c>
      <c r="B40" s="23" t="s">
        <v>278</v>
      </c>
      <c r="C40" s="48" t="s">
        <v>332</v>
      </c>
      <c r="D40" s="41">
        <v>35</v>
      </c>
      <c r="E40" s="23" t="s">
        <v>334</v>
      </c>
      <c r="F40" s="18">
        <f t="shared" si="1"/>
        <v>61.25</v>
      </c>
      <c r="G40" s="23"/>
    </row>
    <row r="41" spans="1:7" s="28" customFormat="1" ht="42" customHeight="1" x14ac:dyDescent="0.25">
      <c r="A41" s="41">
        <v>3</v>
      </c>
      <c r="B41" s="23" t="s">
        <v>278</v>
      </c>
      <c r="C41" s="48" t="s">
        <v>332</v>
      </c>
      <c r="D41" s="41">
        <v>40</v>
      </c>
      <c r="E41" s="23"/>
      <c r="F41" s="18">
        <f t="shared" si="1"/>
        <v>80</v>
      </c>
      <c r="G41" s="23"/>
    </row>
    <row r="42" spans="1:7" s="28" customFormat="1" ht="42" customHeight="1" x14ac:dyDescent="0.25">
      <c r="A42" s="41">
        <v>4</v>
      </c>
      <c r="B42" s="23" t="s">
        <v>278</v>
      </c>
      <c r="C42" s="48" t="s">
        <v>332</v>
      </c>
      <c r="D42" s="41">
        <v>50</v>
      </c>
      <c r="E42" s="23"/>
      <c r="F42" s="18">
        <f t="shared" si="1"/>
        <v>125</v>
      </c>
      <c r="G42" s="23"/>
    </row>
    <row r="43" spans="1:7" s="28" customFormat="1" ht="42" customHeight="1" x14ac:dyDescent="0.25">
      <c r="A43" s="41">
        <v>5</v>
      </c>
      <c r="B43" s="23" t="s">
        <v>278</v>
      </c>
      <c r="C43" s="48" t="s">
        <v>332</v>
      </c>
      <c r="D43" s="41">
        <v>45</v>
      </c>
      <c r="E43" s="23"/>
      <c r="F43" s="18">
        <f t="shared" si="1"/>
        <v>101.25</v>
      </c>
      <c r="G43" s="23"/>
    </row>
    <row r="44" spans="1:7" s="28" customFormat="1" ht="42" customHeight="1" x14ac:dyDescent="0.25">
      <c r="A44" s="41">
        <v>6</v>
      </c>
      <c r="B44" s="23" t="s">
        <v>281</v>
      </c>
      <c r="C44" s="48"/>
      <c r="D44" s="41">
        <v>45</v>
      </c>
      <c r="E44" s="23" t="s">
        <v>334</v>
      </c>
      <c r="F44" s="18">
        <f t="shared" si="1"/>
        <v>101.25</v>
      </c>
      <c r="G44" s="23"/>
    </row>
    <row r="45" spans="1:7" s="28" customFormat="1" ht="42" customHeight="1" x14ac:dyDescent="0.25">
      <c r="A45" s="41">
        <v>7</v>
      </c>
      <c r="B45" s="23" t="s">
        <v>281</v>
      </c>
      <c r="C45" s="48"/>
      <c r="D45" s="41">
        <v>30</v>
      </c>
      <c r="E45" s="23"/>
      <c r="F45" s="18">
        <f t="shared" si="1"/>
        <v>45</v>
      </c>
      <c r="G45" s="23"/>
    </row>
    <row r="46" spans="1:7" s="28" customFormat="1" ht="42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2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2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2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2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2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2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2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2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2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2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2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2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2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2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24.75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195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196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197</v>
      </c>
      <c r="C5" s="4" t="s">
        <v>198</v>
      </c>
      <c r="D5" s="4" t="s">
        <v>199</v>
      </c>
      <c r="E5" s="2" t="s">
        <v>200</v>
      </c>
      <c r="F5" s="2" t="s">
        <v>201</v>
      </c>
      <c r="G5" s="4" t="s">
        <v>202</v>
      </c>
      <c r="I5" s="87" t="s">
        <v>203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204</v>
      </c>
      <c r="F6" s="2" t="s">
        <v>205</v>
      </c>
      <c r="G6" s="2" t="s">
        <v>206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207</v>
      </c>
      <c r="J7" s="87"/>
      <c r="K7" s="87"/>
    </row>
    <row r="9" spans="1:11" ht="36.75" customHeight="1" x14ac:dyDescent="0.25">
      <c r="A9" s="54" t="s">
        <v>208</v>
      </c>
      <c r="B9" s="53" t="s">
        <v>209</v>
      </c>
      <c r="C9" s="53"/>
      <c r="D9" s="53"/>
      <c r="E9" s="53"/>
      <c r="F9" s="53" t="s">
        <v>210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212</v>
      </c>
      <c r="D10" s="4" t="s">
        <v>235</v>
      </c>
      <c r="E10" s="4" t="s">
        <v>213</v>
      </c>
      <c r="F10" s="4" t="s">
        <v>211</v>
      </c>
      <c r="G10" s="4" t="s">
        <v>214</v>
      </c>
      <c r="H10" s="4" t="s">
        <v>225</v>
      </c>
    </row>
    <row r="11" spans="1:11" ht="24.75" customHeight="1" x14ac:dyDescent="0.25">
      <c r="A11" s="24" t="s">
        <v>64</v>
      </c>
      <c r="B11" s="24" t="s">
        <v>215</v>
      </c>
      <c r="C11" s="24" t="s">
        <v>142</v>
      </c>
      <c r="D11" s="24" t="s">
        <v>91</v>
      </c>
      <c r="E11" s="24" t="s">
        <v>216</v>
      </c>
      <c r="F11" s="24" t="s">
        <v>217</v>
      </c>
      <c r="G11" s="24" t="s">
        <v>218</v>
      </c>
      <c r="H11" s="24" t="s">
        <v>219</v>
      </c>
    </row>
    <row r="12" spans="1:11" ht="39.75" customHeight="1" x14ac:dyDescent="0.25">
      <c r="A12" s="24"/>
      <c r="B12" s="24" t="s">
        <v>306</v>
      </c>
      <c r="C12" s="24" t="s">
        <v>282</v>
      </c>
      <c r="D12" s="24">
        <v>46</v>
      </c>
      <c r="E12" s="24">
        <v>250</v>
      </c>
      <c r="F12" s="24"/>
      <c r="G12" s="24"/>
      <c r="H12" s="24"/>
    </row>
    <row r="13" spans="1:11" ht="39.75" customHeight="1" x14ac:dyDescent="0.25">
      <c r="A13" s="24"/>
      <c r="B13" s="24" t="s">
        <v>255</v>
      </c>
      <c r="C13" s="24" t="s">
        <v>282</v>
      </c>
      <c r="D13" s="24">
        <v>31</v>
      </c>
      <c r="E13" s="24">
        <v>30</v>
      </c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229</v>
      </c>
      <c r="B1" s="53"/>
      <c r="C1" s="53"/>
      <c r="D1" s="53"/>
      <c r="E1" s="53"/>
    </row>
    <row r="2" spans="1:8" ht="25.5" customHeight="1" x14ac:dyDescent="0.25">
      <c r="A2" s="2" t="s">
        <v>230</v>
      </c>
      <c r="B2" s="2" t="s">
        <v>236</v>
      </c>
      <c r="C2" s="2" t="s">
        <v>237</v>
      </c>
      <c r="D2" s="2" t="s">
        <v>238</v>
      </c>
      <c r="E2" s="2" t="s">
        <v>231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232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239</v>
      </c>
      <c r="B19" s="53"/>
      <c r="C19" s="53"/>
      <c r="D19" s="53"/>
      <c r="E19" s="53"/>
    </row>
    <row r="20" spans="1:5" ht="36" customHeight="1" x14ac:dyDescent="0.25">
      <c r="A20" s="2" t="s">
        <v>230</v>
      </c>
      <c r="B20" s="2" t="s">
        <v>120</v>
      </c>
      <c r="C20" s="2" t="s">
        <v>240</v>
      </c>
      <c r="D20" s="4" t="s">
        <v>241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2024-06-16T14:02:36Z</dcterms:modified>
</cp:coreProperties>
</file>