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\II-44a\"/>
    </mc:Choice>
  </mc:AlternateContent>
  <xr:revisionPtr revIDLastSave="0" documentId="13_ncr:1_{9E665CC6-0826-4F86-8D12-85EDB441D179}" xr6:coauthVersionLast="47" xr6:coauthVersionMax="47" xr10:uidLastSave="{00000000-0000-0000-0000-000000000000}"/>
  <bookViews>
    <workbookView xWindow="2430" yWindow="960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9" i="8" l="1"/>
  <c r="G98" i="8"/>
  <c r="G97" i="8"/>
  <c r="G96" i="8"/>
  <c r="G71" i="8"/>
  <c r="G70" i="8"/>
  <c r="G69" i="8"/>
  <c r="G41" i="8"/>
  <c r="G40" i="8"/>
  <c r="G39" i="8"/>
  <c r="G38" i="8"/>
  <c r="G6" i="8"/>
  <c r="G5" i="8"/>
  <c r="F40" i="9"/>
  <c r="F39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12" i="6"/>
  <c r="A13" i="6"/>
  <c r="A14" i="6"/>
  <c r="A15" i="6"/>
  <c r="A16" i="6"/>
  <c r="A17" i="6"/>
  <c r="A18" i="6"/>
  <c r="A19" i="6"/>
  <c r="A20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<sst xmlns="http://schemas.openxmlformats.org/spreadsheetml/2006/main" count="464" uniqueCount="332">
  <si>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</si>
  <si>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</si>
  <si>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</si>
  <si>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</si>
  <si>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</si>
  <si>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</si>
  <si>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</si>
  <si>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</si>
  <si>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</si>
  <si>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</si>
  <si>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</si>
  <si>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</si>
  <si>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</si>
  <si>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</si>
  <si>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</si>
  <si>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</si>
  <si>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</si>
  <si>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</si>
  <si>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</si>
  <si>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</si>
  <si>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</si>
  <si>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</si>
  <si>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</si>
  <si>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</si>
  <si>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</si>
  <si>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</si>
  <si>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</si>
  <si>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</si>
  <si>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</si>
  <si>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</si>
  <si>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</si>
  <si>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</si>
  <si>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</si>
  <si>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</si>
  <si>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</si>
  <si>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</si>
  <si>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</si>
  <si>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</si>
  <si>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</si>
  <si>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</si>
  <si>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</si>
  <si>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</si>
  <si>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</si>
  <si>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</si>
  <si>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</si>
  <si>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</si>
  <si>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</si>
  <si>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</si>
  <si>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</si>
  <si>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</si>
  <si>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</si>
  <si>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</si>
  <si>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</si>
  <si>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</si>
  <si>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</si>
  <si>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</si>
  <si>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</si>
  <si>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</si>
  <si>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</si>
  <si>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</si>
  <si>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</si>
  <si>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</si>
  <si>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</si>
  <si>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</si>
  <si>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</si>
  <si>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</si>
  <si>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</si>
  <si>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</si>
  <si>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</si>
  <si>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</si>
  <si>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</si>
  <si>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</si>
  <si>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</si>
  <si>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</si>
  <si>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</si>
  <si>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</si>
  <si>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</si>
  <si>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</si>
  <si>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</si>
  <si>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</si>
  <si>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</si>
  <si>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</si>
  <si>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</si>
  <si>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</si>
  <si>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</si>
  <si>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</si>
  <si>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</si>
  <si>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</si>
  <si>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</si>
  <si>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</si>
  <si>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</si>
  <si>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</si>
  <si>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</si>
  <si>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</si>
  <si>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</si>
  <si>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</si>
  <si>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</si>
  <si>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</si>
  <si>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</si>
  <si>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</si>
  <si>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</si>
  <si>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</si>
  <si>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</si>
  <si>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</si>
  <si>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</si>
  <si>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</si>
  <si>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</si>
  <si>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</si>
  <si>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</si>
  <si>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</si>
  <si>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</si>
  <si>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</si>
  <si>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</si>
  <si>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</si>
  <si>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</si>
  <si>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</si>
  <si>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</si>
  <si>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</si>
  <si>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</si>
  <si>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</si>
  <si>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</si>
  <si>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</si>
  <si>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</si>
  <si>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</si>
  <si>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</si>
  <si>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</si>
  <si>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</si>
  <si>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</si>
  <si>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</si>
  <si>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</si>
  <si>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</si>
  <si>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</si>
  <si>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</si>
  <si>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</si>
  <si>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</si>
  <si>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</si>
  <si>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</si>
  <si>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</si>
  <si>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</si>
  <si>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</si>
  <si>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</si>
  <si>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</si>
  <si>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</si>
  <si>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</si>
  <si>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</si>
  <si>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</si>
  <si>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</si>
  <si>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</si>
  <si>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</si>
  <si>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</si>
  <si>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</si>
  <si>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</si>
  <si>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</si>
  <si>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</si>
  <si>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</si>
  <si>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</si>
  <si>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</si>
  <si>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</si>
  <si>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</si>
  <si>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</si>
  <si>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</si>
  <si>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</si>
  <si>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</si>
  <si>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</si>
  <si>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</si>
  <si>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</si>
  <si>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</si>
  <si>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</si>
  <si>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</si>
  <si>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</si>
  <si>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</si>
  <si>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</si>
  <si>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</si>
  <si>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</si>
  <si>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</si>
  <si>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</si>
  <si>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</si>
  <si>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</si>
  <si>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</si>
  <si>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</si>
  <si>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</si>
  <si>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</si>
  <si>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</si>
  <si>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</si>
  <si>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</si>
  <si>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</si>
  <si>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</si>
  <si>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</si>
  <si>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</si>
  <si>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</si>
  <si>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</si>
  <si>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</si>
  <si>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</si>
  <si>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</si>
  <si>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</si>
  <si>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</si>
  <si>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</si>
  <si>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</si>
  <si>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</si>
  <si>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</si>
  <si>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</si>
  <si>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</si>
  <si>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</si>
  <si>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</si>
  <si>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</si>
  <si>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</si>
  <si>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</si>
  <si>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</si>
  <si>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</si>
  <si>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</si>
  <si>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</si>
  <si>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</si>
  <si>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</si>
  <si>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</si>
  <si>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</si>
  <si>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</si>
  <si>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</si>
  <si>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</si>
  <si>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</si>
  <si>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</si>
  <si>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</si>
  <si>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</si>
  <si>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</si>
  <si>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</si>
  <si>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</si>
  <si>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</si>
  <si>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</si>
  <si>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</si>
  <si>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</si>
  <si>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</si>
  <si>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</si>
  <si>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</si>
  <si>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</si>
  <si>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</si>
  <si>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</si>
  <si>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</si>
  <si>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</si>
  <si>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</si>
  <si>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</si>
  <si>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</si>
  <si>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</si>
  <si>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</si>
  <si>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</si>
  <si>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Aporosa lindleyana Terminalia bellarica </t>
  </si>
  <si>
    <t>Tract - Hilly</t>
  </si>
  <si>
    <t>Aspect - NE</t>
  </si>
  <si>
    <t>Canopy Dencity - 0.75</t>
  </si>
  <si>
    <t xml:space="preserve">Herbs - Memecylon talbotianum Smilax spinosa </t>
  </si>
  <si>
    <t xml:space="preserve">Shrubs -Leea indica </t>
  </si>
  <si>
    <t>Underwood species –Holigarna arnattiana Leea indica Ficus hispida</t>
  </si>
  <si>
    <t xml:space="preserve">Climbers -Pothos scandens Piper nigrum </t>
  </si>
  <si>
    <t xml:space="preserve">NTFP yieding sps –Caryota urens </t>
  </si>
  <si>
    <t>Stream</t>
  </si>
  <si>
    <t>Mild</t>
  </si>
  <si>
    <r>
      <rPr>
        <b/>
        <sz val="12"/>
        <rFont val="Times New Roman"/>
        <family val="1"/>
      </rPr>
      <t>Reserve Forest /</t>
    </r>
    <r>
      <rPr>
        <sz val="12"/>
        <rFont val="Times New Roman"/>
        <family val="1"/>
      </rPr>
      <t xml:space="preserve">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</si>
  <si>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</si>
  <si>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</si>
  <si>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</si>
  <si>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</si>
  <si>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Permiability- moderate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</si>
  <si>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</si>
  <si>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</si>
  <si>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</si>
  <si>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Microbes, insects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</si>
  <si>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</si>
  <si>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</si>
  <si>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</si>
  <si>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</si>
  <si>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0.5-0.75</t>
  </si>
  <si>
    <t>Aporosa lindleyana</t>
  </si>
  <si>
    <t>Xylia xylocarpa</t>
  </si>
  <si>
    <t>Caryota urens</t>
  </si>
  <si>
    <t>Gmelina arborea</t>
  </si>
  <si>
    <t>Artocarpus hirusts</t>
  </si>
  <si>
    <t>Leea indica</t>
  </si>
  <si>
    <t>1.3kg</t>
  </si>
  <si>
    <t>Callicarpa tomentosa</t>
  </si>
  <si>
    <t>6.7kg</t>
  </si>
  <si>
    <t>4.5kg</t>
  </si>
  <si>
    <t>Actinodaphne hookeri</t>
  </si>
  <si>
    <t>Ficus tricuspyoctustus</t>
  </si>
  <si>
    <t>Clerodendrum infortunatum</t>
  </si>
  <si>
    <t>Pothos scandens</t>
  </si>
  <si>
    <t>Psychotria flavida</t>
  </si>
  <si>
    <t>Terminalia paniculata</t>
  </si>
  <si>
    <t>Memecylon talbotianum</t>
  </si>
  <si>
    <t>Smilax spinosa</t>
  </si>
  <si>
    <t>180g</t>
  </si>
  <si>
    <t>550g</t>
  </si>
  <si>
    <t>850g</t>
  </si>
  <si>
    <t>600g</t>
  </si>
  <si>
    <t>750g</t>
  </si>
  <si>
    <t>230g</t>
  </si>
  <si>
    <t>Unknown</t>
  </si>
  <si>
    <t>450 ft</t>
  </si>
  <si>
    <t>Travel 4km highway NH37 from Dharmasthala to Nidle towards padava road to 5kms towards grid</t>
  </si>
  <si>
    <t>Rattans – Nil</t>
  </si>
  <si>
    <t>Belthangady</t>
  </si>
  <si>
    <t xml:space="preserve">Dharmastala mundaje RF X B II </t>
  </si>
  <si>
    <t>II-44a</t>
  </si>
  <si>
    <t>Soil - Black soil</t>
  </si>
  <si>
    <t>Grasses -NIL</t>
  </si>
  <si>
    <t>Weeds -NIL</t>
  </si>
  <si>
    <t>Bamboos -NIL</t>
  </si>
  <si>
    <t>1.5m</t>
  </si>
  <si>
    <t>NIL</t>
  </si>
  <si>
    <t>Texture- Ssmooth</t>
  </si>
  <si>
    <t>Depth- Moderate</t>
  </si>
  <si>
    <t xml:space="preserve">Aporosa lindleyana , Xylia xylocarpa , Gmelina arborea , Caryota urens </t>
  </si>
  <si>
    <t>Mangalore</t>
  </si>
  <si>
    <t>Netige</t>
  </si>
  <si>
    <t>Salle</t>
  </si>
  <si>
    <t>Nertige</t>
  </si>
  <si>
    <t>Sudugenasu</t>
  </si>
  <si>
    <t>Esaga</t>
  </si>
  <si>
    <t>Pandavara Batti</t>
  </si>
  <si>
    <t>Beelu Balli</t>
  </si>
  <si>
    <t>Beelu balli</t>
  </si>
  <si>
    <t>Kaadu coffee</t>
  </si>
  <si>
    <t>Matti</t>
  </si>
  <si>
    <t>Edible fruits, Fiber</t>
  </si>
  <si>
    <t>Tubers and roots</t>
  </si>
  <si>
    <t xml:space="preserve">Tubers </t>
  </si>
  <si>
    <t>5 kg</t>
  </si>
  <si>
    <t>tubers</t>
  </si>
  <si>
    <t>leaves</t>
  </si>
  <si>
    <t>fruitt pulp</t>
  </si>
  <si>
    <t>seeds</t>
  </si>
  <si>
    <t xml:space="preserve">Fruits, Fiber </t>
  </si>
  <si>
    <t>roots</t>
  </si>
  <si>
    <t>fruits, tubers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</si>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</sst>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297</v>
      </c>
    </row>
    <row r="6" spans="1:3" ht="39" customHeight="1" x14ac:dyDescent="0.25">
      <c r="A6" s="4">
        <v>2</v>
      </c>
      <c r="B6" s="51" t="s">
        <v>7</v>
      </c>
      <c r="C6" s="8" t="s">
        <v>298</v>
      </c>
    </row>
    <row r="7" spans="1:3" ht="39" customHeight="1" x14ac:dyDescent="0.25">
      <c r="A7" s="4">
        <v>3</v>
      </c>
      <c r="B7" s="51" t="s">
        <v>8</v>
      </c>
      <c r="C7" s="8" t="s">
        <v>299</v>
      </c>
    </row>
    <row r="8" spans="1:3" ht="39" customHeight="1" x14ac:dyDescent="0.25">
      <c r="A8" s="4">
        <v>4</v>
      </c>
      <c r="B8" s="51" t="s">
        <v>9</v>
      </c>
      <c r="C8" s="8">
        <v>5989</v>
      </c>
    </row>
    <row r="9" spans="1:3" ht="39" customHeight="1" x14ac:dyDescent="0.25">
      <c r="A9" s="4">
        <v>5</v>
      </c>
      <c r="B9" s="51" t="s">
        <v>10</v>
      </c>
      <c r="C9" s="9">
        <v>12.951700000000001</v>
      </c>
    </row>
    <row r="10" spans="1:3" ht="39" customHeight="1" x14ac:dyDescent="0.25">
      <c r="A10" s="4">
        <v>6</v>
      </c>
      <c r="B10" s="51" t="s">
        <v>11</v>
      </c>
      <c r="C10" s="9">
        <v>75.416683000000006</v>
      </c>
    </row>
    <row r="11" spans="1:3" ht="141.75" customHeight="1" x14ac:dyDescent="0.25">
      <c r="A11" s="4">
        <v>7</v>
      </c>
      <c r="B11" s="51" t="s">
        <v>12</v>
      </c>
      <c r="C11" s="9" t="s">
        <v>295</v>
      </c>
    </row>
    <row r="12" spans="1:3" ht="98.25" customHeight="1" x14ac:dyDescent="0.25">
      <c r="A12" s="4">
        <v>8</v>
      </c>
      <c r="B12" s="51" t="s">
        <v>13</v>
      </c>
      <c r="C12" s="10" t="s">
        <v>243</v>
      </c>
    </row>
    <row r="13" spans="1:3" ht="32.25" customHeight="1" x14ac:dyDescent="0.25">
      <c r="A13" s="54">
        <v>9</v>
      </c>
      <c r="B13" s="55" t="s">
        <v>14</v>
      </c>
      <c r="C13" s="6" t="s">
        <v>244</v>
      </c>
    </row>
    <row r="14" spans="1:3" ht="32.25" customHeight="1" x14ac:dyDescent="0.25">
      <c r="A14" s="54"/>
      <c r="B14" s="55"/>
      <c r="C14" s="6" t="s">
        <v>245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300</v>
      </c>
    </row>
    <row r="17" spans="1:3" ht="32.25" customHeight="1" x14ac:dyDescent="0.25">
      <c r="A17" s="54"/>
      <c r="B17" s="55"/>
      <c r="C17" s="6" t="s">
        <v>301</v>
      </c>
    </row>
    <row r="18" spans="1:3" ht="32.25" customHeight="1" x14ac:dyDescent="0.25">
      <c r="A18" s="54"/>
      <c r="B18" s="55"/>
      <c r="C18" s="6" t="s">
        <v>302</v>
      </c>
    </row>
    <row r="19" spans="1:3" ht="32.25" customHeight="1" x14ac:dyDescent="0.25">
      <c r="A19" s="54"/>
      <c r="B19" s="55"/>
      <c r="C19" s="6" t="s">
        <v>303</v>
      </c>
    </row>
    <row r="20" spans="1:3" ht="57.75" customHeight="1" x14ac:dyDescent="0.25">
      <c r="A20" s="54"/>
      <c r="B20" s="55"/>
      <c r="C20" s="6" t="s">
        <v>247</v>
      </c>
    </row>
    <row r="21" spans="1:3" ht="63" customHeight="1" x14ac:dyDescent="0.25">
      <c r="A21" s="54"/>
      <c r="B21" s="55"/>
      <c r="C21" s="6" t="s">
        <v>248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250</v>
      </c>
    </row>
    <row r="24" spans="1:3" ht="63" customHeight="1" x14ac:dyDescent="0.25">
      <c r="A24" s="54"/>
      <c r="B24" s="55"/>
      <c r="C24" s="6" t="s">
        <v>296</v>
      </c>
    </row>
    <row r="25" spans="1:3" ht="63" customHeight="1" x14ac:dyDescent="0.25">
      <c r="A25" s="54"/>
      <c r="B25" s="55"/>
      <c r="C25" s="6" t="s">
        <v>251</v>
      </c>
    </row>
    <row r="26" spans="1:3" ht="49.5" customHeight="1" x14ac:dyDescent="0.25">
      <c r="A26" s="4">
        <v>10</v>
      </c>
      <c r="B26" s="51" t="s">
        <v>15</v>
      </c>
      <c r="C26" s="6" t="s">
        <v>252</v>
      </c>
    </row>
    <row r="27" spans="1:3" ht="53.25" customHeight="1" x14ac:dyDescent="0.25">
      <c r="A27" s="4">
        <v>11</v>
      </c>
      <c r="B27" s="51" t="s">
        <v>16</v>
      </c>
      <c r="C27" s="6" t="s">
        <v>253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304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309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 xml:space="preserve">Dharmastala mundaje RF X B II </v>
      </c>
    </row>
    <row r="8" spans="1:3" ht="32.25" customHeight="1" x14ac:dyDescent="0.25">
      <c r="A8" s="11">
        <v>4</v>
      </c>
      <c r="B8" s="52" t="s">
        <v>9</v>
      </c>
      <c r="C8" s="20">
        <f>'Form 1'!C8</f>
        <v>5989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12.951700000000001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75.416683000000006</v>
      </c>
    </row>
    <row r="11" spans="1:3" ht="32.25" customHeight="1" x14ac:dyDescent="0.25">
      <c r="A11" s="11">
        <v>7</v>
      </c>
      <c r="B11" s="52" t="s">
        <v>22</v>
      </c>
      <c r="C11" s="20" t="s">
        <v>294</v>
      </c>
    </row>
    <row r="12" spans="1:3" ht="43.5" customHeight="1" x14ac:dyDescent="0.25">
      <c r="A12" s="11">
        <v>8</v>
      </c>
      <c r="B12" s="52" t="s">
        <v>23</v>
      </c>
      <c r="C12" s="20" t="s">
        <v>254</v>
      </c>
    </row>
    <row r="13" spans="1:3" ht="43.5" customHeight="1" x14ac:dyDescent="0.25">
      <c r="A13" s="11">
        <v>9</v>
      </c>
      <c r="B13" s="52" t="s">
        <v>24</v>
      </c>
      <c r="C13" s="20" t="s">
        <v>255</v>
      </c>
    </row>
    <row r="14" spans="1:3" ht="38.25" customHeight="1" x14ac:dyDescent="0.25">
      <c r="A14" s="11">
        <v>10</v>
      </c>
      <c r="B14" s="52" t="s">
        <v>25</v>
      </c>
      <c r="C14" s="20" t="s">
        <v>256</v>
      </c>
    </row>
    <row r="15" spans="1:3" ht="25.5" customHeight="1" x14ac:dyDescent="0.25">
      <c r="A15" s="11">
        <v>11</v>
      </c>
      <c r="B15" s="52" t="s">
        <v>26</v>
      </c>
      <c r="C15" s="22" t="s">
        <v>257</v>
      </c>
    </row>
    <row r="16" spans="1:3" ht="37.5" customHeight="1" x14ac:dyDescent="0.25">
      <c r="A16" s="11">
        <v>12</v>
      </c>
      <c r="B16" s="52" t="s">
        <v>27</v>
      </c>
      <c r="C16" s="22" t="s">
        <v>258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306</v>
      </c>
    </row>
    <row r="19" spans="1:3" ht="30.75" customHeight="1" x14ac:dyDescent="0.25">
      <c r="A19" s="57"/>
      <c r="B19" s="58"/>
      <c r="C19" s="22" t="s">
        <v>307</v>
      </c>
    </row>
    <row r="20" spans="1:3" ht="30.75" customHeight="1" x14ac:dyDescent="0.25">
      <c r="A20" s="57"/>
      <c r="B20" s="58"/>
      <c r="C20" s="23" t="s">
        <v>259</v>
      </c>
    </row>
    <row r="21" spans="1:3" ht="36" customHeight="1" x14ac:dyDescent="0.25">
      <c r="A21" s="11">
        <v>15</v>
      </c>
      <c r="B21" s="52" t="s">
        <v>31</v>
      </c>
      <c r="C21" s="22" t="s">
        <v>260</v>
      </c>
    </row>
    <row r="22" spans="1:3" ht="54.75" customHeight="1" x14ac:dyDescent="0.25">
      <c r="A22" s="11">
        <v>16</v>
      </c>
      <c r="B22" s="52" t="s">
        <v>32</v>
      </c>
      <c r="C22" s="22" t="s">
        <v>308</v>
      </c>
    </row>
    <row r="23" spans="1:3" ht="15.75" x14ac:dyDescent="0.25">
      <c r="A23" s="11">
        <v>17</v>
      </c>
      <c r="B23" s="52" t="s">
        <v>221</v>
      </c>
      <c r="C23" s="22" t="s">
        <v>261</v>
      </c>
    </row>
    <row r="24" spans="1:3" ht="35.25" customHeight="1" x14ac:dyDescent="0.25">
      <c r="A24" s="11">
        <v>18</v>
      </c>
      <c r="B24" s="52" t="s">
        <v>33</v>
      </c>
      <c r="C24" s="22" t="s">
        <v>262</v>
      </c>
    </row>
    <row r="25" spans="1:3" ht="72.75" customHeight="1" x14ac:dyDescent="0.25">
      <c r="A25" s="11">
        <v>19</v>
      </c>
      <c r="B25" s="52" t="s">
        <v>34</v>
      </c>
      <c r="C25" s="22" t="s">
        <v>263</v>
      </c>
    </row>
    <row r="26" spans="1:3" ht="30" customHeight="1" x14ac:dyDescent="0.25">
      <c r="A26" s="11">
        <v>20</v>
      </c>
      <c r="B26" s="52" t="s">
        <v>35</v>
      </c>
      <c r="C26" s="23" t="s">
        <v>264</v>
      </c>
    </row>
    <row r="27" spans="1:3" ht="30" customHeight="1" x14ac:dyDescent="0.25">
      <c r="A27" s="11">
        <v>21</v>
      </c>
      <c r="B27" s="52" t="s">
        <v>36</v>
      </c>
      <c r="C27" s="22" t="s">
        <v>265</v>
      </c>
    </row>
    <row r="28" spans="1:3" ht="30" customHeight="1" x14ac:dyDescent="0.25">
      <c r="A28" s="11">
        <v>22</v>
      </c>
      <c r="B28" s="52" t="s">
        <v>37</v>
      </c>
      <c r="C28" s="22" t="s">
        <v>266</v>
      </c>
    </row>
    <row r="29" spans="1:3" ht="32.25" customHeight="1" x14ac:dyDescent="0.25">
      <c r="A29" s="11">
        <v>23</v>
      </c>
      <c r="B29" s="52" t="s">
        <v>38</v>
      </c>
      <c r="C29" s="22" t="s">
        <v>266</v>
      </c>
    </row>
    <row r="30" spans="1:3" ht="62.25" customHeight="1" x14ac:dyDescent="0.25">
      <c r="A30" s="11">
        <v>24</v>
      </c>
      <c r="B30" s="52" t="s">
        <v>39</v>
      </c>
      <c r="C30" s="22" t="s">
        <v>305</v>
      </c>
    </row>
    <row r="31" spans="1:3" ht="72.75" customHeight="1" x14ac:dyDescent="0.25">
      <c r="A31" s="11">
        <v>25</v>
      </c>
      <c r="B31" s="52" t="s">
        <v>40</v>
      </c>
      <c r="C31" s="22" t="s">
        <v>305</v>
      </c>
    </row>
    <row r="32" spans="1:3" ht="60" customHeight="1" x14ac:dyDescent="0.25">
      <c r="A32" s="11">
        <v>26</v>
      </c>
      <c r="B32" s="52" t="s">
        <v>41</v>
      </c>
      <c r="C32" s="22" t="s">
        <v>252</v>
      </c>
    </row>
    <row r="33" spans="1:3" ht="60" customHeight="1" x14ac:dyDescent="0.25">
      <c r="A33" s="11">
        <v>27</v>
      </c>
      <c r="B33" s="52" t="s">
        <v>42</v>
      </c>
      <c r="C33" s="20" t="s">
        <v>267</v>
      </c>
    </row>
    <row r="34" spans="1:3" ht="57.75" customHeight="1" x14ac:dyDescent="0.25">
      <c r="A34" s="11">
        <v>28</v>
      </c>
      <c r="B34" s="52" t="s">
        <v>43</v>
      </c>
      <c r="C34" s="22" t="s">
        <v>305</v>
      </c>
    </row>
    <row r="35" spans="1:3" ht="59.25" customHeight="1" x14ac:dyDescent="0.25">
      <c r="A35" s="11">
        <v>29</v>
      </c>
      <c r="B35" s="52" t="s">
        <v>44</v>
      </c>
      <c r="C35" s="22" t="s">
        <v>305</v>
      </c>
    </row>
    <row r="36" spans="1:3" ht="66" customHeight="1" x14ac:dyDescent="0.25">
      <c r="A36" s="11">
        <v>30</v>
      </c>
      <c r="B36" s="52" t="s">
        <v>225</v>
      </c>
      <c r="C36" s="22" t="s">
        <v>268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5" zoomScale="60" zoomScaleNormal="70" workbookViewId="0">
      <selection activeCell="N17" sqref="N17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269</v>
      </c>
      <c r="C12" s="24"/>
      <c r="D12" s="24">
        <v>71</v>
      </c>
      <c r="E12" s="24"/>
      <c r="F12" s="24"/>
      <c r="G12" s="24"/>
      <c r="H12" s="24"/>
      <c r="I12" s="24">
        <v>7</v>
      </c>
      <c r="J12" s="24">
        <v>6</v>
      </c>
      <c r="K12" s="24">
        <f>L12+M12+R12</f>
        <v>13</v>
      </c>
      <c r="L12" s="24">
        <v>5</v>
      </c>
      <c r="M12" s="24">
        <v>3</v>
      </c>
      <c r="N12" s="24"/>
      <c r="O12" s="24"/>
      <c r="P12" s="24"/>
      <c r="Q12" s="24"/>
      <c r="R12" s="24">
        <v>5</v>
      </c>
      <c r="S12" s="24"/>
      <c r="T12" s="24"/>
    </row>
    <row r="13" spans="1:20" ht="40.5" customHeight="1" x14ac:dyDescent="0.25">
      <c r="A13" s="24">
        <f t="shared" ref="A13:A20" si="0">ROW()-11</f>
        <v>2</v>
      </c>
      <c r="B13" s="24" t="s">
        <v>293</v>
      </c>
      <c r="C13" s="24"/>
      <c r="D13" s="24">
        <v>67</v>
      </c>
      <c r="E13" s="24"/>
      <c r="F13" s="24"/>
      <c r="G13" s="24"/>
      <c r="H13" s="24"/>
      <c r="I13" s="24">
        <v>5</v>
      </c>
      <c r="J13" s="24">
        <v>4</v>
      </c>
      <c r="K13" s="24">
        <f t="shared" ref="K13:K20" si="1">L13+M13+R13</f>
        <v>14</v>
      </c>
      <c r="L13" s="24">
        <v>4</v>
      </c>
      <c r="M13" s="24">
        <v>3</v>
      </c>
      <c r="N13" s="24"/>
      <c r="O13" s="24"/>
      <c r="P13" s="24"/>
      <c r="Q13" s="24"/>
      <c r="R13" s="24">
        <v>7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270</v>
      </c>
      <c r="C14" s="24"/>
      <c r="D14" s="24">
        <v>88</v>
      </c>
      <c r="E14" s="24"/>
      <c r="F14" s="24"/>
      <c r="G14" s="24"/>
      <c r="H14" s="24"/>
      <c r="I14" s="24">
        <v>7</v>
      </c>
      <c r="J14" s="24">
        <v>7</v>
      </c>
      <c r="K14" s="24">
        <f t="shared" si="1"/>
        <v>16</v>
      </c>
      <c r="L14" s="24">
        <v>4</v>
      </c>
      <c r="M14" s="24">
        <v>3</v>
      </c>
      <c r="N14" s="24"/>
      <c r="O14" s="24"/>
      <c r="P14" s="24"/>
      <c r="Q14" s="24"/>
      <c r="R14" s="24">
        <v>9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270</v>
      </c>
      <c r="C15" s="24"/>
      <c r="D15" s="24">
        <v>46</v>
      </c>
      <c r="E15" s="24"/>
      <c r="F15" s="24"/>
      <c r="G15" s="24"/>
      <c r="H15" s="24"/>
      <c r="I15" s="24">
        <v>5</v>
      </c>
      <c r="J15" s="24">
        <v>4</v>
      </c>
      <c r="K15" s="24">
        <f t="shared" si="1"/>
        <v>9</v>
      </c>
      <c r="L15" s="24">
        <v>3</v>
      </c>
      <c r="M15" s="24">
        <v>2</v>
      </c>
      <c r="N15" s="24"/>
      <c r="O15" s="24"/>
      <c r="P15" s="24"/>
      <c r="Q15" s="24"/>
      <c r="R15" s="24">
        <v>4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271</v>
      </c>
      <c r="C16" s="24"/>
      <c r="D16" s="24">
        <v>97</v>
      </c>
      <c r="E16" s="24"/>
      <c r="F16" s="24"/>
      <c r="G16" s="24"/>
      <c r="H16" s="24"/>
      <c r="I16" s="24">
        <v>8</v>
      </c>
      <c r="J16" s="24">
        <v>8</v>
      </c>
      <c r="K16" s="24">
        <f t="shared" si="1"/>
        <v>17</v>
      </c>
      <c r="L16" s="24">
        <v>4</v>
      </c>
      <c r="M16" s="24">
        <v>3.5</v>
      </c>
      <c r="N16" s="24"/>
      <c r="O16" s="24"/>
      <c r="P16" s="24"/>
      <c r="Q16" s="24"/>
      <c r="R16" s="24">
        <v>9.5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293</v>
      </c>
      <c r="C17" s="24"/>
      <c r="D17" s="24">
        <v>79</v>
      </c>
      <c r="E17" s="24"/>
      <c r="F17" s="24"/>
      <c r="G17" s="24"/>
      <c r="H17" s="24"/>
      <c r="I17" s="24">
        <v>6</v>
      </c>
      <c r="J17" s="24">
        <v>5</v>
      </c>
      <c r="K17" s="24">
        <f t="shared" si="1"/>
        <v>11</v>
      </c>
      <c r="L17" s="24">
        <v>3</v>
      </c>
      <c r="M17" s="24">
        <v>3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272</v>
      </c>
      <c r="C18" s="24"/>
      <c r="D18" s="24">
        <v>55</v>
      </c>
      <c r="E18" s="24"/>
      <c r="F18" s="24"/>
      <c r="G18" s="24"/>
      <c r="H18" s="24"/>
      <c r="I18" s="24">
        <v>4</v>
      </c>
      <c r="J18" s="24">
        <v>5</v>
      </c>
      <c r="K18" s="24">
        <f t="shared" si="1"/>
        <v>11</v>
      </c>
      <c r="L18" s="24">
        <v>4</v>
      </c>
      <c r="M18" s="24">
        <v>2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273</v>
      </c>
      <c r="C19" s="24"/>
      <c r="D19" s="24">
        <v>120</v>
      </c>
      <c r="E19" s="24"/>
      <c r="F19" s="24"/>
      <c r="G19" s="24"/>
      <c r="H19" s="24"/>
      <c r="I19" s="24">
        <v>9</v>
      </c>
      <c r="J19" s="24">
        <v>6</v>
      </c>
      <c r="K19" s="24">
        <f t="shared" si="1"/>
        <v>12.5</v>
      </c>
      <c r="L19" s="24">
        <v>2</v>
      </c>
      <c r="M19" s="24">
        <v>1.5</v>
      </c>
      <c r="N19" s="24"/>
      <c r="O19" s="24"/>
      <c r="P19" s="24"/>
      <c r="Q19" s="24"/>
      <c r="R19" s="24">
        <v>9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269</v>
      </c>
      <c r="C20" s="24"/>
      <c r="D20" s="24">
        <v>45</v>
      </c>
      <c r="E20" s="24"/>
      <c r="F20" s="24"/>
      <c r="G20" s="24"/>
      <c r="H20" s="24"/>
      <c r="I20" s="24">
        <v>7</v>
      </c>
      <c r="J20" s="24">
        <v>6</v>
      </c>
      <c r="K20" s="24">
        <f t="shared" si="1"/>
        <v>10.5</v>
      </c>
      <c r="L20" s="24">
        <v>4</v>
      </c>
      <c r="M20" s="24">
        <v>3</v>
      </c>
      <c r="N20" s="24"/>
      <c r="O20" s="24"/>
      <c r="P20" s="24"/>
      <c r="Q20" s="24"/>
      <c r="R20" s="24">
        <v>3.5</v>
      </c>
      <c r="S20" s="24"/>
      <c r="T20" s="24"/>
    </row>
    <row r="21" spans="1:20" ht="40.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</row>
    <row r="22" spans="1:20" ht="40.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</row>
    <row r="23" spans="1:20" ht="40.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</row>
    <row r="24" spans="1:20" ht="40.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</row>
    <row r="25" spans="1:20" ht="40.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40.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40.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06" zoomScale="60" workbookViewId="0">
      <selection activeCell="F97" sqref="F97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25">
      <c r="B2" s="29" t="s">
        <v>164</v>
      </c>
      <c r="F2" s="75" t="s">
        <v>165</v>
      </c>
      <c r="G2" s="75"/>
      <c r="H2" s="75"/>
    </row>
    <row r="3" spans="1:8" ht="24" customHeight="1" x14ac:dyDescent="0.25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25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25">
      <c r="A5" s="11">
        <v>1</v>
      </c>
      <c r="B5" s="12" t="s">
        <v>274</v>
      </c>
      <c r="C5" s="12" t="s">
        <v>310</v>
      </c>
      <c r="D5" s="12">
        <v>4</v>
      </c>
      <c r="E5" s="12">
        <v>3.5</v>
      </c>
      <c r="F5" s="12" t="s">
        <v>324</v>
      </c>
      <c r="G5" s="12">
        <f>D5*E5</f>
        <v>14</v>
      </c>
      <c r="H5" s="12"/>
    </row>
    <row r="6" spans="1:8" ht="29.25" customHeight="1" x14ac:dyDescent="0.25">
      <c r="A6" s="11">
        <v>2</v>
      </c>
      <c r="B6" s="12" t="s">
        <v>293</v>
      </c>
      <c r="C6" s="12"/>
      <c r="D6" s="12">
        <v>6</v>
      </c>
      <c r="E6" s="12">
        <v>3.5</v>
      </c>
      <c r="F6" s="12"/>
      <c r="G6" s="12">
        <f>D6*E6</f>
        <v>21</v>
      </c>
      <c r="H6" s="12"/>
    </row>
    <row r="7" spans="1:8" ht="29.25" customHeight="1" x14ac:dyDescent="0.25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1">
        <v>1</v>
      </c>
      <c r="B29" s="79" t="s">
        <v>176</v>
      </c>
      <c r="C29" s="79"/>
      <c r="D29" s="79"/>
      <c r="E29" s="79"/>
      <c r="F29" s="79"/>
      <c r="G29" s="79"/>
      <c r="H29" s="35" t="s">
        <v>292</v>
      </c>
    </row>
    <row r="30" spans="1:8" ht="31.5" customHeight="1" x14ac:dyDescent="0.25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275</v>
      </c>
    </row>
    <row r="31" spans="1:8" ht="24.75" customHeight="1" x14ac:dyDescent="0.25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25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290</v>
      </c>
    </row>
    <row r="33" spans="1:8" ht="24.75" customHeight="1" x14ac:dyDescent="0.25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291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150000000000006" customHeight="1" x14ac:dyDescent="0.25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25">
      <c r="A38" s="11">
        <v>1</v>
      </c>
      <c r="B38" s="18" t="s">
        <v>269</v>
      </c>
      <c r="C38" s="18" t="s">
        <v>311</v>
      </c>
      <c r="D38" s="18">
        <v>4</v>
      </c>
      <c r="E38" s="18">
        <v>2</v>
      </c>
      <c r="F38" s="18" t="s">
        <v>327</v>
      </c>
      <c r="G38" s="12">
        <f t="shared" ref="G38:G41" si="0">D38*E38</f>
        <v>8</v>
      </c>
      <c r="H38" s="18"/>
    </row>
    <row r="39" spans="1:8" ht="36" customHeight="1" x14ac:dyDescent="0.25">
      <c r="A39" s="11">
        <v>2</v>
      </c>
      <c r="B39" s="18" t="s">
        <v>276</v>
      </c>
      <c r="C39" s="18"/>
      <c r="D39" s="18">
        <v>6</v>
      </c>
      <c r="E39" s="18">
        <v>2.5</v>
      </c>
      <c r="F39" s="18"/>
      <c r="G39" s="12">
        <f t="shared" si="0"/>
        <v>15</v>
      </c>
      <c r="H39" s="18"/>
    </row>
    <row r="40" spans="1:8" ht="36" customHeight="1" x14ac:dyDescent="0.25">
      <c r="A40" s="11">
        <v>3</v>
      </c>
      <c r="B40" s="18" t="s">
        <v>274</v>
      </c>
      <c r="C40" s="18" t="s">
        <v>312</v>
      </c>
      <c r="D40" s="18">
        <v>2</v>
      </c>
      <c r="E40" s="18">
        <v>1.8</v>
      </c>
      <c r="F40" s="88" t="s">
        <v>328</v>
      </c>
      <c r="G40" s="12">
        <f t="shared" si="0"/>
        <v>3.6</v>
      </c>
      <c r="H40" s="18"/>
    </row>
    <row r="41" spans="1:8" ht="36" customHeight="1" x14ac:dyDescent="0.25">
      <c r="A41" s="11">
        <v>4</v>
      </c>
      <c r="B41" s="18" t="s">
        <v>274</v>
      </c>
      <c r="C41" s="18" t="s">
        <v>312</v>
      </c>
      <c r="D41" s="18">
        <v>2.5</v>
      </c>
      <c r="E41" s="18">
        <v>2.2999999999999998</v>
      </c>
      <c r="F41" s="18"/>
      <c r="G41" s="12">
        <f t="shared" si="0"/>
        <v>5.75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287</v>
      </c>
    </row>
    <row r="61" spans="1:8" ht="38.25" customHeight="1" x14ac:dyDescent="0.25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288</v>
      </c>
    </row>
    <row r="62" spans="1:8" ht="25.5" customHeight="1" x14ac:dyDescent="0.25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277</v>
      </c>
    </row>
    <row r="63" spans="1:8" ht="25.5" customHeight="1" x14ac:dyDescent="0.25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289</v>
      </c>
    </row>
    <row r="64" spans="1:8" ht="24.75" customHeight="1" x14ac:dyDescent="0.25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278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3" x14ac:dyDescent="0.25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25">
      <c r="A69" s="11">
        <v>1</v>
      </c>
      <c r="B69" s="40" t="s">
        <v>279</v>
      </c>
      <c r="C69" s="11" t="s">
        <v>313</v>
      </c>
      <c r="D69" s="11">
        <v>8</v>
      </c>
      <c r="E69" s="11">
        <v>4.5</v>
      </c>
      <c r="F69" s="11" t="s">
        <v>329</v>
      </c>
      <c r="G69" s="12">
        <f t="shared" ref="G69:G71" si="1">D69*E69</f>
        <v>36</v>
      </c>
      <c r="H69" s="11"/>
    </row>
    <row r="70" spans="1:8" s="28" customFormat="1" ht="41.25" customHeight="1" x14ac:dyDescent="0.25">
      <c r="A70" s="11">
        <v>2</v>
      </c>
      <c r="B70" s="40" t="s">
        <v>269</v>
      </c>
      <c r="C70" s="11" t="s">
        <v>311</v>
      </c>
      <c r="D70" s="11">
        <v>5</v>
      </c>
      <c r="E70" s="11">
        <v>3.5</v>
      </c>
      <c r="F70" s="11" t="s">
        <v>327</v>
      </c>
      <c r="G70" s="12">
        <f t="shared" si="1"/>
        <v>17.5</v>
      </c>
      <c r="H70" s="11"/>
    </row>
    <row r="71" spans="1:8" s="28" customFormat="1" ht="41.25" customHeight="1" x14ac:dyDescent="0.25">
      <c r="A71" s="11">
        <v>3</v>
      </c>
      <c r="B71" s="40" t="s">
        <v>280</v>
      </c>
      <c r="C71" s="11"/>
      <c r="D71" s="11">
        <v>4</v>
      </c>
      <c r="E71" s="11">
        <v>3.5</v>
      </c>
      <c r="F71" s="11" t="s">
        <v>325</v>
      </c>
      <c r="G71" s="12">
        <f t="shared" si="1"/>
        <v>14</v>
      </c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25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25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25">
      <c r="A96" s="41">
        <v>1</v>
      </c>
      <c r="B96" s="40" t="s">
        <v>281</v>
      </c>
      <c r="C96" s="11" t="s">
        <v>314</v>
      </c>
      <c r="D96" s="41">
        <v>3</v>
      </c>
      <c r="E96" s="42">
        <v>2</v>
      </c>
      <c r="F96" s="23" t="s">
        <v>331</v>
      </c>
      <c r="G96" s="12">
        <f t="shared" ref="G96:G99" si="2">D96*E96</f>
        <v>6</v>
      </c>
      <c r="H96" s="23"/>
    </row>
    <row r="97" spans="1:8" s="28" customFormat="1" ht="39" customHeight="1" x14ac:dyDescent="0.25">
      <c r="A97" s="41">
        <v>2</v>
      </c>
      <c r="B97" s="40" t="s">
        <v>274</v>
      </c>
      <c r="C97" s="11" t="s">
        <v>312</v>
      </c>
      <c r="D97" s="41">
        <v>3.5</v>
      </c>
      <c r="E97" s="42">
        <v>3.5</v>
      </c>
      <c r="F97" s="23" t="s">
        <v>330</v>
      </c>
      <c r="G97" s="12">
        <f t="shared" si="2"/>
        <v>12.25</v>
      </c>
      <c r="H97" s="23"/>
    </row>
    <row r="98" spans="1:8" s="28" customFormat="1" ht="39" customHeight="1" x14ac:dyDescent="0.25">
      <c r="A98" s="41">
        <v>3</v>
      </c>
      <c r="B98" s="40" t="s">
        <v>276</v>
      </c>
      <c r="C98" s="11" t="s">
        <v>315</v>
      </c>
      <c r="D98" s="41">
        <v>3</v>
      </c>
      <c r="E98" s="42">
        <v>2.5</v>
      </c>
      <c r="F98" s="23" t="s">
        <v>325</v>
      </c>
      <c r="G98" s="12">
        <f t="shared" si="2"/>
        <v>7.5</v>
      </c>
      <c r="H98" s="23"/>
    </row>
    <row r="99" spans="1:8" s="28" customFormat="1" ht="39" customHeight="1" x14ac:dyDescent="0.25">
      <c r="A99" s="41">
        <v>4</v>
      </c>
      <c r="B99" s="40" t="s">
        <v>276</v>
      </c>
      <c r="C99" s="11" t="s">
        <v>315</v>
      </c>
      <c r="D99" s="41">
        <v>3.5</v>
      </c>
      <c r="E99" s="42">
        <v>2.8</v>
      </c>
      <c r="F99" s="23"/>
      <c r="G99" s="12">
        <f t="shared" si="2"/>
        <v>9.7999999999999989</v>
      </c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D6" sqref="D6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165</v>
      </c>
      <c r="F2" s="75"/>
      <c r="G2" s="75"/>
    </row>
    <row r="3" spans="1:7" ht="45.6" customHeight="1" x14ac:dyDescent="0.25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25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25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25">
      <c r="A6" s="11">
        <v>1</v>
      </c>
      <c r="B6" s="18" t="s">
        <v>281</v>
      </c>
      <c r="C6" s="45" t="s">
        <v>314</v>
      </c>
      <c r="D6" s="18">
        <v>130</v>
      </c>
      <c r="E6" s="18"/>
      <c r="F6" s="18">
        <f>0.05*(D6)*(D6)</f>
        <v>845</v>
      </c>
      <c r="G6" s="18"/>
    </row>
    <row r="7" spans="1:7" ht="45.6" customHeight="1" x14ac:dyDescent="0.25">
      <c r="A7" s="11">
        <v>2</v>
      </c>
      <c r="B7" s="18" t="s">
        <v>282</v>
      </c>
      <c r="C7" s="45" t="s">
        <v>317</v>
      </c>
      <c r="D7" s="18">
        <v>25</v>
      </c>
      <c r="E7" s="18" t="s">
        <v>324</v>
      </c>
      <c r="F7" s="18">
        <f t="shared" ref="F7:F11" si="0">0.05*(D7)*(D7)</f>
        <v>31.25</v>
      </c>
      <c r="G7" s="18"/>
    </row>
    <row r="8" spans="1:7" ht="45.6" customHeight="1" x14ac:dyDescent="0.25">
      <c r="A8" s="11">
        <v>3</v>
      </c>
      <c r="B8" s="18" t="s">
        <v>283</v>
      </c>
      <c r="C8" s="45" t="s">
        <v>318</v>
      </c>
      <c r="D8" s="18">
        <v>30</v>
      </c>
      <c r="E8" s="18" t="s">
        <v>325</v>
      </c>
      <c r="F8" s="18">
        <f t="shared" si="0"/>
        <v>45</v>
      </c>
      <c r="G8" s="18"/>
    </row>
    <row r="9" spans="1:7" ht="45.6" customHeight="1" x14ac:dyDescent="0.25">
      <c r="A9" s="11">
        <v>4</v>
      </c>
      <c r="B9" s="18" t="s">
        <v>283</v>
      </c>
      <c r="C9" s="45" t="s">
        <v>318</v>
      </c>
      <c r="D9" s="18">
        <v>25</v>
      </c>
      <c r="E9" s="18"/>
      <c r="F9" s="18">
        <f t="shared" si="0"/>
        <v>31.25</v>
      </c>
      <c r="G9" s="18"/>
    </row>
    <row r="10" spans="1:7" ht="45.6" customHeight="1" x14ac:dyDescent="0.25">
      <c r="A10" s="11">
        <v>5</v>
      </c>
      <c r="B10" s="18" t="s">
        <v>284</v>
      </c>
      <c r="C10" s="45" t="s">
        <v>319</v>
      </c>
      <c r="D10" s="18">
        <v>80</v>
      </c>
      <c r="E10" s="18" t="s">
        <v>326</v>
      </c>
      <c r="F10" s="18">
        <f t="shared" si="0"/>
        <v>320</v>
      </c>
      <c r="G10" s="18"/>
    </row>
    <row r="11" spans="1:7" ht="45.6" customHeight="1" x14ac:dyDescent="0.25">
      <c r="A11" s="11">
        <v>6</v>
      </c>
      <c r="B11" s="18" t="s">
        <v>274</v>
      </c>
      <c r="C11" s="45" t="s">
        <v>312</v>
      </c>
      <c r="D11" s="18">
        <v>40</v>
      </c>
      <c r="E11" s="18" t="s">
        <v>324</v>
      </c>
      <c r="F11" s="18">
        <f t="shared" si="0"/>
        <v>80</v>
      </c>
      <c r="G11" s="18"/>
    </row>
    <row r="12" spans="1:7" ht="45.6" customHeight="1" x14ac:dyDescent="0.25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25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25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25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25">
      <c r="A39" s="41">
        <v>1</v>
      </c>
      <c r="B39" s="23" t="s">
        <v>285</v>
      </c>
      <c r="C39" s="48"/>
      <c r="D39" s="41">
        <v>50</v>
      </c>
      <c r="E39" s="88" t="s">
        <v>320</v>
      </c>
      <c r="F39" s="18">
        <f t="shared" ref="F39:F41" si="1">0.05*(D39)*(D39)</f>
        <v>125</v>
      </c>
      <c r="G39" s="23"/>
    </row>
    <row r="40" spans="1:7" s="28" customFormat="1" ht="45.6" customHeight="1" x14ac:dyDescent="0.25">
      <c r="A40" s="41">
        <v>2</v>
      </c>
      <c r="B40" s="23" t="s">
        <v>282</v>
      </c>
      <c r="C40" s="48" t="s">
        <v>316</v>
      </c>
      <c r="D40" s="41">
        <v>60</v>
      </c>
      <c r="E40" s="88" t="s">
        <v>321</v>
      </c>
      <c r="F40" s="18">
        <f t="shared" si="1"/>
        <v>180</v>
      </c>
      <c r="G40" s="23"/>
    </row>
    <row r="41" spans="1:7" s="28" customFormat="1" ht="45.6" customHeight="1" x14ac:dyDescent="0.25">
      <c r="A41" s="41">
        <v>3</v>
      </c>
      <c r="B41" s="23" t="s">
        <v>286</v>
      </c>
      <c r="C41" s="48"/>
      <c r="D41" s="41">
        <v>340</v>
      </c>
      <c r="E41" s="88" t="s">
        <v>322</v>
      </c>
      <c r="F41" s="18" t="s">
        <v>323</v>
      </c>
      <c r="G41" s="23"/>
    </row>
    <row r="42" spans="1:7" s="28" customFormat="1" ht="45.6" customHeight="1" x14ac:dyDescent="0.25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25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4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2024-06-16T13:50:59Z</dcterms:modified>
</cp:coreProperties>
</file>