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Charmady kanapady R.F. Extension Block I\"/>
    </mc:Choice>
  </mc:AlternateContent>
  <xr:revisionPtr revIDLastSave="0" documentId="13_ncr:1_{B7F6ECA7-2CD1-4A9A-A1A8-550E961E7CE5}" xr6:coauthVersionLast="47" xr6:coauthVersionMax="47" xr10:uidLastSave="{00000000-0000-0000-0000-000000000000}"/>
  <bookViews>
    <workbookView xWindow="780" yWindow="780" windowWidth="22140" windowHeight="13110" firstSheet="1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9" l="1"/>
  <c r="F43" i="9"/>
  <c r="F42" i="9"/>
  <c r="F41" i="9"/>
  <c r="F40" i="9"/>
  <c r="F39" i="9"/>
  <c r="F10" i="9"/>
  <c r="F11" i="9"/>
  <c r="F7" i="9"/>
  <c r="F8" i="9"/>
  <c r="F9" i="9"/>
  <c r="F6" i="9"/>
  <c r="G99" i="8"/>
  <c r="G98" i="8"/>
  <c r="G97" i="8"/>
  <c r="G96" i="8"/>
  <c r="G71" i="8"/>
  <c r="G70" i="8"/>
  <c r="G69" i="8"/>
  <c r="G41" i="8"/>
  <c r="G40" i="8"/>
  <c r="G39" i="8"/>
  <c r="G38" i="8"/>
  <c r="G6" i="8"/>
  <c r="G7" i="8"/>
  <c r="G5" i="8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12" i="6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<sst xmlns="http://schemas.openxmlformats.org/spreadsheetml/2006/main" count="488" uniqueCount="320">
  <si>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</si>
  <si>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</si>
  <si>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</si>
  <si>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</si>
  <si>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</si>
  <si>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</si>
  <si>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</si>
  <si>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</si>
  <si>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</si>
  <si>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</si>
  <si>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</si>
  <si>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</si>
  <si>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</si>
  <si>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</si>
  <si>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</si>
  <si>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</si>
  <si>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</si>
  <si>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</si>
  <si>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</si>
  <si>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</si>
  <si>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</si>
  <si>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</si>
  <si>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</si>
  <si>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</si>
  <si>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</si>
  <si>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</si>
  <si>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</si>
  <si>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</si>
  <si>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</si>
  <si>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</si>
  <si>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</si>
  <si>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</si>
  <si>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</si>
  <si>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</si>
  <si>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</si>
  <si>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</si>
  <si>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</si>
  <si>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</si>
  <si>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</si>
  <si>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</si>
  <si>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</si>
  <si>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</si>
  <si>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</si>
  <si>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</si>
  <si>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</si>
  <si>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</si>
  <si>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</si>
  <si>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</si>
  <si>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</si>
  <si>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</si>
  <si>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</si>
  <si>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</si>
  <si>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</si>
  <si>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</si>
  <si>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</si>
  <si>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</si>
  <si>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</si>
  <si>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</si>
  <si>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</si>
  <si>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</si>
  <si>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</si>
  <si>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</si>
  <si>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</si>
  <si>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</si>
  <si>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</si>
  <si>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</si>
  <si>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</si>
  <si>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</si>
  <si>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</si>
  <si>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</si>
  <si>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</si>
  <si>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</si>
  <si>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</si>
  <si>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</si>
  <si>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</si>
  <si>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</si>
  <si>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</si>
  <si>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</si>
  <si>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</si>
  <si>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</si>
  <si>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</si>
  <si>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</si>
  <si>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</si>
  <si>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</si>
  <si>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</si>
  <si>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</si>
  <si>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</si>
  <si>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</si>
  <si>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</si>
  <si>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</si>
  <si>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</si>
  <si>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</si>
  <si>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</si>
  <si>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</si>
  <si>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</si>
  <si>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</si>
  <si>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</si>
  <si>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</si>
  <si>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</si>
  <si>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</si>
  <si>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</si>
  <si>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</si>
  <si>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</si>
  <si>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</si>
  <si>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</si>
  <si>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</si>
  <si>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</si>
  <si>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</si>
  <si>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</si>
  <si>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</si>
  <si>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</si>
  <si>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</si>
  <si>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</si>
  <si>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</si>
  <si>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</si>
  <si>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</si>
  <si>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</si>
  <si>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</si>
  <si>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</si>
  <si>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</si>
  <si>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</si>
  <si>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</si>
  <si>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</si>
  <si>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</si>
  <si>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</si>
  <si>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</si>
  <si>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</si>
  <si>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</si>
  <si>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</si>
  <si>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</si>
  <si>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</si>
  <si>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</si>
  <si>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</si>
  <si>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</si>
  <si>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</si>
  <si>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</si>
  <si>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</si>
  <si>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</si>
  <si>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</si>
  <si>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</si>
  <si>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</si>
  <si>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</si>
  <si>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</si>
  <si>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</si>
  <si>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</si>
  <si>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</si>
  <si>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</si>
  <si>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</si>
  <si>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</si>
  <si>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</si>
  <si>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</si>
  <si>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</si>
  <si>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</si>
  <si>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</si>
  <si>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</si>
  <si>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</si>
  <si>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</si>
  <si>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</si>
  <si>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</si>
  <si>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</si>
  <si>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</si>
  <si>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</si>
  <si>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</si>
  <si>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</si>
  <si>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</si>
  <si>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</si>
  <si>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</si>
  <si>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</si>
  <si>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</si>
  <si>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</si>
  <si>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</si>
  <si>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</si>
  <si>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</si>
  <si>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</si>
  <si>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</si>
  <si>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</si>
  <si>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</si>
  <si>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</si>
  <si>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</si>
  <si>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</si>
  <si>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</si>
  <si>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</si>
  <si>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</si>
  <si>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</si>
  <si>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</si>
  <si>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</si>
  <si>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</si>
  <si>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</si>
  <si>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</si>
  <si>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</si>
  <si>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</si>
  <si>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</si>
  <si>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</si>
  <si>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</si>
  <si>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</si>
  <si>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</si>
  <si>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</si>
  <si>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</si>
  <si>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</si>
  <si>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</si>
  <si>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</si>
  <si>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</si>
  <si>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</si>
  <si>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</si>
  <si>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</si>
  <si>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</si>
  <si>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</si>
  <si>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</si>
  <si>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</si>
  <si>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</si>
  <si>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</si>
  <si>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</si>
  <si>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</si>
  <si>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</si>
  <si>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</si>
  <si>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</si>
  <si>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</si>
  <si>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</si>
  <si>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</si>
  <si>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</si>
  <si>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</si>
  <si>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</si>
  <si>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</si>
  <si>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</si>
  <si>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</si>
  <si>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</si>
  <si>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</si>
  <si>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</si>
  <si>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</si>
  <si>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</si>
  <si>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</si>
  <si>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</si>
  <si>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</si>
  <si>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</si>
  <si>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</si>
  <si>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</si>
  <si>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</si>
  <si>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</si>
  <si>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</si>
  <si>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</si>
  <si>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</si>
  <si>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</si>
  <si>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0.5-0.75</t>
  </si>
  <si>
    <t>length of the log (m)</t>
  </si>
  <si>
    <t>NIL</t>
  </si>
  <si>
    <t xml:space="preserve">Strychnos nux-vomica , Terminalia paniculata , Terminalia tomentosa , Hopea ponga </t>
  </si>
  <si>
    <t>Canopy Dencity -  0.71</t>
  </si>
  <si>
    <t>Soil -  Humus rich loamy soil</t>
  </si>
  <si>
    <t>Grasses -  Panicum pedicillatum , Sacchorum</t>
  </si>
  <si>
    <t>Weeds -  Chromolaena odorata . Sida sp</t>
  </si>
  <si>
    <t xml:space="preserve">Bamboos -  Bambusa bambos </t>
  </si>
  <si>
    <t>Herbs -  Derris sp , Melastoma sp</t>
  </si>
  <si>
    <t xml:space="preserve">Shrubs - Psychotria dalzelli , Leea indica </t>
  </si>
  <si>
    <t xml:space="preserve">Underwood species –  Aporosa lindleyana , Glycosmis pentaphyla </t>
  </si>
  <si>
    <t>Climbers - Pothos scandens , Smilex sp</t>
  </si>
  <si>
    <t xml:space="preserve">Rattans –Calamus rotung </t>
  </si>
  <si>
    <t xml:space="preserve">NTFP yieding sps –  Garcinia indica </t>
  </si>
  <si>
    <t>Mild</t>
  </si>
  <si>
    <t>2.5m</t>
  </si>
  <si>
    <t>Mangalore</t>
  </si>
  <si>
    <t>Texture- Gravelly</t>
  </si>
  <si>
    <t>Depth- Moderate</t>
  </si>
  <si>
    <t>Permiability-Good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</si>
  <si>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</si>
  <si>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</si>
  <si>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t>Fungi, Inscects, wild animals</t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</si>
  <si>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</si>
  <si>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</si>
  <si>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</si>
  <si>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</si>
  <si>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</si>
  <si>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Hump nosed pit viper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</si>
  <si>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</si>
  <si>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 xml:space="preserve">Aporosa lindleyana </t>
  </si>
  <si>
    <t xml:space="preserve">Terminalia paniculata </t>
  </si>
  <si>
    <t xml:space="preserve">Artocarpus hirusts </t>
  </si>
  <si>
    <t xml:space="preserve">Hopea ponga </t>
  </si>
  <si>
    <t xml:space="preserve">Dillenia pentagyna </t>
  </si>
  <si>
    <t xml:space="preserve">Mallotus philippensis </t>
  </si>
  <si>
    <t xml:space="preserve">Psychotria flavida </t>
  </si>
  <si>
    <t>Salle</t>
  </si>
  <si>
    <t>Kaadu Coffee</t>
  </si>
  <si>
    <t>Haiga</t>
  </si>
  <si>
    <t>Matti</t>
  </si>
  <si>
    <t xml:space="preserve">Psychotria dalzelli </t>
  </si>
  <si>
    <t xml:space="preserve">Leea indica </t>
  </si>
  <si>
    <t>Hebbalasu</t>
  </si>
  <si>
    <t xml:space="preserve">Konanakivi </t>
  </si>
  <si>
    <t>Nertige</t>
  </si>
  <si>
    <t>84g</t>
  </si>
  <si>
    <t>180g</t>
  </si>
  <si>
    <t>800g</t>
  </si>
  <si>
    <t>72g</t>
  </si>
  <si>
    <t>5Kg</t>
  </si>
  <si>
    <t>Mallotus philippensis</t>
  </si>
  <si>
    <t>Kunkum Tree</t>
  </si>
  <si>
    <t>92g</t>
  </si>
  <si>
    <t>410g</t>
  </si>
  <si>
    <t>420g</t>
  </si>
  <si>
    <t>6Kg</t>
  </si>
  <si>
    <t>Kanagilu</t>
  </si>
  <si>
    <t>Travel from Ujire towards Charmady upto N  13.063622   E  75.417415   by vehicle then walk 400  m in the bearing of   352 degree to reach the grid.</t>
  </si>
  <si>
    <t>753 ft</t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</si>
  <si>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</si>
  <si>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</si>
  <si>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</si>
  <si>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 xml:space="preserve">Hopea ponga ,Aporosa lindleyana , Dillenia pentagyna , Terminalia paniculata </t>
  </si>
  <si>
    <t>Tract -  Undulating</t>
  </si>
  <si>
    <t>Aspect -  No fix</t>
  </si>
  <si>
    <t xml:space="preserve">Sedimentary Rocks / Metamorphic Rocks / Ignecious Rocks </t>
  </si>
  <si>
    <t>Belthangady</t>
  </si>
  <si>
    <t>Charmady Kanapady RF Extension Block I</t>
  </si>
  <si>
    <t xml:space="preserve">II-18 </t>
  </si>
  <si>
    <t>seeds</t>
  </si>
  <si>
    <t>leaves</t>
  </si>
  <si>
    <t xml:space="preserve">fruit pulp, seed </t>
  </si>
  <si>
    <t>fruits, leaves</t>
  </si>
  <si>
    <t>fruits, seeds</t>
  </si>
  <si>
    <t xml:space="preserve">Fruits, Fiber </t>
  </si>
  <si>
    <t>flowers, 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</si>
</sst>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6" sqref="C6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259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310</v>
      </c>
    </row>
    <row r="6" spans="1:3" ht="39" customHeight="1" x14ac:dyDescent="0.25">
      <c r="A6" s="4">
        <v>2</v>
      </c>
      <c r="B6" s="51" t="s">
        <v>7</v>
      </c>
      <c r="C6" s="8" t="s">
        <v>311</v>
      </c>
    </row>
    <row r="7" spans="1:3" ht="39" customHeight="1" x14ac:dyDescent="0.25">
      <c r="A7" s="4">
        <v>3</v>
      </c>
      <c r="B7" s="51" t="s">
        <v>8</v>
      </c>
      <c r="C7" s="8" t="s">
        <v>312</v>
      </c>
    </row>
    <row r="8" spans="1:3" ht="39" customHeight="1" x14ac:dyDescent="0.25">
      <c r="A8" s="4">
        <v>4</v>
      </c>
      <c r="B8" s="51" t="s">
        <v>9</v>
      </c>
      <c r="C8" s="8">
        <v>7197</v>
      </c>
    </row>
    <row r="9" spans="1:3" ht="39" customHeight="1" x14ac:dyDescent="0.25">
      <c r="A9" s="4">
        <v>5</v>
      </c>
      <c r="B9" s="51" t="s">
        <v>10</v>
      </c>
      <c r="C9" s="9">
        <v>13.066990000000001</v>
      </c>
    </row>
    <row r="10" spans="1:3" ht="39" customHeight="1" x14ac:dyDescent="0.25">
      <c r="A10" s="4">
        <v>6</v>
      </c>
      <c r="B10" s="51" t="s">
        <v>11</v>
      </c>
      <c r="C10" s="9">
        <v>75.416875000000005</v>
      </c>
    </row>
    <row r="11" spans="1:3" ht="141.75" customHeight="1" x14ac:dyDescent="0.25">
      <c r="A11" s="4">
        <v>7</v>
      </c>
      <c r="B11" s="51" t="s">
        <v>12</v>
      </c>
      <c r="C11" s="53" t="s">
        <v>301</v>
      </c>
    </row>
    <row r="12" spans="1:3" ht="98.25" customHeight="1" x14ac:dyDescent="0.25">
      <c r="A12" s="4">
        <v>8</v>
      </c>
      <c r="B12" s="51" t="s">
        <v>13</v>
      </c>
      <c r="C12" s="10" t="s">
        <v>245</v>
      </c>
    </row>
    <row r="13" spans="1:3" ht="32.25" customHeight="1" x14ac:dyDescent="0.25">
      <c r="A13" s="55">
        <v>9</v>
      </c>
      <c r="B13" s="56" t="s">
        <v>14</v>
      </c>
      <c r="C13" s="6" t="s">
        <v>307</v>
      </c>
    </row>
    <row r="14" spans="1:3" ht="32.25" customHeight="1" x14ac:dyDescent="0.25">
      <c r="A14" s="55"/>
      <c r="B14" s="56"/>
      <c r="C14" s="6" t="s">
        <v>308</v>
      </c>
    </row>
    <row r="15" spans="1:3" ht="32.25" customHeight="1" x14ac:dyDescent="0.25">
      <c r="A15" s="55"/>
      <c r="B15" s="56"/>
      <c r="C15" s="6" t="s">
        <v>246</v>
      </c>
    </row>
    <row r="16" spans="1:3" ht="32.25" customHeight="1" x14ac:dyDescent="0.25">
      <c r="A16" s="55"/>
      <c r="B16" s="56"/>
      <c r="C16" s="6" t="s">
        <v>247</v>
      </c>
    </row>
    <row r="17" spans="1:3" ht="32.25" customHeight="1" x14ac:dyDescent="0.25">
      <c r="A17" s="55"/>
      <c r="B17" s="56"/>
      <c r="C17" s="6" t="s">
        <v>248</v>
      </c>
    </row>
    <row r="18" spans="1:3" ht="32.25" customHeight="1" x14ac:dyDescent="0.25">
      <c r="A18" s="55"/>
      <c r="B18" s="56"/>
      <c r="C18" s="6" t="s">
        <v>249</v>
      </c>
    </row>
    <row r="19" spans="1:3" ht="32.25" customHeight="1" x14ac:dyDescent="0.25">
      <c r="A19" s="55"/>
      <c r="B19" s="56"/>
      <c r="C19" s="6" t="s">
        <v>250</v>
      </c>
    </row>
    <row r="20" spans="1:3" ht="57.75" customHeight="1" x14ac:dyDescent="0.25">
      <c r="A20" s="55"/>
      <c r="B20" s="56"/>
      <c r="C20" s="6" t="s">
        <v>251</v>
      </c>
    </row>
    <row r="21" spans="1:3" ht="63" customHeight="1" x14ac:dyDescent="0.25">
      <c r="A21" s="55"/>
      <c r="B21" s="56"/>
      <c r="C21" s="6" t="s">
        <v>252</v>
      </c>
    </row>
    <row r="22" spans="1:3" ht="63" customHeight="1" x14ac:dyDescent="0.25">
      <c r="A22" s="55"/>
      <c r="B22" s="56"/>
      <c r="C22" s="6" t="s">
        <v>253</v>
      </c>
    </row>
    <row r="23" spans="1:3" ht="63" customHeight="1" x14ac:dyDescent="0.25">
      <c r="A23" s="55"/>
      <c r="B23" s="56"/>
      <c r="C23" s="6" t="s">
        <v>254</v>
      </c>
    </row>
    <row r="24" spans="1:3" ht="63" customHeight="1" x14ac:dyDescent="0.25">
      <c r="A24" s="55"/>
      <c r="B24" s="56"/>
      <c r="C24" s="6" t="s">
        <v>255</v>
      </c>
    </row>
    <row r="25" spans="1:3" ht="63" customHeight="1" x14ac:dyDescent="0.25">
      <c r="A25" s="55"/>
      <c r="B25" s="56"/>
      <c r="C25" s="6" t="s">
        <v>256</v>
      </c>
    </row>
    <row r="26" spans="1:3" ht="49.5" customHeight="1" x14ac:dyDescent="0.25">
      <c r="A26" s="4">
        <v>10</v>
      </c>
      <c r="B26" s="51" t="s">
        <v>15</v>
      </c>
      <c r="C26" s="6" t="s">
        <v>244</v>
      </c>
    </row>
    <row r="27" spans="1:3" ht="53.25" customHeight="1" x14ac:dyDescent="0.25">
      <c r="A27" s="4">
        <v>11</v>
      </c>
      <c r="B27" s="51" t="s">
        <v>16</v>
      </c>
      <c r="C27" s="6" t="s">
        <v>257</v>
      </c>
    </row>
    <row r="28" spans="1:3" s="13" customFormat="1" ht="51" customHeight="1" x14ac:dyDescent="0.25">
      <c r="A28" s="18">
        <v>12</v>
      </c>
      <c r="B28" s="52" t="s">
        <v>216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217</v>
      </c>
      <c r="C29" s="12" t="s">
        <v>258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B1" zoomScaleSheetLayoutView="100" workbookViewId="0">
      <selection activeCell="C15" sqref="C15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">
        <v>259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221</v>
      </c>
      <c r="C6" s="20"/>
    </row>
    <row r="7" spans="1:3" ht="32.25" customHeight="1" x14ac:dyDescent="0.25">
      <c r="A7" s="11">
        <v>3</v>
      </c>
      <c r="B7" s="52" t="s">
        <v>218</v>
      </c>
      <c r="C7" s="20" t="str">
        <f>'Form 1'!C6</f>
        <v>Charmady Kanapady RF Extension Block I</v>
      </c>
    </row>
    <row r="8" spans="1:3" ht="32.25" customHeight="1" x14ac:dyDescent="0.25">
      <c r="A8" s="11">
        <v>4</v>
      </c>
      <c r="B8" s="52" t="s">
        <v>9</v>
      </c>
      <c r="C8" s="20">
        <f>'Form 1'!C8</f>
        <v>7197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13.066990000000001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75.416875000000005</v>
      </c>
    </row>
    <row r="11" spans="1:3" ht="32.25" customHeight="1" x14ac:dyDescent="0.25">
      <c r="A11" s="11">
        <v>7</v>
      </c>
      <c r="B11" s="52" t="s">
        <v>22</v>
      </c>
      <c r="C11" s="20" t="s">
        <v>302</v>
      </c>
    </row>
    <row r="12" spans="1:3" ht="43.5" customHeight="1" x14ac:dyDescent="0.25">
      <c r="A12" s="11">
        <v>8</v>
      </c>
      <c r="B12" s="52" t="s">
        <v>23</v>
      </c>
      <c r="C12" s="20" t="s">
        <v>240</v>
      </c>
    </row>
    <row r="13" spans="1:3" ht="43.5" customHeight="1" x14ac:dyDescent="0.25">
      <c r="A13" s="11">
        <v>9</v>
      </c>
      <c r="B13" s="52" t="s">
        <v>24</v>
      </c>
      <c r="C13" s="20" t="s">
        <v>241</v>
      </c>
    </row>
    <row r="14" spans="1:3" ht="38.25" customHeight="1" x14ac:dyDescent="0.25">
      <c r="A14" s="11">
        <v>10</v>
      </c>
      <c r="B14" s="52" t="s">
        <v>25</v>
      </c>
      <c r="C14" s="20" t="s">
        <v>303</v>
      </c>
    </row>
    <row r="15" spans="1:3" ht="25.5" customHeight="1" x14ac:dyDescent="0.25">
      <c r="A15" s="11">
        <v>11</v>
      </c>
      <c r="B15" s="52" t="s">
        <v>26</v>
      </c>
      <c r="C15" s="22" t="s">
        <v>304</v>
      </c>
    </row>
    <row r="16" spans="1:3" ht="37.5" customHeight="1" x14ac:dyDescent="0.25">
      <c r="A16" s="11">
        <v>12</v>
      </c>
      <c r="B16" s="52" t="s">
        <v>27</v>
      </c>
      <c r="C16" s="22" t="s">
        <v>305</v>
      </c>
    </row>
    <row r="17" spans="1:3" ht="37.5" customHeight="1" x14ac:dyDescent="0.25">
      <c r="A17" s="11">
        <v>13</v>
      </c>
      <c r="B17" s="52" t="s">
        <v>28</v>
      </c>
      <c r="C17" s="22" t="s">
        <v>309</v>
      </c>
    </row>
    <row r="18" spans="1:3" ht="31.5" customHeight="1" x14ac:dyDescent="0.25">
      <c r="A18" s="58">
        <v>14</v>
      </c>
      <c r="B18" s="59" t="s">
        <v>29</v>
      </c>
      <c r="C18" s="22" t="s">
        <v>260</v>
      </c>
    </row>
    <row r="19" spans="1:3" ht="30.75" customHeight="1" x14ac:dyDescent="0.25">
      <c r="A19" s="58"/>
      <c r="B19" s="59"/>
      <c r="C19" s="22" t="s">
        <v>261</v>
      </c>
    </row>
    <row r="20" spans="1:3" ht="30.75" customHeight="1" x14ac:dyDescent="0.25">
      <c r="A20" s="58"/>
      <c r="B20" s="59"/>
      <c r="C20" s="23" t="s">
        <v>262</v>
      </c>
    </row>
    <row r="21" spans="1:3" ht="36" customHeight="1" x14ac:dyDescent="0.25">
      <c r="A21" s="11">
        <v>15</v>
      </c>
      <c r="B21" s="52" t="s">
        <v>30</v>
      </c>
      <c r="C21" s="22" t="s">
        <v>263</v>
      </c>
    </row>
    <row r="22" spans="1:3" ht="54.75" customHeight="1" x14ac:dyDescent="0.25">
      <c r="A22" s="11">
        <v>16</v>
      </c>
      <c r="B22" s="52" t="s">
        <v>31</v>
      </c>
      <c r="C22" s="22" t="s">
        <v>306</v>
      </c>
    </row>
    <row r="23" spans="1:3" ht="15.75" x14ac:dyDescent="0.25">
      <c r="A23" s="11">
        <v>17</v>
      </c>
      <c r="B23" s="52" t="s">
        <v>219</v>
      </c>
      <c r="C23" s="22" t="s">
        <v>264</v>
      </c>
    </row>
    <row r="24" spans="1:3" ht="35.25" customHeight="1" x14ac:dyDescent="0.25">
      <c r="A24" s="11">
        <v>18</v>
      </c>
      <c r="B24" s="52" t="s">
        <v>32</v>
      </c>
      <c r="C24" s="22" t="s">
        <v>266</v>
      </c>
    </row>
    <row r="25" spans="1:3" ht="72.75" customHeight="1" x14ac:dyDescent="0.25">
      <c r="A25" s="11">
        <v>19</v>
      </c>
      <c r="B25" s="52" t="s">
        <v>33</v>
      </c>
      <c r="C25" s="22" t="s">
        <v>265</v>
      </c>
    </row>
    <row r="26" spans="1:3" ht="30" customHeight="1" x14ac:dyDescent="0.25">
      <c r="A26" s="11">
        <v>20</v>
      </c>
      <c r="B26" s="52" t="s">
        <v>34</v>
      </c>
      <c r="C26" s="23" t="s">
        <v>267</v>
      </c>
    </row>
    <row r="27" spans="1:3" ht="30" customHeight="1" x14ac:dyDescent="0.25">
      <c r="A27" s="11">
        <v>21</v>
      </c>
      <c r="B27" s="52" t="s">
        <v>35</v>
      </c>
      <c r="C27" s="22" t="s">
        <v>268</v>
      </c>
    </row>
    <row r="28" spans="1:3" ht="30" customHeight="1" x14ac:dyDescent="0.25">
      <c r="A28" s="11">
        <v>22</v>
      </c>
      <c r="B28" s="52" t="s">
        <v>36</v>
      </c>
      <c r="C28" s="22" t="s">
        <v>269</v>
      </c>
    </row>
    <row r="29" spans="1:3" ht="32.25" customHeight="1" x14ac:dyDescent="0.25">
      <c r="A29" s="11">
        <v>23</v>
      </c>
      <c r="B29" s="52" t="s">
        <v>37</v>
      </c>
      <c r="C29" s="22" t="s">
        <v>270</v>
      </c>
    </row>
    <row r="30" spans="1:3" ht="62.25" customHeight="1" x14ac:dyDescent="0.25">
      <c r="A30" s="11">
        <v>24</v>
      </c>
      <c r="B30" s="52" t="s">
        <v>38</v>
      </c>
      <c r="C30" s="22" t="s">
        <v>244</v>
      </c>
    </row>
    <row r="31" spans="1:3" ht="72.75" customHeight="1" x14ac:dyDescent="0.25">
      <c r="A31" s="11">
        <v>25</v>
      </c>
      <c r="B31" s="52" t="s">
        <v>39</v>
      </c>
      <c r="C31" s="22" t="s">
        <v>244</v>
      </c>
    </row>
    <row r="32" spans="1:3" ht="60" customHeight="1" x14ac:dyDescent="0.25">
      <c r="A32" s="11">
        <v>26</v>
      </c>
      <c r="B32" s="52" t="s">
        <v>40</v>
      </c>
      <c r="C32" s="22" t="s">
        <v>244</v>
      </c>
    </row>
    <row r="33" spans="1:3" ht="60" customHeight="1" x14ac:dyDescent="0.25">
      <c r="A33" s="11">
        <v>27</v>
      </c>
      <c r="B33" s="52" t="s">
        <v>41</v>
      </c>
      <c r="C33" s="20" t="s">
        <v>272</v>
      </c>
    </row>
    <row r="34" spans="1:3" ht="57.75" customHeight="1" x14ac:dyDescent="0.25">
      <c r="A34" s="11">
        <v>28</v>
      </c>
      <c r="B34" s="52" t="s">
        <v>42</v>
      </c>
      <c r="C34" s="22" t="s">
        <v>271</v>
      </c>
    </row>
    <row r="35" spans="1:3" ht="59.25" customHeight="1" x14ac:dyDescent="0.25">
      <c r="A35" s="11">
        <v>29</v>
      </c>
      <c r="B35" s="52" t="s">
        <v>43</v>
      </c>
      <c r="C35" s="22" t="s">
        <v>244</v>
      </c>
    </row>
    <row r="36" spans="1:3" ht="66" customHeight="1" x14ac:dyDescent="0.25">
      <c r="A36" s="11">
        <v>30</v>
      </c>
      <c r="B36" s="52" t="s">
        <v>222</v>
      </c>
      <c r="C36" s="22" t="s">
        <v>242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7"/>
  <sheetViews>
    <sheetView view="pageBreakPreview" topLeftCell="A34" zoomScale="60" zoomScaleNormal="70" workbookViewId="0">
      <selection activeCell="O16" sqref="O16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46</v>
      </c>
      <c r="B4" s="4" t="s">
        <v>47</v>
      </c>
      <c r="C4" s="4" t="s">
        <v>48</v>
      </c>
      <c r="D4" s="4" t="s">
        <v>49</v>
      </c>
      <c r="E4" s="4"/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/>
      <c r="L4" s="4" t="s">
        <v>55</v>
      </c>
      <c r="M4" s="4" t="s">
        <v>56</v>
      </c>
    </row>
    <row r="5" spans="1:20" ht="40.5" customHeight="1" x14ac:dyDescent="0.25">
      <c r="A5" s="24" t="s">
        <v>57</v>
      </c>
      <c r="B5" s="24" t="s">
        <v>58</v>
      </c>
      <c r="C5" s="24" t="s">
        <v>59</v>
      </c>
      <c r="D5" s="24" t="s">
        <v>60</v>
      </c>
      <c r="F5" s="24" t="s">
        <v>61</v>
      </c>
      <c r="G5" s="24" t="s">
        <v>62</v>
      </c>
      <c r="H5" s="24" t="s">
        <v>63</v>
      </c>
      <c r="I5" s="24" t="s">
        <v>64</v>
      </c>
      <c r="J5" s="24" t="s">
        <v>65</v>
      </c>
      <c r="L5" s="24" t="s">
        <v>66</v>
      </c>
      <c r="M5" s="24" t="s">
        <v>67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237</v>
      </c>
      <c r="B8" s="54" t="s">
        <v>68</v>
      </c>
      <c r="C8" s="54"/>
      <c r="D8" s="54"/>
      <c r="E8" s="54"/>
      <c r="F8" s="54"/>
      <c r="G8" s="54"/>
      <c r="H8" s="54"/>
      <c r="I8" s="66" t="s">
        <v>69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223</v>
      </c>
    </row>
    <row r="9" spans="1:20" s="25" customFormat="1" ht="40.5" customHeight="1" x14ac:dyDescent="0.25">
      <c r="A9" s="65"/>
      <c r="B9" s="55" t="s">
        <v>70</v>
      </c>
      <c r="C9" s="55" t="s">
        <v>71</v>
      </c>
      <c r="D9" s="55" t="s">
        <v>228</v>
      </c>
      <c r="E9" s="55" t="s">
        <v>72</v>
      </c>
      <c r="F9" s="55" t="s">
        <v>73</v>
      </c>
      <c r="G9" s="55" t="s">
        <v>74</v>
      </c>
      <c r="H9" s="55" t="s">
        <v>75</v>
      </c>
      <c r="I9" s="55" t="s">
        <v>76</v>
      </c>
      <c r="J9" s="55"/>
      <c r="K9" s="55" t="s">
        <v>77</v>
      </c>
      <c r="L9" s="55"/>
      <c r="M9" s="55"/>
      <c r="N9" s="55" t="s">
        <v>78</v>
      </c>
      <c r="O9" s="55" t="s">
        <v>79</v>
      </c>
      <c r="P9" s="55" t="s">
        <v>80</v>
      </c>
      <c r="Q9" s="55" t="s">
        <v>81</v>
      </c>
      <c r="R9" s="55" t="s">
        <v>82</v>
      </c>
      <c r="S9" s="55" t="s">
        <v>83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84</v>
      </c>
      <c r="J10" s="4" t="s">
        <v>85</v>
      </c>
      <c r="K10" s="4" t="s">
        <v>86</v>
      </c>
      <c r="L10" s="4" t="s">
        <v>87</v>
      </c>
      <c r="M10" s="4" t="s">
        <v>88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89</v>
      </c>
      <c r="D11" s="24" t="s">
        <v>90</v>
      </c>
      <c r="E11" s="24" t="s">
        <v>91</v>
      </c>
      <c r="F11" s="24" t="s">
        <v>92</v>
      </c>
      <c r="G11" s="24" t="s">
        <v>93</v>
      </c>
      <c r="H11" s="24" t="s">
        <v>94</v>
      </c>
      <c r="I11" s="24" t="s">
        <v>95</v>
      </c>
      <c r="J11" s="24" t="s">
        <v>96</v>
      </c>
      <c r="K11" s="24" t="s">
        <v>97</v>
      </c>
      <c r="L11" s="24" t="s">
        <v>98</v>
      </c>
      <c r="M11" s="24" t="s">
        <v>99</v>
      </c>
      <c r="N11" s="24" t="s">
        <v>100</v>
      </c>
      <c r="O11" s="24" t="s">
        <v>101</v>
      </c>
      <c r="P11" s="24" t="s">
        <v>102</v>
      </c>
      <c r="Q11" s="24" t="s">
        <v>103</v>
      </c>
      <c r="R11" s="24" t="s">
        <v>104</v>
      </c>
      <c r="S11" s="24" t="s">
        <v>105</v>
      </c>
      <c r="T11" s="24"/>
    </row>
    <row r="12" spans="1:20" ht="40.5" customHeight="1" x14ac:dyDescent="0.25">
      <c r="A12" s="24">
        <f>ROW()-11</f>
        <v>1</v>
      </c>
      <c r="B12" s="24" t="s">
        <v>273</v>
      </c>
      <c r="C12" s="24"/>
      <c r="D12" s="24">
        <v>53</v>
      </c>
      <c r="E12" s="24"/>
      <c r="F12" s="24"/>
      <c r="G12" s="24"/>
      <c r="H12" s="24"/>
      <c r="I12" s="24">
        <v>4</v>
      </c>
      <c r="J12" s="24">
        <v>5</v>
      </c>
      <c r="K12" s="24">
        <f>L12+M12+R12</f>
        <v>9</v>
      </c>
      <c r="L12" s="24">
        <v>4</v>
      </c>
      <c r="M12" s="24">
        <v>3</v>
      </c>
      <c r="N12" s="24"/>
      <c r="O12" s="24"/>
      <c r="P12" s="24"/>
      <c r="Q12" s="24"/>
      <c r="R12" s="24">
        <v>2</v>
      </c>
      <c r="S12" s="24"/>
      <c r="T12" s="24"/>
    </row>
    <row r="13" spans="1:20" ht="40.5" customHeight="1" x14ac:dyDescent="0.25">
      <c r="A13" s="24">
        <f t="shared" ref="A13:A37" si="0">ROW()-11</f>
        <v>2</v>
      </c>
      <c r="B13" s="24" t="s">
        <v>274</v>
      </c>
      <c r="C13" s="24"/>
      <c r="D13" s="24">
        <v>96</v>
      </c>
      <c r="E13" s="24"/>
      <c r="F13" s="24"/>
      <c r="G13" s="24"/>
      <c r="H13" s="24"/>
      <c r="I13" s="24">
        <v>7</v>
      </c>
      <c r="J13" s="24">
        <v>6</v>
      </c>
      <c r="K13" s="24">
        <f t="shared" ref="K13:K37" si="1">L13+M13+R13</f>
        <v>14</v>
      </c>
      <c r="L13" s="24">
        <v>4</v>
      </c>
      <c r="M13" s="24">
        <v>6</v>
      </c>
      <c r="N13" s="24"/>
      <c r="O13" s="24"/>
      <c r="P13" s="24"/>
      <c r="Q13" s="24"/>
      <c r="R13" s="24">
        <v>4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273</v>
      </c>
      <c r="C14" s="24"/>
      <c r="D14" s="24">
        <v>48</v>
      </c>
      <c r="E14" s="24"/>
      <c r="F14" s="24"/>
      <c r="G14" s="24"/>
      <c r="H14" s="24"/>
      <c r="I14" s="24">
        <v>5</v>
      </c>
      <c r="J14" s="24">
        <v>4.5</v>
      </c>
      <c r="K14" s="24">
        <f t="shared" si="1"/>
        <v>10</v>
      </c>
      <c r="L14" s="24">
        <v>4</v>
      </c>
      <c r="M14" s="24">
        <v>3</v>
      </c>
      <c r="N14" s="24"/>
      <c r="O14" s="24"/>
      <c r="P14" s="24"/>
      <c r="Q14" s="24"/>
      <c r="R14" s="24">
        <v>3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273</v>
      </c>
      <c r="C15" s="24"/>
      <c r="D15" s="24">
        <v>43</v>
      </c>
      <c r="E15" s="24"/>
      <c r="F15" s="24"/>
      <c r="G15" s="24"/>
      <c r="H15" s="24"/>
      <c r="I15" s="24">
        <v>3</v>
      </c>
      <c r="J15" s="24">
        <v>4.5</v>
      </c>
      <c r="K15" s="24">
        <f t="shared" si="1"/>
        <v>10</v>
      </c>
      <c r="L15" s="24">
        <v>4</v>
      </c>
      <c r="M15" s="24">
        <v>4</v>
      </c>
      <c r="N15" s="24"/>
      <c r="O15" s="24"/>
      <c r="P15" s="24"/>
      <c r="Q15" s="24"/>
      <c r="R15" s="24">
        <v>2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275</v>
      </c>
      <c r="C16" s="24"/>
      <c r="D16" s="24">
        <v>71</v>
      </c>
      <c r="E16" s="24"/>
      <c r="F16" s="24"/>
      <c r="G16" s="24"/>
      <c r="H16" s="24"/>
      <c r="I16" s="24">
        <v>5</v>
      </c>
      <c r="J16" s="24">
        <v>4.5</v>
      </c>
      <c r="K16" s="24">
        <f t="shared" si="1"/>
        <v>14</v>
      </c>
      <c r="L16" s="24">
        <v>3</v>
      </c>
      <c r="M16" s="24">
        <v>4</v>
      </c>
      <c r="N16" s="24"/>
      <c r="O16" s="24"/>
      <c r="P16" s="24"/>
      <c r="Q16" s="24"/>
      <c r="R16" s="24">
        <v>7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276</v>
      </c>
      <c r="C17" s="24"/>
      <c r="D17" s="24">
        <v>51</v>
      </c>
      <c r="E17" s="24"/>
      <c r="F17" s="24"/>
      <c r="G17" s="24"/>
      <c r="H17" s="24"/>
      <c r="I17" s="24">
        <v>4</v>
      </c>
      <c r="J17" s="24">
        <v>3.5</v>
      </c>
      <c r="K17" s="24">
        <f t="shared" si="1"/>
        <v>12</v>
      </c>
      <c r="L17" s="24">
        <v>3</v>
      </c>
      <c r="M17" s="24">
        <v>3</v>
      </c>
      <c r="N17" s="24"/>
      <c r="O17" s="24"/>
      <c r="P17" s="24"/>
      <c r="Q17" s="24"/>
      <c r="R17" s="24">
        <v>6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274</v>
      </c>
      <c r="C18" s="24"/>
      <c r="D18" s="24">
        <v>107</v>
      </c>
      <c r="E18" s="24"/>
      <c r="F18" s="24"/>
      <c r="G18" s="24"/>
      <c r="H18" s="24"/>
      <c r="I18" s="24">
        <v>8</v>
      </c>
      <c r="J18" s="24">
        <v>5</v>
      </c>
      <c r="K18" s="24">
        <f t="shared" si="1"/>
        <v>12</v>
      </c>
      <c r="L18" s="24">
        <v>4</v>
      </c>
      <c r="M18" s="24">
        <v>2</v>
      </c>
      <c r="N18" s="24"/>
      <c r="O18" s="24"/>
      <c r="P18" s="24"/>
      <c r="Q18" s="24"/>
      <c r="R18" s="24">
        <v>6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276</v>
      </c>
      <c r="C19" s="24"/>
      <c r="D19" s="24">
        <v>71</v>
      </c>
      <c r="E19" s="24"/>
      <c r="F19" s="24"/>
      <c r="G19" s="24"/>
      <c r="H19" s="24"/>
      <c r="I19" s="24">
        <v>4</v>
      </c>
      <c r="J19" s="24">
        <v>5</v>
      </c>
      <c r="K19" s="24">
        <f t="shared" si="1"/>
        <v>15</v>
      </c>
      <c r="L19" s="24">
        <v>3</v>
      </c>
      <c r="M19" s="24">
        <v>4</v>
      </c>
      <c r="N19" s="24"/>
      <c r="O19" s="24"/>
      <c r="P19" s="24"/>
      <c r="Q19" s="24"/>
      <c r="R19" s="24">
        <v>8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276</v>
      </c>
      <c r="C20" s="24"/>
      <c r="D20" s="24">
        <v>92</v>
      </c>
      <c r="E20" s="24"/>
      <c r="F20" s="24"/>
      <c r="G20" s="24"/>
      <c r="H20" s="24"/>
      <c r="I20" s="24">
        <v>7</v>
      </c>
      <c r="J20" s="24">
        <v>5</v>
      </c>
      <c r="K20" s="24">
        <f t="shared" si="1"/>
        <v>15</v>
      </c>
      <c r="L20" s="24">
        <v>2</v>
      </c>
      <c r="M20" s="24">
        <v>3</v>
      </c>
      <c r="N20" s="24"/>
      <c r="O20" s="24"/>
      <c r="P20" s="24"/>
      <c r="Q20" s="24"/>
      <c r="R20" s="24">
        <v>10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275</v>
      </c>
      <c r="C21" s="24"/>
      <c r="D21" s="24">
        <v>69</v>
      </c>
      <c r="E21" s="24"/>
      <c r="F21" s="24"/>
      <c r="G21" s="24"/>
      <c r="H21" s="24"/>
      <c r="I21" s="24">
        <v>6</v>
      </c>
      <c r="J21" s="24">
        <v>5</v>
      </c>
      <c r="K21" s="24">
        <f t="shared" si="1"/>
        <v>14</v>
      </c>
      <c r="L21" s="24">
        <v>4</v>
      </c>
      <c r="M21" s="24">
        <v>3</v>
      </c>
      <c r="N21" s="24"/>
      <c r="O21" s="24"/>
      <c r="P21" s="24"/>
      <c r="Q21" s="24"/>
      <c r="R21" s="24">
        <v>7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276</v>
      </c>
      <c r="C22" s="24"/>
      <c r="D22" s="24">
        <v>74</v>
      </c>
      <c r="E22" s="24"/>
      <c r="F22" s="24"/>
      <c r="G22" s="24"/>
      <c r="H22" s="24"/>
      <c r="I22" s="24">
        <v>6</v>
      </c>
      <c r="J22" s="24">
        <v>5.5</v>
      </c>
      <c r="K22" s="24">
        <f t="shared" si="1"/>
        <v>14</v>
      </c>
      <c r="L22" s="24">
        <v>3</v>
      </c>
      <c r="M22" s="24">
        <v>4</v>
      </c>
      <c r="N22" s="24"/>
      <c r="O22" s="24"/>
      <c r="P22" s="24"/>
      <c r="Q22" s="24"/>
      <c r="R22" s="24">
        <v>7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273</v>
      </c>
      <c r="C23" s="24"/>
      <c r="D23" s="24">
        <v>41</v>
      </c>
      <c r="E23" s="24"/>
      <c r="F23" s="24"/>
      <c r="G23" s="24"/>
      <c r="H23" s="24"/>
      <c r="I23" s="24">
        <v>4</v>
      </c>
      <c r="J23" s="24">
        <v>3</v>
      </c>
      <c r="K23" s="24">
        <f t="shared" si="1"/>
        <v>12</v>
      </c>
      <c r="L23" s="24">
        <v>4</v>
      </c>
      <c r="M23" s="24">
        <v>5</v>
      </c>
      <c r="N23" s="24"/>
      <c r="O23" s="24"/>
      <c r="P23" s="24"/>
      <c r="Q23" s="24"/>
      <c r="R23" s="24">
        <v>3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273</v>
      </c>
      <c r="C24" s="24"/>
      <c r="D24" s="24">
        <v>53</v>
      </c>
      <c r="E24" s="24"/>
      <c r="F24" s="24"/>
      <c r="G24" s="24"/>
      <c r="H24" s="24"/>
      <c r="I24" s="24">
        <v>4</v>
      </c>
      <c r="J24" s="24">
        <v>4.5</v>
      </c>
      <c r="K24" s="24">
        <f t="shared" si="1"/>
        <v>10</v>
      </c>
      <c r="L24" s="24">
        <v>2</v>
      </c>
      <c r="M24" s="24">
        <v>4</v>
      </c>
      <c r="N24" s="24"/>
      <c r="O24" s="24"/>
      <c r="P24" s="24"/>
      <c r="Q24" s="24"/>
      <c r="R24" s="24">
        <v>4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275</v>
      </c>
      <c r="C25" s="24"/>
      <c r="D25" s="24">
        <v>98</v>
      </c>
      <c r="E25" s="24"/>
      <c r="F25" s="24"/>
      <c r="G25" s="24"/>
      <c r="H25" s="24"/>
      <c r="I25" s="24">
        <v>6</v>
      </c>
      <c r="J25" s="24">
        <v>7</v>
      </c>
      <c r="K25" s="24">
        <f t="shared" si="1"/>
        <v>14</v>
      </c>
      <c r="L25" s="24">
        <v>3</v>
      </c>
      <c r="M25" s="24">
        <v>4</v>
      </c>
      <c r="N25" s="24"/>
      <c r="O25" s="24"/>
      <c r="P25" s="24"/>
      <c r="Q25" s="24"/>
      <c r="R25" s="24">
        <v>7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276</v>
      </c>
      <c r="C26" s="24"/>
      <c r="D26" s="24">
        <v>46</v>
      </c>
      <c r="E26" s="24"/>
      <c r="F26" s="24"/>
      <c r="G26" s="24"/>
      <c r="H26" s="24"/>
      <c r="I26" s="24">
        <v>5</v>
      </c>
      <c r="J26" s="24">
        <v>4</v>
      </c>
      <c r="K26" s="24">
        <f t="shared" si="1"/>
        <v>11</v>
      </c>
      <c r="L26" s="24">
        <v>3</v>
      </c>
      <c r="M26" s="24">
        <v>4</v>
      </c>
      <c r="N26" s="24"/>
      <c r="O26" s="24"/>
      <c r="P26" s="24"/>
      <c r="Q26" s="24"/>
      <c r="R26" s="24">
        <v>4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276</v>
      </c>
      <c r="C27" s="24"/>
      <c r="D27" s="24">
        <v>53</v>
      </c>
      <c r="E27" s="24"/>
      <c r="F27" s="24"/>
      <c r="G27" s="24"/>
      <c r="H27" s="24"/>
      <c r="I27" s="24">
        <v>4</v>
      </c>
      <c r="J27" s="24">
        <v>5.5</v>
      </c>
      <c r="K27" s="24">
        <f t="shared" si="1"/>
        <v>12</v>
      </c>
      <c r="L27" s="24">
        <v>3</v>
      </c>
      <c r="M27" s="24">
        <v>4</v>
      </c>
      <c r="N27" s="24"/>
      <c r="O27" s="24"/>
      <c r="P27" s="24"/>
      <c r="Q27" s="24"/>
      <c r="R27" s="24">
        <v>5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273</v>
      </c>
      <c r="C28" s="24"/>
      <c r="D28" s="24">
        <v>71</v>
      </c>
      <c r="E28" s="24"/>
      <c r="F28" s="24"/>
      <c r="G28" s="24"/>
      <c r="H28" s="24"/>
      <c r="I28" s="24">
        <v>4</v>
      </c>
      <c r="J28" s="24">
        <v>4.5</v>
      </c>
      <c r="K28" s="24">
        <f t="shared" si="1"/>
        <v>12</v>
      </c>
      <c r="L28" s="24">
        <v>3</v>
      </c>
      <c r="M28" s="24">
        <v>4</v>
      </c>
      <c r="N28" s="24"/>
      <c r="O28" s="24"/>
      <c r="P28" s="24"/>
      <c r="Q28" s="24"/>
      <c r="R28" s="24">
        <v>5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277</v>
      </c>
      <c r="C29" s="24"/>
      <c r="D29" s="24">
        <v>142</v>
      </c>
      <c r="E29" s="24"/>
      <c r="F29" s="24"/>
      <c r="G29" s="24"/>
      <c r="H29" s="24"/>
      <c r="I29" s="24">
        <v>5</v>
      </c>
      <c r="J29" s="24">
        <v>5.5</v>
      </c>
      <c r="K29" s="24">
        <f t="shared" si="1"/>
        <v>12</v>
      </c>
      <c r="L29" s="24">
        <v>5</v>
      </c>
      <c r="M29" s="24">
        <v>3</v>
      </c>
      <c r="N29" s="24"/>
      <c r="O29" s="24"/>
      <c r="P29" s="24"/>
      <c r="Q29" s="24"/>
      <c r="R29" s="24">
        <v>4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276</v>
      </c>
      <c r="C30" s="24"/>
      <c r="D30" s="24">
        <v>46</v>
      </c>
      <c r="E30" s="24"/>
      <c r="F30" s="24"/>
      <c r="G30" s="24"/>
      <c r="H30" s="24"/>
      <c r="I30" s="24">
        <v>5</v>
      </c>
      <c r="J30" s="24">
        <v>4</v>
      </c>
      <c r="K30" s="24">
        <f t="shared" si="1"/>
        <v>12</v>
      </c>
      <c r="L30" s="24">
        <v>3</v>
      </c>
      <c r="M30" s="24">
        <v>4</v>
      </c>
      <c r="N30" s="24"/>
      <c r="O30" s="24"/>
      <c r="P30" s="24"/>
      <c r="Q30" s="24"/>
      <c r="R30" s="24">
        <v>5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276</v>
      </c>
      <c r="C31" s="24"/>
      <c r="D31" s="24">
        <v>71</v>
      </c>
      <c r="E31" s="24"/>
      <c r="F31" s="24"/>
      <c r="G31" s="24"/>
      <c r="H31" s="24"/>
      <c r="I31" s="24">
        <v>7</v>
      </c>
      <c r="J31" s="24">
        <v>6</v>
      </c>
      <c r="K31" s="24">
        <f t="shared" si="1"/>
        <v>13</v>
      </c>
      <c r="L31" s="24">
        <v>3</v>
      </c>
      <c r="M31" s="24">
        <v>4</v>
      </c>
      <c r="N31" s="24"/>
      <c r="O31" s="24"/>
      <c r="P31" s="24"/>
      <c r="Q31" s="24"/>
      <c r="R31" s="24">
        <v>6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274</v>
      </c>
      <c r="C32" s="24"/>
      <c r="D32" s="24">
        <v>96</v>
      </c>
      <c r="E32" s="24"/>
      <c r="F32" s="24"/>
      <c r="G32" s="24"/>
      <c r="H32" s="24"/>
      <c r="I32" s="24">
        <v>7</v>
      </c>
      <c r="J32" s="24">
        <v>4</v>
      </c>
      <c r="K32" s="24">
        <f t="shared" si="1"/>
        <v>12</v>
      </c>
      <c r="L32" s="24">
        <v>2</v>
      </c>
      <c r="M32" s="24">
        <v>4</v>
      </c>
      <c r="N32" s="24"/>
      <c r="O32" s="24"/>
      <c r="P32" s="24"/>
      <c r="Q32" s="24"/>
      <c r="R32" s="24">
        <v>6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273</v>
      </c>
      <c r="C33" s="24"/>
      <c r="D33" s="24">
        <v>43</v>
      </c>
      <c r="E33" s="24"/>
      <c r="F33" s="24"/>
      <c r="G33" s="24"/>
      <c r="H33" s="24"/>
      <c r="I33" s="24">
        <v>4</v>
      </c>
      <c r="J33" s="24">
        <v>3</v>
      </c>
      <c r="K33" s="24">
        <f t="shared" si="1"/>
        <v>8.5</v>
      </c>
      <c r="L33" s="24">
        <v>4</v>
      </c>
      <c r="M33" s="24">
        <v>3</v>
      </c>
      <c r="N33" s="24"/>
      <c r="O33" s="24"/>
      <c r="P33" s="24"/>
      <c r="Q33" s="24"/>
      <c r="R33" s="24">
        <v>1.5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278</v>
      </c>
      <c r="C34" s="24"/>
      <c r="D34" s="24">
        <v>36</v>
      </c>
      <c r="E34" s="24"/>
      <c r="F34" s="24"/>
      <c r="G34" s="24"/>
      <c r="H34" s="24"/>
      <c r="I34" s="24">
        <v>3</v>
      </c>
      <c r="J34" s="24">
        <v>3.5</v>
      </c>
      <c r="K34" s="24">
        <f t="shared" si="1"/>
        <v>6</v>
      </c>
      <c r="L34" s="24">
        <v>1</v>
      </c>
      <c r="M34" s="24">
        <v>3</v>
      </c>
      <c r="N34" s="24"/>
      <c r="O34" s="24"/>
      <c r="P34" s="24"/>
      <c r="Q34" s="24"/>
      <c r="R34" s="24">
        <v>2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274</v>
      </c>
      <c r="C35" s="24"/>
      <c r="D35" s="24">
        <v>108</v>
      </c>
      <c r="E35" s="24"/>
      <c r="F35" s="24"/>
      <c r="G35" s="24"/>
      <c r="H35" s="24"/>
      <c r="I35" s="24">
        <v>4</v>
      </c>
      <c r="J35" s="24">
        <v>4.5</v>
      </c>
      <c r="K35" s="24">
        <f t="shared" si="1"/>
        <v>14</v>
      </c>
      <c r="L35" s="24">
        <v>3</v>
      </c>
      <c r="M35" s="24">
        <v>4</v>
      </c>
      <c r="N35" s="24"/>
      <c r="O35" s="24"/>
      <c r="P35" s="24"/>
      <c r="Q35" s="24"/>
      <c r="R35" s="24">
        <v>7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275</v>
      </c>
      <c r="C36" s="24"/>
      <c r="D36" s="24">
        <v>63</v>
      </c>
      <c r="E36" s="24"/>
      <c r="F36" s="24"/>
      <c r="G36" s="24"/>
      <c r="H36" s="24"/>
      <c r="I36" s="24">
        <v>4</v>
      </c>
      <c r="J36" s="24">
        <v>3.5</v>
      </c>
      <c r="K36" s="24">
        <f t="shared" si="1"/>
        <v>11</v>
      </c>
      <c r="L36" s="24">
        <v>2</v>
      </c>
      <c r="M36" s="24">
        <v>3</v>
      </c>
      <c r="N36" s="24"/>
      <c r="O36" s="24"/>
      <c r="P36" s="24"/>
      <c r="Q36" s="24"/>
      <c r="R36" s="24">
        <v>6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278</v>
      </c>
      <c r="C37" s="24"/>
      <c r="D37" s="24">
        <v>38</v>
      </c>
      <c r="E37" s="24"/>
      <c r="F37" s="24"/>
      <c r="G37" s="24"/>
      <c r="H37" s="24"/>
      <c r="I37" s="24">
        <v>3</v>
      </c>
      <c r="J37" s="24">
        <v>2.5</v>
      </c>
      <c r="K37" s="24">
        <f t="shared" si="1"/>
        <v>7</v>
      </c>
      <c r="L37" s="24">
        <v>2</v>
      </c>
      <c r="M37" s="24">
        <v>1</v>
      </c>
      <c r="N37" s="24"/>
      <c r="O37" s="24"/>
      <c r="P37" s="24"/>
      <c r="Q37" s="24"/>
      <c r="R37" s="24">
        <v>4</v>
      </c>
      <c r="S37" s="24"/>
      <c r="T37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107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108</v>
      </c>
      <c r="E5" s="55"/>
      <c r="F5" s="55" t="s">
        <v>109</v>
      </c>
      <c r="G5" s="55"/>
      <c r="H5" s="55" t="s">
        <v>110</v>
      </c>
      <c r="I5" s="55"/>
      <c r="J5" s="55" t="s">
        <v>111</v>
      </c>
      <c r="K5" s="55"/>
      <c r="S5" s="55" t="s">
        <v>112</v>
      </c>
      <c r="T5" s="55"/>
      <c r="U5" s="55"/>
      <c r="V5" s="55"/>
      <c r="W5" s="55"/>
      <c r="X5" s="55"/>
      <c r="Y5" s="55" t="s">
        <v>113</v>
      </c>
      <c r="Z5" s="55"/>
    </row>
    <row r="6" spans="1:34" s="15" customFormat="1" ht="23.25" customHeight="1" x14ac:dyDescent="0.25">
      <c r="D6" s="54" t="s">
        <v>57</v>
      </c>
      <c r="E6" s="54"/>
      <c r="F6" s="54" t="s">
        <v>58</v>
      </c>
      <c r="G6" s="54"/>
      <c r="H6" s="54" t="s">
        <v>59</v>
      </c>
      <c r="I6" s="54"/>
      <c r="J6" s="54" t="s">
        <v>60</v>
      </c>
      <c r="K6" s="54"/>
      <c r="S6" s="55" t="s">
        <v>114</v>
      </c>
      <c r="T6" s="55"/>
      <c r="U6" s="55"/>
      <c r="V6" s="55" t="s">
        <v>115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116</v>
      </c>
      <c r="T7" s="65"/>
      <c r="U7" s="65"/>
      <c r="V7" s="65" t="s">
        <v>117</v>
      </c>
      <c r="W7" s="65"/>
      <c r="X7" s="65"/>
      <c r="Y7" s="65" t="s">
        <v>118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119</v>
      </c>
      <c r="B10" s="54"/>
      <c r="C10" s="55" t="s">
        <v>120</v>
      </c>
      <c r="D10" s="55" t="s">
        <v>229</v>
      </c>
      <c r="E10" s="55" t="s">
        <v>121</v>
      </c>
      <c r="F10" s="55" t="s">
        <v>122</v>
      </c>
      <c r="G10" s="55"/>
      <c r="H10" s="55"/>
      <c r="I10" s="55"/>
      <c r="J10" s="55"/>
      <c r="K10" s="55"/>
      <c r="L10" s="55"/>
      <c r="M10" s="55"/>
      <c r="N10" s="55"/>
      <c r="O10" s="55" t="s">
        <v>123</v>
      </c>
      <c r="P10" s="55"/>
      <c r="Q10" s="55"/>
      <c r="R10" s="55"/>
      <c r="S10" s="55"/>
      <c r="T10" s="55"/>
      <c r="U10" s="55"/>
      <c r="V10" s="55"/>
      <c r="W10" s="55"/>
      <c r="X10" s="55" t="s">
        <v>124</v>
      </c>
      <c r="Y10" s="55"/>
      <c r="Z10" s="55"/>
      <c r="AA10" s="55"/>
      <c r="AB10" s="54" t="s">
        <v>125</v>
      </c>
      <c r="AC10" s="54"/>
      <c r="AD10" s="54"/>
      <c r="AE10" s="54"/>
      <c r="AF10" s="55" t="s">
        <v>126</v>
      </c>
      <c r="AG10" s="60" t="s">
        <v>127</v>
      </c>
      <c r="AH10" s="55" t="s">
        <v>128</v>
      </c>
    </row>
    <row r="11" spans="1:34" s="27" customFormat="1" ht="42" customHeight="1" x14ac:dyDescent="0.25">
      <c r="A11" s="60" t="s">
        <v>129</v>
      </c>
      <c r="B11" s="54" t="s">
        <v>130</v>
      </c>
      <c r="C11" s="55"/>
      <c r="D11" s="55"/>
      <c r="E11" s="55"/>
      <c r="F11" s="55" t="s">
        <v>131</v>
      </c>
      <c r="G11" s="55" t="s">
        <v>132</v>
      </c>
      <c r="H11" s="55"/>
      <c r="I11" s="55"/>
      <c r="J11" s="55"/>
      <c r="K11" s="55" t="s">
        <v>133</v>
      </c>
      <c r="L11" s="55"/>
      <c r="M11" s="55"/>
      <c r="N11" s="55"/>
      <c r="O11" s="55" t="s">
        <v>131</v>
      </c>
      <c r="P11" s="55" t="s">
        <v>132</v>
      </c>
      <c r="Q11" s="55"/>
      <c r="R11" s="55"/>
      <c r="S11" s="55"/>
      <c r="T11" s="55" t="s">
        <v>133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134</v>
      </c>
      <c r="H12" s="4" t="s">
        <v>135</v>
      </c>
      <c r="I12" s="4" t="s">
        <v>136</v>
      </c>
      <c r="J12" s="4" t="s">
        <v>137</v>
      </c>
      <c r="K12" s="4" t="s">
        <v>134</v>
      </c>
      <c r="L12" s="4" t="s">
        <v>135</v>
      </c>
      <c r="M12" s="4" t="s">
        <v>136</v>
      </c>
      <c r="N12" s="4" t="s">
        <v>137</v>
      </c>
      <c r="O12" s="55"/>
      <c r="P12" s="4" t="s">
        <v>134</v>
      </c>
      <c r="Q12" s="4" t="s">
        <v>135</v>
      </c>
      <c r="R12" s="4" t="s">
        <v>136</v>
      </c>
      <c r="S12" s="4" t="s">
        <v>137</v>
      </c>
      <c r="T12" s="4" t="s">
        <v>134</v>
      </c>
      <c r="U12" s="4" t="s">
        <v>135</v>
      </c>
      <c r="V12" s="4" t="s">
        <v>136</v>
      </c>
      <c r="W12" s="4" t="s">
        <v>137</v>
      </c>
      <c r="X12" s="4" t="s">
        <v>134</v>
      </c>
      <c r="Y12" s="4" t="s">
        <v>135</v>
      </c>
      <c r="Z12" s="4" t="s">
        <v>136</v>
      </c>
      <c r="AA12" s="4" t="s">
        <v>137</v>
      </c>
      <c r="AB12" s="4" t="s">
        <v>134</v>
      </c>
      <c r="AC12" s="4" t="s">
        <v>135</v>
      </c>
      <c r="AD12" s="4" t="s">
        <v>136</v>
      </c>
      <c r="AE12" s="4" t="s">
        <v>137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138</v>
      </c>
      <c r="C13" s="2" t="s">
        <v>139</v>
      </c>
      <c r="D13" s="2" t="s">
        <v>140</v>
      </c>
      <c r="E13" s="2" t="s">
        <v>141</v>
      </c>
      <c r="F13" s="2" t="s">
        <v>142</v>
      </c>
      <c r="G13" s="2" t="s">
        <v>143</v>
      </c>
      <c r="H13" s="2" t="s">
        <v>144</v>
      </c>
      <c r="I13" s="2" t="s">
        <v>145</v>
      </c>
      <c r="J13" s="2" t="s">
        <v>146</v>
      </c>
      <c r="K13" s="2" t="s">
        <v>95</v>
      </c>
      <c r="L13" s="2" t="s">
        <v>96</v>
      </c>
      <c r="M13" s="2" t="s">
        <v>97</v>
      </c>
      <c r="N13" s="2" t="s">
        <v>98</v>
      </c>
      <c r="O13" s="2" t="s">
        <v>99</v>
      </c>
      <c r="P13" s="2" t="s">
        <v>147</v>
      </c>
      <c r="Q13" s="2" t="s">
        <v>148</v>
      </c>
      <c r="R13" s="2" t="s">
        <v>102</v>
      </c>
      <c r="S13" s="2" t="s">
        <v>103</v>
      </c>
      <c r="T13" s="2" t="s">
        <v>104</v>
      </c>
      <c r="U13" s="2" t="s">
        <v>149</v>
      </c>
      <c r="V13" s="2" t="s">
        <v>150</v>
      </c>
      <c r="W13" s="2" t="s">
        <v>151</v>
      </c>
      <c r="X13" s="2" t="s">
        <v>152</v>
      </c>
      <c r="Y13" s="2" t="s">
        <v>153</v>
      </c>
      <c r="Z13" s="2" t="s">
        <v>154</v>
      </c>
      <c r="AA13" s="2" t="s">
        <v>155</v>
      </c>
      <c r="AB13" s="2" t="s">
        <v>156</v>
      </c>
      <c r="AC13" s="2" t="s">
        <v>157</v>
      </c>
      <c r="AD13" s="2" t="s">
        <v>158</v>
      </c>
      <c r="AE13" s="2" t="s">
        <v>159</v>
      </c>
      <c r="AF13" s="2" t="s">
        <v>160</v>
      </c>
      <c r="AG13" s="2"/>
      <c r="AH13" s="2" t="s">
        <v>161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21" zoomScaleSheetLayoutView="100" workbookViewId="0">
      <selection activeCell="F100" sqref="F100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162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163</v>
      </c>
      <c r="F2" s="83" t="s">
        <v>164</v>
      </c>
      <c r="G2" s="83"/>
      <c r="H2" s="83"/>
    </row>
    <row r="3" spans="1:8" ht="24" customHeight="1" x14ac:dyDescent="0.25">
      <c r="A3" s="74" t="s">
        <v>165</v>
      </c>
      <c r="B3" s="74" t="s">
        <v>166</v>
      </c>
      <c r="C3" s="74" t="s">
        <v>167</v>
      </c>
      <c r="D3" s="74" t="s">
        <v>168</v>
      </c>
      <c r="E3" s="74" t="s">
        <v>169</v>
      </c>
      <c r="F3" s="72" t="s">
        <v>170</v>
      </c>
      <c r="G3" s="72"/>
      <c r="H3" s="74" t="s">
        <v>171</v>
      </c>
    </row>
    <row r="4" spans="1:8" ht="64.5" customHeight="1" x14ac:dyDescent="0.25">
      <c r="A4" s="75"/>
      <c r="B4" s="75"/>
      <c r="C4" s="75"/>
      <c r="D4" s="75"/>
      <c r="E4" s="75"/>
      <c r="F4" s="18" t="s">
        <v>172</v>
      </c>
      <c r="G4" s="18" t="s">
        <v>173</v>
      </c>
      <c r="H4" s="75"/>
    </row>
    <row r="5" spans="1:8" ht="29.25" customHeight="1" x14ac:dyDescent="0.25">
      <c r="A5" s="11">
        <v>1</v>
      </c>
      <c r="B5" s="12" t="s">
        <v>273</v>
      </c>
      <c r="C5" s="12" t="s">
        <v>280</v>
      </c>
      <c r="D5" s="12">
        <v>3.5</v>
      </c>
      <c r="E5" s="12">
        <v>2</v>
      </c>
      <c r="F5" s="12" t="s">
        <v>313</v>
      </c>
      <c r="G5" s="12">
        <f>D5*E5</f>
        <v>7</v>
      </c>
      <c r="H5" s="12"/>
    </row>
    <row r="6" spans="1:8" ht="29.25" customHeight="1" x14ac:dyDescent="0.25">
      <c r="A6" s="11">
        <v>2</v>
      </c>
      <c r="B6" s="12" t="s">
        <v>294</v>
      </c>
      <c r="C6" s="12" t="s">
        <v>295</v>
      </c>
      <c r="D6" s="12">
        <v>5</v>
      </c>
      <c r="E6" s="12">
        <v>4</v>
      </c>
      <c r="F6" s="12" t="s">
        <v>316</v>
      </c>
      <c r="G6" s="12">
        <f t="shared" ref="G6:G7" si="0">D6*E6</f>
        <v>20</v>
      </c>
      <c r="H6" s="12"/>
    </row>
    <row r="7" spans="1:8" ht="29.25" customHeight="1" x14ac:dyDescent="0.25">
      <c r="A7" s="11">
        <v>3</v>
      </c>
      <c r="B7" s="12" t="s">
        <v>294</v>
      </c>
      <c r="C7" s="12" t="s">
        <v>295</v>
      </c>
      <c r="D7" s="12">
        <v>6.8</v>
      </c>
      <c r="E7" s="12">
        <v>4</v>
      </c>
      <c r="F7" s="12"/>
      <c r="G7" s="12">
        <f t="shared" si="0"/>
        <v>27.2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174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175</v>
      </c>
      <c r="C29" s="78"/>
      <c r="D29" s="78"/>
      <c r="E29" s="78"/>
      <c r="F29" s="78"/>
      <c r="G29" s="78"/>
      <c r="H29" s="35" t="s">
        <v>296</v>
      </c>
    </row>
    <row r="30" spans="1:8" ht="31.5" customHeight="1" x14ac:dyDescent="0.25">
      <c r="A30" s="11">
        <v>2</v>
      </c>
      <c r="B30" s="78" t="s">
        <v>176</v>
      </c>
      <c r="C30" s="78"/>
      <c r="D30" s="78"/>
      <c r="E30" s="78"/>
      <c r="F30" s="78"/>
      <c r="G30" s="78"/>
      <c r="H30" s="35" t="s">
        <v>297</v>
      </c>
    </row>
    <row r="31" spans="1:8" ht="24.75" customHeight="1" x14ac:dyDescent="0.25">
      <c r="A31" s="11">
        <v>3</v>
      </c>
      <c r="B31" s="78" t="s">
        <v>177</v>
      </c>
      <c r="C31" s="78"/>
      <c r="D31" s="78"/>
      <c r="E31" s="78"/>
      <c r="F31" s="78"/>
      <c r="G31" s="78"/>
      <c r="H31" s="35">
        <v>0</v>
      </c>
    </row>
    <row r="32" spans="1:8" ht="24.75" customHeight="1" x14ac:dyDescent="0.25">
      <c r="A32" s="11">
        <v>4</v>
      </c>
      <c r="B32" s="79" t="s">
        <v>178</v>
      </c>
      <c r="C32" s="80"/>
      <c r="D32" s="80"/>
      <c r="E32" s="80"/>
      <c r="F32" s="80"/>
      <c r="G32" s="81"/>
      <c r="H32" s="35" t="s">
        <v>298</v>
      </c>
    </row>
    <row r="33" spans="1:8" ht="24.75" customHeight="1" x14ac:dyDescent="0.25">
      <c r="A33" s="11">
        <v>5</v>
      </c>
      <c r="B33" s="79" t="s">
        <v>179</v>
      </c>
      <c r="C33" s="80"/>
      <c r="D33" s="80"/>
      <c r="E33" s="80"/>
      <c r="F33" s="80"/>
      <c r="G33" s="81"/>
      <c r="H33" s="35" t="s">
        <v>299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180</v>
      </c>
      <c r="G35" s="37"/>
    </row>
    <row r="36" spans="1:8" ht="27.6" customHeight="1" x14ac:dyDescent="0.25">
      <c r="A36" s="72" t="s">
        <v>165</v>
      </c>
      <c r="B36" s="72" t="s">
        <v>166</v>
      </c>
      <c r="C36" s="72" t="s">
        <v>167</v>
      </c>
      <c r="D36" s="74" t="s">
        <v>168</v>
      </c>
      <c r="E36" s="72" t="s">
        <v>169</v>
      </c>
      <c r="F36" s="72" t="s">
        <v>170</v>
      </c>
      <c r="G36" s="72"/>
      <c r="H36" s="72" t="s">
        <v>171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172</v>
      </c>
      <c r="G37" s="18" t="s">
        <v>173</v>
      </c>
      <c r="H37" s="72"/>
    </row>
    <row r="38" spans="1:8" ht="36" customHeight="1" x14ac:dyDescent="0.25">
      <c r="A38" s="11">
        <v>1</v>
      </c>
      <c r="B38" s="18" t="s">
        <v>275</v>
      </c>
      <c r="C38" s="18" t="s">
        <v>286</v>
      </c>
      <c r="D38" s="18">
        <v>4.5</v>
      </c>
      <c r="E38" s="18">
        <v>3</v>
      </c>
      <c r="F38" s="18" t="s">
        <v>317</v>
      </c>
      <c r="G38" s="12">
        <f t="shared" ref="G38:G41" si="1">D38*E38</f>
        <v>13.5</v>
      </c>
      <c r="H38" s="18"/>
    </row>
    <row r="39" spans="1:8" ht="36" customHeight="1" x14ac:dyDescent="0.25">
      <c r="A39" s="11">
        <v>2</v>
      </c>
      <c r="B39" s="18" t="s">
        <v>284</v>
      </c>
      <c r="C39" s="18" t="s">
        <v>287</v>
      </c>
      <c r="D39" s="18">
        <v>3.5</v>
      </c>
      <c r="E39" s="18">
        <v>3</v>
      </c>
      <c r="F39" s="18"/>
      <c r="G39" s="12">
        <f t="shared" si="1"/>
        <v>10.5</v>
      </c>
      <c r="H39" s="18"/>
    </row>
    <row r="40" spans="1:8" ht="36" customHeight="1" x14ac:dyDescent="0.25">
      <c r="A40" s="11">
        <v>3</v>
      </c>
      <c r="B40" s="18" t="s">
        <v>285</v>
      </c>
      <c r="C40" s="18" t="s">
        <v>288</v>
      </c>
      <c r="D40" s="18">
        <v>2.8</v>
      </c>
      <c r="E40" s="18">
        <v>3.5</v>
      </c>
      <c r="F40" s="89" t="s">
        <v>318</v>
      </c>
      <c r="G40" s="12">
        <f t="shared" si="1"/>
        <v>9.7999999999999989</v>
      </c>
      <c r="H40" s="18"/>
    </row>
    <row r="41" spans="1:8" ht="36" customHeight="1" x14ac:dyDescent="0.25">
      <c r="A41" s="11">
        <v>4</v>
      </c>
      <c r="B41" s="18" t="s">
        <v>285</v>
      </c>
      <c r="C41" s="18" t="s">
        <v>288</v>
      </c>
      <c r="D41" s="18">
        <v>3.5</v>
      </c>
      <c r="E41" s="18">
        <v>4</v>
      </c>
      <c r="F41" s="18"/>
      <c r="G41" s="12">
        <f t="shared" si="1"/>
        <v>14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174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175</v>
      </c>
      <c r="C60" s="78"/>
      <c r="D60" s="78"/>
      <c r="E60" s="78"/>
      <c r="F60" s="78"/>
      <c r="G60" s="78"/>
      <c r="H60" s="11" t="s">
        <v>289</v>
      </c>
    </row>
    <row r="61" spans="1:8" ht="38.25" customHeight="1" x14ac:dyDescent="0.25">
      <c r="A61" s="11">
        <v>2</v>
      </c>
      <c r="B61" s="78" t="s">
        <v>176</v>
      </c>
      <c r="C61" s="78"/>
      <c r="D61" s="78"/>
      <c r="E61" s="78"/>
      <c r="F61" s="78"/>
      <c r="G61" s="78"/>
      <c r="H61" s="11" t="s">
        <v>290</v>
      </c>
    </row>
    <row r="62" spans="1:8" ht="25.5" customHeight="1" x14ac:dyDescent="0.25">
      <c r="A62" s="11">
        <v>3</v>
      </c>
      <c r="B62" s="78" t="s">
        <v>177</v>
      </c>
      <c r="C62" s="78"/>
      <c r="D62" s="78"/>
      <c r="E62" s="78"/>
      <c r="F62" s="78"/>
      <c r="G62" s="78"/>
      <c r="H62" s="11" t="s">
        <v>291</v>
      </c>
    </row>
    <row r="63" spans="1:8" ht="25.5" customHeight="1" x14ac:dyDescent="0.25">
      <c r="A63" s="11">
        <v>4</v>
      </c>
      <c r="B63" s="79" t="s">
        <v>181</v>
      </c>
      <c r="C63" s="80"/>
      <c r="D63" s="80"/>
      <c r="E63" s="80"/>
      <c r="F63" s="80"/>
      <c r="G63" s="81"/>
      <c r="H63" s="11" t="s">
        <v>292</v>
      </c>
    </row>
    <row r="64" spans="1:8" ht="24.75" customHeight="1" x14ac:dyDescent="0.25">
      <c r="A64" s="11">
        <v>5</v>
      </c>
      <c r="B64" s="78" t="s">
        <v>182</v>
      </c>
      <c r="C64" s="78"/>
      <c r="D64" s="78"/>
      <c r="E64" s="78"/>
      <c r="F64" s="78"/>
      <c r="G64" s="78"/>
      <c r="H64" s="11" t="s">
        <v>293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238</v>
      </c>
      <c r="G66" s="29"/>
    </row>
    <row r="67" spans="1:8" ht="29.45" customHeight="1" x14ac:dyDescent="0.25">
      <c r="A67" s="72" t="s">
        <v>165</v>
      </c>
      <c r="B67" s="72" t="s">
        <v>166</v>
      </c>
      <c r="C67" s="72" t="s">
        <v>167</v>
      </c>
      <c r="D67" s="74" t="s">
        <v>168</v>
      </c>
      <c r="E67" s="72" t="s">
        <v>169</v>
      </c>
      <c r="F67" s="72" t="s">
        <v>170</v>
      </c>
      <c r="G67" s="72"/>
      <c r="H67" s="72" t="s">
        <v>171</v>
      </c>
    </row>
    <row r="68" spans="1:8" ht="63" x14ac:dyDescent="0.25">
      <c r="A68" s="72"/>
      <c r="B68" s="72"/>
      <c r="C68" s="72"/>
      <c r="D68" s="75"/>
      <c r="E68" s="72"/>
      <c r="F68" s="18" t="s">
        <v>172</v>
      </c>
      <c r="G68" s="18" t="s">
        <v>173</v>
      </c>
      <c r="H68" s="72"/>
    </row>
    <row r="69" spans="1:8" s="28" customFormat="1" ht="41.25" customHeight="1" x14ac:dyDescent="0.25">
      <c r="A69" s="11">
        <v>1</v>
      </c>
      <c r="B69" s="40" t="s">
        <v>276</v>
      </c>
      <c r="C69" s="11" t="s">
        <v>282</v>
      </c>
      <c r="D69" s="11">
        <v>3.5</v>
      </c>
      <c r="E69" s="11">
        <v>3</v>
      </c>
      <c r="F69" s="11" t="s">
        <v>313</v>
      </c>
      <c r="G69" s="12">
        <f t="shared" ref="G69:G71" si="2">D69*E69</f>
        <v>10.5</v>
      </c>
      <c r="H69" s="11"/>
    </row>
    <row r="70" spans="1:8" s="28" customFormat="1" ht="41.25" customHeight="1" x14ac:dyDescent="0.25">
      <c r="A70" s="11">
        <v>2</v>
      </c>
      <c r="B70" s="40" t="s">
        <v>276</v>
      </c>
      <c r="C70" s="11" t="s">
        <v>282</v>
      </c>
      <c r="D70" s="11">
        <v>6.8</v>
      </c>
      <c r="E70" s="11">
        <v>4</v>
      </c>
      <c r="F70" s="11"/>
      <c r="G70" s="12">
        <f t="shared" si="2"/>
        <v>27.2</v>
      </c>
      <c r="H70" s="11"/>
    </row>
    <row r="71" spans="1:8" s="28" customFormat="1" ht="41.25" customHeight="1" x14ac:dyDescent="0.25">
      <c r="A71" s="11">
        <v>3</v>
      </c>
      <c r="B71" s="40" t="s">
        <v>276</v>
      </c>
      <c r="C71" s="11" t="s">
        <v>282</v>
      </c>
      <c r="D71" s="11">
        <v>8.5</v>
      </c>
      <c r="E71" s="11">
        <v>6</v>
      </c>
      <c r="F71" s="11"/>
      <c r="G71" s="12">
        <f t="shared" si="2"/>
        <v>51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239</v>
      </c>
      <c r="G93" s="73"/>
      <c r="H93" s="73"/>
    </row>
    <row r="94" spans="1:8" ht="24" customHeight="1" x14ac:dyDescent="0.25">
      <c r="A94" s="74" t="s">
        <v>165</v>
      </c>
      <c r="B94" s="74" t="s">
        <v>166</v>
      </c>
      <c r="C94" s="74" t="s">
        <v>167</v>
      </c>
      <c r="D94" s="74" t="s">
        <v>168</v>
      </c>
      <c r="E94" s="74" t="s">
        <v>169</v>
      </c>
      <c r="F94" s="76" t="s">
        <v>170</v>
      </c>
      <c r="G94" s="77"/>
      <c r="H94" s="74" t="s">
        <v>171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172</v>
      </c>
      <c r="G95" s="18" t="s">
        <v>173</v>
      </c>
      <c r="H95" s="75"/>
    </row>
    <row r="96" spans="1:8" s="28" customFormat="1" ht="39" customHeight="1" x14ac:dyDescent="0.25">
      <c r="A96" s="41">
        <v>1</v>
      </c>
      <c r="B96" s="40" t="s">
        <v>277</v>
      </c>
      <c r="C96" s="11" t="s">
        <v>300</v>
      </c>
      <c r="D96" s="41">
        <v>8.5</v>
      </c>
      <c r="E96" s="42">
        <v>4</v>
      </c>
      <c r="F96" s="23" t="s">
        <v>319</v>
      </c>
      <c r="G96" s="12">
        <f t="shared" ref="G96:G99" si="3">D96*E96</f>
        <v>34</v>
      </c>
      <c r="H96" s="23"/>
    </row>
    <row r="97" spans="1:8" s="28" customFormat="1" ht="39" customHeight="1" x14ac:dyDescent="0.25">
      <c r="A97" s="41">
        <v>2</v>
      </c>
      <c r="B97" s="40" t="s">
        <v>285</v>
      </c>
      <c r="C97" s="11" t="s">
        <v>288</v>
      </c>
      <c r="D97" s="41">
        <v>6.5</v>
      </c>
      <c r="E97" s="42">
        <v>4</v>
      </c>
      <c r="F97" s="23"/>
      <c r="G97" s="12">
        <f t="shared" si="3"/>
        <v>26</v>
      </c>
      <c r="H97" s="23"/>
    </row>
    <row r="98" spans="1:8" s="28" customFormat="1" ht="39" customHeight="1" x14ac:dyDescent="0.25">
      <c r="A98" s="41">
        <v>3</v>
      </c>
      <c r="B98" s="40" t="s">
        <v>285</v>
      </c>
      <c r="C98" s="11" t="s">
        <v>288</v>
      </c>
      <c r="D98" s="41">
        <v>4.5</v>
      </c>
      <c r="E98" s="42">
        <v>3</v>
      </c>
      <c r="F98" s="89" t="s">
        <v>318</v>
      </c>
      <c r="G98" s="12">
        <f t="shared" si="3"/>
        <v>13.5</v>
      </c>
      <c r="H98" s="23"/>
    </row>
    <row r="99" spans="1:8" s="28" customFormat="1" ht="39" customHeight="1" x14ac:dyDescent="0.25">
      <c r="A99" s="41">
        <v>4</v>
      </c>
      <c r="B99" s="40" t="s">
        <v>285</v>
      </c>
      <c r="C99" s="11" t="s">
        <v>288</v>
      </c>
      <c r="D99" s="41">
        <v>3.5</v>
      </c>
      <c r="E99" s="42">
        <v>3</v>
      </c>
      <c r="F99" s="23"/>
      <c r="G99" s="12">
        <f t="shared" si="3"/>
        <v>10.5</v>
      </c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37" zoomScale="85" zoomScaleNormal="85" zoomScaleSheetLayoutView="85" workbookViewId="0">
      <selection activeCell="E45" sqref="E45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183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164</v>
      </c>
      <c r="F2" s="83"/>
      <c r="G2" s="83"/>
    </row>
    <row r="3" spans="1:7" ht="45.6" customHeight="1" x14ac:dyDescent="0.25">
      <c r="A3" s="72" t="s">
        <v>165</v>
      </c>
      <c r="B3" s="72" t="s">
        <v>166</v>
      </c>
      <c r="C3" s="59" t="s">
        <v>167</v>
      </c>
      <c r="D3" s="72" t="s">
        <v>184</v>
      </c>
      <c r="E3" s="72" t="s">
        <v>170</v>
      </c>
      <c r="F3" s="72"/>
      <c r="G3" s="72" t="s">
        <v>185</v>
      </c>
    </row>
    <row r="4" spans="1:7" ht="45.6" customHeight="1" x14ac:dyDescent="0.25">
      <c r="A4" s="72"/>
      <c r="B4" s="72"/>
      <c r="C4" s="59"/>
      <c r="D4" s="72"/>
      <c r="E4" s="18" t="s">
        <v>186</v>
      </c>
      <c r="F4" s="18" t="s">
        <v>187</v>
      </c>
      <c r="G4" s="72"/>
    </row>
    <row r="5" spans="1:7" ht="45.6" customHeight="1" x14ac:dyDescent="0.25">
      <c r="A5" s="72"/>
      <c r="B5" s="72"/>
      <c r="C5" s="59"/>
      <c r="D5" s="72"/>
      <c r="E5" s="18" t="s">
        <v>188</v>
      </c>
      <c r="F5" s="18" t="s">
        <v>220</v>
      </c>
      <c r="G5" s="72"/>
    </row>
    <row r="6" spans="1:7" ht="45.6" customHeight="1" x14ac:dyDescent="0.25">
      <c r="A6" s="11">
        <v>1</v>
      </c>
      <c r="B6" s="18" t="s">
        <v>273</v>
      </c>
      <c r="C6" s="45" t="s">
        <v>280</v>
      </c>
      <c r="D6" s="18">
        <v>20</v>
      </c>
      <c r="E6" s="18" t="s">
        <v>313</v>
      </c>
      <c r="F6" s="18">
        <f>0.05*(D6)*(D6)</f>
        <v>20</v>
      </c>
      <c r="G6" s="18"/>
    </row>
    <row r="7" spans="1:7" ht="45.6" customHeight="1" x14ac:dyDescent="0.25">
      <c r="A7" s="11">
        <v>2</v>
      </c>
      <c r="B7" s="18" t="s">
        <v>279</v>
      </c>
      <c r="C7" s="45" t="s">
        <v>281</v>
      </c>
      <c r="D7" s="18">
        <v>15</v>
      </c>
      <c r="E7" s="18" t="s">
        <v>314</v>
      </c>
      <c r="F7" s="18">
        <f t="shared" ref="F7:F11" si="0">0.05*(D7)*(D7)</f>
        <v>11.25</v>
      </c>
      <c r="G7" s="18"/>
    </row>
    <row r="8" spans="1:7" ht="45.6" customHeight="1" x14ac:dyDescent="0.25">
      <c r="A8" s="11">
        <v>3</v>
      </c>
      <c r="B8" s="18" t="s">
        <v>279</v>
      </c>
      <c r="C8" s="45" t="s">
        <v>281</v>
      </c>
      <c r="D8" s="18">
        <v>30</v>
      </c>
      <c r="E8" s="18"/>
      <c r="F8" s="18">
        <f t="shared" si="0"/>
        <v>45</v>
      </c>
      <c r="G8" s="18"/>
    </row>
    <row r="9" spans="1:7" ht="45.6" customHeight="1" x14ac:dyDescent="0.25">
      <c r="A9" s="11">
        <v>4</v>
      </c>
      <c r="B9" s="18" t="s">
        <v>279</v>
      </c>
      <c r="C9" s="45" t="s">
        <v>281</v>
      </c>
      <c r="D9" s="18">
        <v>59</v>
      </c>
      <c r="E9" s="18"/>
      <c r="F9" s="18">
        <f t="shared" si="0"/>
        <v>174.05</v>
      </c>
      <c r="G9" s="18"/>
    </row>
    <row r="10" spans="1:7" ht="45.6" customHeight="1" x14ac:dyDescent="0.25">
      <c r="A10" s="11">
        <v>5</v>
      </c>
      <c r="B10" s="18" t="s">
        <v>279</v>
      </c>
      <c r="C10" s="45" t="s">
        <v>281</v>
      </c>
      <c r="D10" s="18">
        <v>43</v>
      </c>
      <c r="E10" s="18"/>
      <c r="F10" s="18">
        <f>0.05*(D10)*(D10)</f>
        <v>92.45</v>
      </c>
      <c r="G10" s="18"/>
    </row>
    <row r="11" spans="1:7" ht="45.6" customHeight="1" x14ac:dyDescent="0.25">
      <c r="A11" s="11">
        <v>6</v>
      </c>
      <c r="B11" s="18" t="s">
        <v>279</v>
      </c>
      <c r="C11" s="45" t="s">
        <v>281</v>
      </c>
      <c r="D11" s="18">
        <v>51</v>
      </c>
      <c r="E11" s="18"/>
      <c r="F11" s="18">
        <f t="shared" si="0"/>
        <v>130.05000000000001</v>
      </c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174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190</v>
      </c>
      <c r="C35" s="47"/>
      <c r="E35" s="82" t="s">
        <v>191</v>
      </c>
      <c r="F35" s="82"/>
      <c r="G35" s="82"/>
    </row>
    <row r="36" spans="1:7" ht="45.6" customHeight="1" x14ac:dyDescent="0.25">
      <c r="A36" s="72" t="s">
        <v>165</v>
      </c>
      <c r="B36" s="72" t="s">
        <v>166</v>
      </c>
      <c r="C36" s="84" t="s">
        <v>167</v>
      </c>
      <c r="D36" s="72" t="s">
        <v>184</v>
      </c>
      <c r="E36" s="72" t="s">
        <v>170</v>
      </c>
      <c r="F36" s="72"/>
      <c r="G36" s="72" t="s">
        <v>185</v>
      </c>
    </row>
    <row r="37" spans="1:7" ht="45.6" customHeight="1" x14ac:dyDescent="0.25">
      <c r="A37" s="72"/>
      <c r="B37" s="72"/>
      <c r="C37" s="85"/>
      <c r="D37" s="72"/>
      <c r="E37" s="18" t="s">
        <v>186</v>
      </c>
      <c r="F37" s="18" t="s">
        <v>187</v>
      </c>
      <c r="G37" s="72"/>
    </row>
    <row r="38" spans="1:7" ht="45.6" customHeight="1" x14ac:dyDescent="0.25">
      <c r="A38" s="72"/>
      <c r="B38" s="72"/>
      <c r="C38" s="86"/>
      <c r="D38" s="72"/>
      <c r="E38" s="18" t="s">
        <v>188</v>
      </c>
      <c r="F38" s="18" t="s">
        <v>189</v>
      </c>
      <c r="G38" s="72"/>
    </row>
    <row r="39" spans="1:7" s="28" customFormat="1" ht="45.6" customHeight="1" x14ac:dyDescent="0.25">
      <c r="A39" s="41">
        <v>1</v>
      </c>
      <c r="B39" s="23" t="s">
        <v>276</v>
      </c>
      <c r="C39" s="48" t="s">
        <v>282</v>
      </c>
      <c r="D39" s="41">
        <v>40</v>
      </c>
      <c r="E39" s="23" t="s">
        <v>313</v>
      </c>
      <c r="F39" s="18">
        <f t="shared" ref="F39:F44" si="1">0.05*(D39)*(D39)</f>
        <v>80</v>
      </c>
      <c r="G39" s="23"/>
    </row>
    <row r="40" spans="1:7" s="28" customFormat="1" ht="45.6" customHeight="1" x14ac:dyDescent="0.25">
      <c r="A40" s="41">
        <v>2</v>
      </c>
      <c r="B40" s="23" t="s">
        <v>276</v>
      </c>
      <c r="C40" s="48" t="s">
        <v>282</v>
      </c>
      <c r="D40" s="41">
        <v>25</v>
      </c>
      <c r="E40" s="23"/>
      <c r="F40" s="18">
        <f t="shared" si="1"/>
        <v>31.25</v>
      </c>
      <c r="G40" s="23"/>
    </row>
    <row r="41" spans="1:7" s="28" customFormat="1" ht="45.6" customHeight="1" x14ac:dyDescent="0.25">
      <c r="A41" s="41">
        <v>3</v>
      </c>
      <c r="B41" s="23" t="s">
        <v>276</v>
      </c>
      <c r="C41" s="48" t="s">
        <v>282</v>
      </c>
      <c r="D41" s="41">
        <v>30</v>
      </c>
      <c r="E41" s="23"/>
      <c r="F41" s="18">
        <f t="shared" si="1"/>
        <v>45</v>
      </c>
      <c r="G41" s="23"/>
    </row>
    <row r="42" spans="1:7" s="28" customFormat="1" ht="45.6" customHeight="1" x14ac:dyDescent="0.25">
      <c r="A42" s="41">
        <v>4</v>
      </c>
      <c r="B42" s="23" t="s">
        <v>276</v>
      </c>
      <c r="C42" s="48" t="s">
        <v>282</v>
      </c>
      <c r="D42" s="41">
        <v>42</v>
      </c>
      <c r="E42" s="23"/>
      <c r="F42" s="18">
        <f t="shared" si="1"/>
        <v>88.2</v>
      </c>
      <c r="G42" s="23"/>
    </row>
    <row r="43" spans="1:7" s="28" customFormat="1" ht="45.6" customHeight="1" x14ac:dyDescent="0.25">
      <c r="A43" s="41">
        <v>5</v>
      </c>
      <c r="B43" s="23" t="s">
        <v>276</v>
      </c>
      <c r="C43" s="48" t="s">
        <v>282</v>
      </c>
      <c r="D43" s="41">
        <v>50</v>
      </c>
      <c r="E43" s="23"/>
      <c r="F43" s="18">
        <f t="shared" si="1"/>
        <v>125</v>
      </c>
      <c r="G43" s="23"/>
    </row>
    <row r="44" spans="1:7" s="28" customFormat="1" ht="45.6" customHeight="1" x14ac:dyDescent="0.25">
      <c r="A44" s="41">
        <v>6</v>
      </c>
      <c r="B44" s="23" t="s">
        <v>274</v>
      </c>
      <c r="C44" s="48" t="s">
        <v>283</v>
      </c>
      <c r="D44" s="41">
        <v>22</v>
      </c>
      <c r="E44" s="89" t="s">
        <v>315</v>
      </c>
      <c r="F44" s="18">
        <f t="shared" si="1"/>
        <v>24.200000000000003</v>
      </c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2" t="s">
        <v>174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G18" sqref="G18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192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193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108</v>
      </c>
      <c r="B5" s="4" t="s">
        <v>194</v>
      </c>
      <c r="C5" s="4" t="s">
        <v>195</v>
      </c>
      <c r="D5" s="4" t="s">
        <v>196</v>
      </c>
      <c r="E5" s="2" t="s">
        <v>197</v>
      </c>
      <c r="F5" s="2" t="s">
        <v>198</v>
      </c>
      <c r="G5" s="4" t="s">
        <v>199</v>
      </c>
      <c r="I5" s="88" t="s">
        <v>200</v>
      </c>
      <c r="J5" s="88"/>
      <c r="K5" s="88"/>
    </row>
    <row r="6" spans="1:11" ht="24.75" customHeight="1" x14ac:dyDescent="0.25">
      <c r="A6" s="2" t="s">
        <v>57</v>
      </c>
      <c r="B6" s="2" t="s">
        <v>58</v>
      </c>
      <c r="C6" s="2" t="s">
        <v>59</v>
      </c>
      <c r="D6" s="2" t="s">
        <v>60</v>
      </c>
      <c r="E6" s="2" t="s">
        <v>201</v>
      </c>
      <c r="F6" s="2" t="s">
        <v>202</v>
      </c>
      <c r="G6" s="2" t="s">
        <v>203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204</v>
      </c>
      <c r="J7" s="88"/>
      <c r="K7" s="88"/>
    </row>
    <row r="9" spans="1:11" ht="36.75" customHeight="1" x14ac:dyDescent="0.25">
      <c r="A9" s="55" t="s">
        <v>205</v>
      </c>
      <c r="B9" s="54" t="s">
        <v>206</v>
      </c>
      <c r="C9" s="54"/>
      <c r="D9" s="54"/>
      <c r="E9" s="54"/>
      <c r="F9" s="54" t="s">
        <v>207</v>
      </c>
      <c r="G9" s="54"/>
      <c r="H9" s="54"/>
    </row>
    <row r="10" spans="1:11" s="44" customFormat="1" ht="75" customHeight="1" x14ac:dyDescent="0.25">
      <c r="A10" s="55"/>
      <c r="B10" s="4" t="s">
        <v>166</v>
      </c>
      <c r="C10" s="4" t="s">
        <v>209</v>
      </c>
      <c r="D10" s="4" t="s">
        <v>230</v>
      </c>
      <c r="E10" s="4" t="s">
        <v>210</v>
      </c>
      <c r="F10" s="4" t="s">
        <v>208</v>
      </c>
      <c r="G10" s="4" t="s">
        <v>230</v>
      </c>
      <c r="H10" s="4" t="s">
        <v>243</v>
      </c>
    </row>
    <row r="11" spans="1:11" ht="24.75" customHeight="1" x14ac:dyDescent="0.25">
      <c r="A11" s="24" t="s">
        <v>63</v>
      </c>
      <c r="B11" s="24" t="s">
        <v>211</v>
      </c>
      <c r="C11" s="24" t="s">
        <v>141</v>
      </c>
      <c r="D11" s="24" t="s">
        <v>90</v>
      </c>
      <c r="E11" s="24" t="s">
        <v>212</v>
      </c>
      <c r="F11" s="24" t="s">
        <v>213</v>
      </c>
      <c r="G11" s="24" t="s">
        <v>214</v>
      </c>
      <c r="H11" s="24" t="s">
        <v>215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224</v>
      </c>
      <c r="B1" s="54"/>
      <c r="C1" s="54"/>
      <c r="D1" s="54"/>
      <c r="E1" s="54"/>
    </row>
    <row r="2" spans="1:8" ht="25.5" customHeight="1" x14ac:dyDescent="0.25">
      <c r="A2" s="2" t="s">
        <v>225</v>
      </c>
      <c r="B2" s="2" t="s">
        <v>231</v>
      </c>
      <c r="C2" s="2" t="s">
        <v>232</v>
      </c>
      <c r="D2" s="2" t="s">
        <v>233</v>
      </c>
      <c r="E2" s="2" t="s">
        <v>226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227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234</v>
      </c>
      <c r="B19" s="54"/>
      <c r="C19" s="54"/>
      <c r="D19" s="54"/>
      <c r="E19" s="54"/>
    </row>
    <row r="20" spans="1:5" ht="36" customHeight="1" x14ac:dyDescent="0.25">
      <c r="A20" s="2" t="s">
        <v>225</v>
      </c>
      <c r="B20" s="2" t="s">
        <v>119</v>
      </c>
      <c r="C20" s="2" t="s">
        <v>235</v>
      </c>
      <c r="D20" s="4" t="s">
        <v>236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2024-06-15T15:19:12Z</dcterms:modified>
</cp:coreProperties>
</file>