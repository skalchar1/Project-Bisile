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7" i="11"/>
  <c r="I19" i="11"/>
  <c r="I12" i="11"/>
  <c r="I2" i="11"/>
  <c r="C13" i="8"/>
  <c r="C12" i="8"/>
  <c r="C11" i="8"/>
  <c r="C10" i="8"/>
  <c r="C5" i="6" s="1"/>
  <c r="C9" i="8"/>
</calcChain>
</file>

<file path=xl/sharedStrings.xml><?xml version="1.0" encoding="utf-8"?>
<sst xmlns="http://schemas.openxmlformats.org/spreadsheetml/2006/main" count="322" uniqueCount="203">
  <si>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</si>
  <si>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</si>
  <si>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</si>
  <si>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</si>
  <si>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</si>
  <si>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</si>
  <si>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</si>
  <si>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</si>
  <si>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</si>
  <si>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</si>
  <si>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</si>
  <si>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</si>
  <si>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</si>
  <si>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</si>
  <si>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</si>
  <si>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</si>
  <si>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</si>
  <si>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</si>
  <si>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</si>
  <si>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</si>
  <si>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</si>
  <si>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</si>
  <si>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</si>
  <si>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</si>
  <si>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</si>
  <si>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</si>
  <si>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</si>
  <si>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</si>
  <si>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</si>
  <si>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</si>
  <si>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</si>
  <si>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</si>
  <si>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</si>
  <si>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</si>
  <si>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</si>
  <si>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</si>
  <si>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</si>
  <si>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</si>
  <si>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</si>
  <si>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</si>
  <si>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</si>
  <si>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</si>
  <si>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</si>
  <si>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</si>
  <si>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</si>
  <si>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</si>
  <si>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</si>
  <si>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</si>
  <si>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</si>
  <si>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</si>
  <si>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</si>
  <si>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</si>
  <si>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</si>
  <si>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</si>
  <si>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</si>
  <si>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</si>
  <si>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</si>
  <si>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</si>
  <si>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</si>
  <si>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</si>
  <si>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</si>
  <si>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</si>
  <si>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</si>
  <si>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</si>
  <si>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</si>
  <si>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</si>
  <si>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</si>
  <si>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</si>
  <si>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</si>
  <si>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</si>
  <si>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</si>
  <si>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</si>
  <si>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</si>
  <si>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</si>
  <si>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</si>
  <si>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</si>
  <si>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</si>
  <si>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</si>
  <si>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</si>
  <si>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</si>
  <si>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</si>
  <si>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</si>
  <si>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</si>
  <si>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</si>
  <si>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</si>
  <si>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</si>
  <si>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</si>
  <si>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</si>
  <si>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</si>
  <si>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</si>
  <si>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</si>
  <si>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</si>
  <si>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</si>
  <si>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</si>
  <si>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</si>
  <si>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</si>
  <si>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</si>
  <si>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</si>
  <si>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</si>
  <si>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</si>
  <si>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</si>
  <si>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</si>
  <si>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</si>
  <si>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</si>
  <si>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</si>
  <si>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</si>
  <si>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</si>
  <si>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</si>
  <si>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</si>
  <si>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</si>
  <si>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</si>
  <si>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</si>
  <si>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8. Herbs - Phychotrica dalzellii (Vaatmadike), Leea indica (Nedthi), Strobilanthus sps (Gurige).</t>
  </si>
  <si>
    <t>None</t>
  </si>
  <si>
    <t>11. Climber - Piper tioicum (Kaadu kalu menasu), Strychonos wallichiana (Balli kasaraka), Pothos scandens (Adake beelu), Tinospora malabarica (Madari beelu), Entada Rheedei (Ganapeballi).</t>
  </si>
  <si>
    <t>12. Rattans - Hibiscus aculeatus (Betta)</t>
  </si>
  <si>
    <t>Ignecious Rocks</t>
  </si>
  <si>
    <t>No Erosion</t>
  </si>
  <si>
    <t>Adequate</t>
  </si>
  <si>
    <t>Scanty - Cynodon dactylon (Hambuhullu).</t>
  </si>
  <si>
    <t>Natural forerst</t>
  </si>
  <si>
    <t>Start from Subramany temple to towards Aadi Subramanya road to Subramany Rf for 1.1 km N- 12.673197, E- 75.616164 (By jeep) then walked towards right for 68 mtr to reached centere of the plot.</t>
  </si>
  <si>
    <t>Evergreen denced forest and species like Hopea parviflora (Bogi). Knema attiunata (Bannasampige), Miristica malabarica (Rampatre), Vitexa altissima (Naviladi), Careyota urence (Bagine), Aparos lindliana (Salle).</t>
  </si>
  <si>
    <t>1. Track - Hilly</t>
  </si>
  <si>
    <t>2. Aspect - South West</t>
  </si>
  <si>
    <t>3.Canopy density - Clsoed forest 80% canopy cover</t>
  </si>
  <si>
    <t>4. Soil- Clay soil</t>
  </si>
  <si>
    <t>6. Weeds - Scanty - Malastoma offine</t>
  </si>
  <si>
    <t>7. Bamboo - present Vaatbidiru</t>
  </si>
  <si>
    <t>9. Shrubs - Calycopteris floribunda (Kumsa balli) Memecylon talbotianum (Adchari).</t>
  </si>
  <si>
    <t>10. Underwood species - Knema attiunata (Bannasampige), Ixora brachaiata (Kaansurgi).</t>
  </si>
  <si>
    <t>13. NTFP yielding sps - Miristica malabarica (Rampatre), Cinnamomum zelanicum (Dalchinni)</t>
  </si>
  <si>
    <t>Firewood</t>
  </si>
  <si>
    <t>Subramanya reserve forest</t>
  </si>
  <si>
    <t>Closed forest 80% canopy cover</t>
  </si>
  <si>
    <t>Hilly</t>
  </si>
  <si>
    <t>Upto 16 - 40</t>
  </si>
  <si>
    <t>South west</t>
  </si>
  <si>
    <t>Clay soil, Texture - Smooth, Depth - 30cm, Permiabilty - Good.</t>
  </si>
  <si>
    <t xml:space="preserve">Hopea parviflora (Bogi) - 20%, Knema attiunata (Bannasampige) - 20%, </t>
  </si>
  <si>
    <t>Timber cutting</t>
  </si>
  <si>
    <t>Present vaatebidiru</t>
  </si>
  <si>
    <t>Scanty - Malastoma offine</t>
  </si>
  <si>
    <t>Stream</t>
  </si>
  <si>
    <t>Mildy Degrated</t>
  </si>
  <si>
    <t>Kendala</t>
  </si>
  <si>
    <t>Maddale</t>
  </si>
  <si>
    <t>Bogi</t>
  </si>
  <si>
    <t>Naviladi</t>
  </si>
  <si>
    <t>KaanSurgi</t>
  </si>
  <si>
    <t>Kodlimurka</t>
  </si>
  <si>
    <t>Bannasampige</t>
  </si>
  <si>
    <t>Lopcal name</t>
  </si>
  <si>
    <t>Vaatebidiru</t>
  </si>
  <si>
    <t>Agasalle</t>
  </si>
  <si>
    <t>Kendla</t>
  </si>
  <si>
    <t>Nedthi</t>
  </si>
  <si>
    <t>Dalchinni</t>
  </si>
  <si>
    <t>Karivala</t>
  </si>
  <si>
    <t>655gm</t>
  </si>
  <si>
    <t>1.2 kg</t>
  </si>
  <si>
    <t>3.1 kg</t>
  </si>
  <si>
    <t>310 gm</t>
  </si>
  <si>
    <t>410 gm</t>
  </si>
  <si>
    <t>2.69 kg</t>
  </si>
  <si>
    <t>1.1 kg</t>
  </si>
  <si>
    <t>315 gm</t>
  </si>
  <si>
    <t>Uppalige</t>
  </si>
  <si>
    <t>Ciltes sps</t>
  </si>
  <si>
    <t>Chunga</t>
  </si>
  <si>
    <t>Betta</t>
  </si>
  <si>
    <t>Bagine</t>
  </si>
  <si>
    <t>Vaatmadike</t>
  </si>
  <si>
    <t>Kalmenasu</t>
  </si>
  <si>
    <t>Balige</t>
  </si>
  <si>
    <t>Kaadarisina</t>
  </si>
  <si>
    <t>Climber</t>
  </si>
  <si>
    <t>Salle</t>
  </si>
  <si>
    <t xml:space="preserve"> Dimocarpus longan</t>
  </si>
  <si>
    <t>Diospyros edenum</t>
  </si>
  <si>
    <t>Ixora brachiata</t>
  </si>
  <si>
    <t>Symplocus recemosa</t>
  </si>
  <si>
    <t>Olea dioca</t>
  </si>
  <si>
    <t>Hebiscus aculeatus</t>
  </si>
  <si>
    <t>Macaranga peltata</t>
  </si>
  <si>
    <t>Leea indica</t>
  </si>
  <si>
    <t>Cinnamomum zelanicum</t>
  </si>
  <si>
    <t>Careyota urence</t>
  </si>
  <si>
    <t>Phycotrea dalzelli</t>
  </si>
  <si>
    <t>Piper tiocum</t>
  </si>
  <si>
    <t>Curcuma aromatica</t>
  </si>
  <si>
    <t>Aparosa lindliana</t>
  </si>
  <si>
    <t>Poeciloneuron indicum</t>
  </si>
  <si>
    <t>Hopea parvifolea</t>
  </si>
  <si>
    <t>Vitexa altyissima</t>
  </si>
  <si>
    <t>Knema attiunata</t>
  </si>
  <si>
    <t>Alstonia scholaris</t>
  </si>
  <si>
    <t>Schleichera oleaosa</t>
  </si>
  <si>
    <t>Block /Village: Subramanya</t>
  </si>
  <si>
    <t>Orchlandra travancorica</t>
  </si>
  <si>
    <t>XII-4</t>
  </si>
  <si>
    <t>Subrahmanya RF</t>
  </si>
  <si>
    <t>305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</si>
</sst>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47" bestFit="1" customWidth="1"/>
    <col min="2" max="2" width="15.7265625" style="47" customWidth="1"/>
    <col min="3" max="3" width="51.08984375" style="47" customWidth="1"/>
    <col min="4" max="16384" width="9.1796875" style="47"/>
  </cols>
  <sheetData>
    <row r="1" spans="1:3" x14ac:dyDescent="0.35">
      <c r="A1" s="75" t="s">
        <v>21</v>
      </c>
      <c r="B1" s="75"/>
      <c r="C1" s="75"/>
    </row>
    <row r="2" spans="1:3" x14ac:dyDescent="0.35">
      <c r="A2" s="75" t="s">
        <v>22</v>
      </c>
      <c r="B2" s="75"/>
      <c r="C2" s="75"/>
    </row>
    <row r="3" spans="1:3" x14ac:dyDescent="0.35">
      <c r="A3" s="76" t="s">
        <v>102</v>
      </c>
      <c r="B3" s="76"/>
      <c r="C3" s="58" t="s">
        <v>109</v>
      </c>
    </row>
    <row r="4" spans="1:3" x14ac:dyDescent="0.35">
      <c r="A4" s="50"/>
    </row>
    <row r="5" spans="1:3" x14ac:dyDescent="0.35">
      <c r="A5" s="51" t="s">
        <v>23</v>
      </c>
      <c r="B5" s="53" t="s">
        <v>24</v>
      </c>
      <c r="C5" s="53" t="s">
        <v>25</v>
      </c>
    </row>
    <row r="6" spans="1:3" x14ac:dyDescent="0.35">
      <c r="A6" s="54">
        <v>1</v>
      </c>
      <c r="B6" s="55" t="s">
        <v>26</v>
      </c>
      <c r="C6" s="59" t="s">
        <v>110</v>
      </c>
    </row>
    <row r="7" spans="1:3" ht="31" x14ac:dyDescent="0.35">
      <c r="A7" s="54">
        <v>2</v>
      </c>
      <c r="B7" s="55" t="s">
        <v>27</v>
      </c>
      <c r="C7" s="59" t="s">
        <v>201</v>
      </c>
    </row>
    <row r="8" spans="1:3" x14ac:dyDescent="0.35">
      <c r="A8" s="54">
        <v>3</v>
      </c>
      <c r="B8" s="55" t="s">
        <v>28</v>
      </c>
      <c r="C8" s="59" t="s">
        <v>200</v>
      </c>
    </row>
    <row r="9" spans="1:3" x14ac:dyDescent="0.35">
      <c r="A9" s="54">
        <v>4</v>
      </c>
      <c r="B9" s="55" t="s">
        <v>29</v>
      </c>
      <c r="C9" s="45">
        <v>1689</v>
      </c>
    </row>
    <row r="10" spans="1:3" ht="20.25" customHeight="1" x14ac:dyDescent="0.35">
      <c r="A10" s="54">
        <v>5</v>
      </c>
      <c r="B10" s="55" t="s">
        <v>30</v>
      </c>
      <c r="C10" s="60">
        <v>12.673251</v>
      </c>
    </row>
    <row r="11" spans="1:3" ht="23.25" customHeight="1" x14ac:dyDescent="0.35">
      <c r="A11" s="54">
        <v>6</v>
      </c>
      <c r="B11" s="55" t="s">
        <v>31</v>
      </c>
      <c r="C11" s="60">
        <v>75.616528000000002</v>
      </c>
    </row>
    <row r="12" spans="1:3" ht="83.25" customHeight="1" x14ac:dyDescent="0.35">
      <c r="A12" s="54">
        <v>7</v>
      </c>
      <c r="B12" s="55" t="s">
        <v>32</v>
      </c>
      <c r="C12" s="45" t="s">
        <v>121</v>
      </c>
    </row>
    <row r="13" spans="1:3" ht="79.5" customHeight="1" x14ac:dyDescent="0.35">
      <c r="A13" s="54">
        <v>8</v>
      </c>
      <c r="B13" s="55" t="s">
        <v>33</v>
      </c>
      <c r="C13" s="61" t="s">
        <v>122</v>
      </c>
    </row>
    <row r="14" spans="1:3" ht="15.75" customHeight="1" x14ac:dyDescent="0.35">
      <c r="A14" s="64">
        <v>9</v>
      </c>
      <c r="B14" s="146" t="s">
        <v>34</v>
      </c>
      <c r="C14" s="61" t="s">
        <v>123</v>
      </c>
    </row>
    <row r="15" spans="1:3" x14ac:dyDescent="0.35">
      <c r="A15" s="65"/>
      <c r="B15" s="147"/>
      <c r="C15" s="61" t="s">
        <v>124</v>
      </c>
    </row>
    <row r="16" spans="1:3" x14ac:dyDescent="0.35">
      <c r="A16" s="65"/>
      <c r="B16" s="147"/>
      <c r="C16" s="61" t="s">
        <v>125</v>
      </c>
    </row>
    <row r="17" spans="1:3" x14ac:dyDescent="0.35">
      <c r="A17" s="65"/>
      <c r="B17" s="147"/>
      <c r="C17" s="61" t="s">
        <v>126</v>
      </c>
    </row>
    <row r="18" spans="1:3" x14ac:dyDescent="0.35">
      <c r="A18" s="65"/>
      <c r="B18" s="147"/>
      <c r="C18" s="66" t="s">
        <v>111</v>
      </c>
    </row>
    <row r="19" spans="1:3" x14ac:dyDescent="0.35">
      <c r="A19" s="65"/>
      <c r="B19" s="147"/>
      <c r="C19" s="61" t="s">
        <v>127</v>
      </c>
    </row>
    <row r="20" spans="1:3" x14ac:dyDescent="0.35">
      <c r="A20" s="65"/>
      <c r="B20" s="147"/>
      <c r="C20" s="61" t="s">
        <v>128</v>
      </c>
    </row>
    <row r="21" spans="1:3" ht="31" x14ac:dyDescent="0.35">
      <c r="A21" s="65"/>
      <c r="B21" s="147"/>
      <c r="C21" s="61" t="s">
        <v>112</v>
      </c>
    </row>
    <row r="22" spans="1:3" ht="31" x14ac:dyDescent="0.35">
      <c r="A22" s="65"/>
      <c r="B22" s="147"/>
      <c r="C22" s="61" t="s">
        <v>129</v>
      </c>
    </row>
    <row r="23" spans="1:3" ht="31" x14ac:dyDescent="0.35">
      <c r="A23" s="65"/>
      <c r="B23" s="147"/>
      <c r="C23" s="61" t="s">
        <v>130</v>
      </c>
    </row>
    <row r="24" spans="1:3" ht="65.25" customHeight="1" x14ac:dyDescent="0.35">
      <c r="A24" s="65"/>
      <c r="B24" s="147"/>
      <c r="C24" s="61" t="s">
        <v>114</v>
      </c>
    </row>
    <row r="25" spans="1:3" x14ac:dyDescent="0.35">
      <c r="A25" s="65"/>
      <c r="B25" s="147"/>
      <c r="C25" s="61" t="s">
        <v>115</v>
      </c>
    </row>
    <row r="26" spans="1:3" ht="31" x14ac:dyDescent="0.35">
      <c r="A26" s="65"/>
      <c r="B26" s="148"/>
      <c r="C26" s="61" t="s">
        <v>131</v>
      </c>
    </row>
    <row r="27" spans="1:3" ht="31" x14ac:dyDescent="0.35">
      <c r="A27" s="54">
        <v>10</v>
      </c>
      <c r="B27" s="55" t="s">
        <v>35</v>
      </c>
      <c r="C27" s="55" t="s">
        <v>113</v>
      </c>
    </row>
    <row r="28" spans="1:3" ht="46.5" x14ac:dyDescent="0.35">
      <c r="A28" s="54">
        <v>11</v>
      </c>
      <c r="B28" s="55" t="s">
        <v>36</v>
      </c>
      <c r="C28" s="55" t="s">
        <v>132</v>
      </c>
    </row>
    <row r="29" spans="1:3" ht="61.5" customHeight="1" x14ac:dyDescent="0.35">
      <c r="A29" s="50"/>
    </row>
    <row r="30" spans="1:3" ht="15.75" customHeight="1" x14ac:dyDescent="0.35">
      <c r="A30" s="50"/>
    </row>
    <row r="31" spans="1:3" x14ac:dyDescent="0.35">
      <c r="A31" s="50"/>
    </row>
    <row r="32" spans="1:3" x14ac:dyDescent="0.35">
      <c r="A32" s="62"/>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2"/>
    </row>
    <row r="66" spans="1:1" x14ac:dyDescent="0.35">
      <c r="A66" s="63"/>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1" sqref="C11"/>
    </sheetView>
  </sheetViews>
  <sheetFormatPr defaultColWidth="9.1796875" defaultRowHeight="15.5" x14ac:dyDescent="0.35"/>
  <cols>
    <col min="1" max="1" width="4.7265625" style="47" bestFit="1" customWidth="1"/>
    <col min="2" max="2" width="16.453125" style="47" customWidth="1"/>
    <col min="3" max="3" width="48.08984375" style="47" customWidth="1"/>
    <col min="4" max="16384" width="9.1796875" style="47"/>
  </cols>
  <sheetData>
    <row r="1" spans="1:3" x14ac:dyDescent="0.35">
      <c r="A1" s="75" t="s">
        <v>37</v>
      </c>
      <c r="B1" s="75"/>
      <c r="C1" s="75"/>
    </row>
    <row r="2" spans="1:3" x14ac:dyDescent="0.35">
      <c r="A2" s="75" t="s">
        <v>38</v>
      </c>
      <c r="B2" s="75"/>
      <c r="C2" s="75"/>
    </row>
    <row r="3" spans="1:3" x14ac:dyDescent="0.35">
      <c r="A3" s="48"/>
    </row>
    <row r="4" spans="1:3" ht="70.900000000000006" customHeight="1" x14ac:dyDescent="0.35">
      <c r="A4" s="77" t="s">
        <v>39</v>
      </c>
      <c r="B4" s="77"/>
      <c r="C4" s="77"/>
    </row>
    <row r="5" spans="1:3" x14ac:dyDescent="0.35">
      <c r="A5" s="76" t="s">
        <v>102</v>
      </c>
      <c r="B5" s="76"/>
      <c r="C5" s="49" t="str">
        <f>'Form 1'!C3</f>
        <v>Mangalore</v>
      </c>
    </row>
    <row r="6" spans="1:3" x14ac:dyDescent="0.35">
      <c r="A6" s="50"/>
    </row>
    <row r="7" spans="1:3" ht="31" x14ac:dyDescent="0.35">
      <c r="A7" s="51" t="s">
        <v>23</v>
      </c>
      <c r="B7" s="52" t="s">
        <v>25</v>
      </c>
      <c r="C7" s="53" t="s">
        <v>40</v>
      </c>
    </row>
    <row r="8" spans="1:3" x14ac:dyDescent="0.35">
      <c r="A8" s="54">
        <v>1</v>
      </c>
      <c r="B8" s="55" t="s">
        <v>26</v>
      </c>
      <c r="C8" s="4" t="s">
        <v>110</v>
      </c>
    </row>
    <row r="9" spans="1:3" ht="31" x14ac:dyDescent="0.35">
      <c r="A9" s="54">
        <v>2</v>
      </c>
      <c r="B9" s="55" t="s">
        <v>41</v>
      </c>
      <c r="C9" s="56" t="str">
        <f>'Form 1'!C7</f>
        <v>Subrahmanya RF</v>
      </c>
    </row>
    <row r="10" spans="1:3" x14ac:dyDescent="0.35">
      <c r="A10" s="54">
        <v>3</v>
      </c>
      <c r="B10" s="55" t="s">
        <v>28</v>
      </c>
      <c r="C10" s="56" t="str">
        <f>'Form 1'!C8</f>
        <v>XII-4</v>
      </c>
    </row>
    <row r="11" spans="1:3" x14ac:dyDescent="0.35">
      <c r="A11" s="54">
        <v>4</v>
      </c>
      <c r="B11" s="55" t="s">
        <v>29</v>
      </c>
      <c r="C11" s="56">
        <f>'Form 1'!C9</f>
        <v>1689</v>
      </c>
    </row>
    <row r="12" spans="1:3" x14ac:dyDescent="0.35">
      <c r="A12" s="54">
        <v>5</v>
      </c>
      <c r="B12" s="55" t="s">
        <v>42</v>
      </c>
      <c r="C12" s="56">
        <f>'Form 1'!C10</f>
        <v>12.673251</v>
      </c>
    </row>
    <row r="13" spans="1:3" x14ac:dyDescent="0.35">
      <c r="A13" s="54">
        <v>6</v>
      </c>
      <c r="B13" s="55" t="s">
        <v>43</v>
      </c>
      <c r="C13" s="56">
        <f>'Form 1'!C11</f>
        <v>75.616528000000002</v>
      </c>
    </row>
    <row r="14" spans="1:3" x14ac:dyDescent="0.35">
      <c r="A14" s="54">
        <v>7</v>
      </c>
      <c r="B14" s="55" t="s">
        <v>44</v>
      </c>
      <c r="C14" s="56" t="s">
        <v>202</v>
      </c>
    </row>
    <row r="15" spans="1:3" x14ac:dyDescent="0.35">
      <c r="A15" s="54">
        <v>8</v>
      </c>
      <c r="B15" s="55" t="s">
        <v>45</v>
      </c>
      <c r="C15" s="56" t="s">
        <v>133</v>
      </c>
    </row>
    <row r="16" spans="1:3" x14ac:dyDescent="0.35">
      <c r="A16" s="54">
        <v>9</v>
      </c>
      <c r="B16" s="55" t="s">
        <v>46</v>
      </c>
      <c r="C16" s="56" t="s">
        <v>134</v>
      </c>
    </row>
    <row r="17" spans="1:3" ht="31" x14ac:dyDescent="0.35">
      <c r="A17" s="54">
        <v>10</v>
      </c>
      <c r="B17" s="55" t="s">
        <v>47</v>
      </c>
      <c r="C17" s="56" t="s">
        <v>135</v>
      </c>
    </row>
    <row r="18" spans="1:3" x14ac:dyDescent="0.35">
      <c r="A18" s="54">
        <v>11</v>
      </c>
      <c r="B18" s="55" t="s">
        <v>48</v>
      </c>
      <c r="C18" s="57" t="s">
        <v>136</v>
      </c>
    </row>
    <row r="19" spans="1:3" x14ac:dyDescent="0.35">
      <c r="A19" s="54">
        <v>12</v>
      </c>
      <c r="B19" s="55" t="s">
        <v>49</v>
      </c>
      <c r="C19" s="57" t="s">
        <v>137</v>
      </c>
    </row>
    <row r="20" spans="1:3" ht="31" x14ac:dyDescent="0.35">
      <c r="A20" s="54">
        <v>13</v>
      </c>
      <c r="B20" s="55" t="s">
        <v>50</v>
      </c>
      <c r="C20" s="57" t="s">
        <v>116</v>
      </c>
    </row>
    <row r="21" spans="1:3" ht="31" x14ac:dyDescent="0.35">
      <c r="A21" s="54">
        <v>14</v>
      </c>
      <c r="B21" s="55" t="s">
        <v>51</v>
      </c>
      <c r="C21" s="57" t="s">
        <v>138</v>
      </c>
    </row>
    <row r="22" spans="1:3" x14ac:dyDescent="0.35">
      <c r="A22" s="54">
        <v>15</v>
      </c>
      <c r="B22" s="55" t="s">
        <v>52</v>
      </c>
      <c r="C22" s="57" t="s">
        <v>117</v>
      </c>
    </row>
    <row r="23" spans="1:3" ht="31" x14ac:dyDescent="0.35">
      <c r="A23" s="54">
        <v>16</v>
      </c>
      <c r="B23" s="55" t="s">
        <v>53</v>
      </c>
      <c r="C23" s="57" t="s">
        <v>139</v>
      </c>
    </row>
    <row r="24" spans="1:3" ht="31" x14ac:dyDescent="0.35">
      <c r="A24" s="54">
        <v>17</v>
      </c>
      <c r="B24" s="55" t="s">
        <v>54</v>
      </c>
      <c r="C24" s="57" t="s">
        <v>118</v>
      </c>
    </row>
    <row r="25" spans="1:3" ht="31" x14ac:dyDescent="0.35">
      <c r="A25" s="54">
        <v>18</v>
      </c>
      <c r="B25" s="55" t="s">
        <v>55</v>
      </c>
      <c r="C25" s="57" t="s">
        <v>140</v>
      </c>
    </row>
    <row r="26" spans="1:3" ht="31" x14ac:dyDescent="0.35">
      <c r="A26" s="54">
        <v>19</v>
      </c>
      <c r="B26" s="55" t="s">
        <v>56</v>
      </c>
      <c r="C26" s="57" t="s">
        <v>113</v>
      </c>
    </row>
    <row r="27" spans="1:3" ht="31" x14ac:dyDescent="0.35">
      <c r="A27" s="54">
        <v>20</v>
      </c>
      <c r="B27" s="55" t="s">
        <v>57</v>
      </c>
      <c r="C27" s="57" t="s">
        <v>141</v>
      </c>
    </row>
    <row r="28" spans="1:3" ht="31" x14ac:dyDescent="0.35">
      <c r="A28" s="54">
        <v>21</v>
      </c>
      <c r="B28" s="55" t="s">
        <v>58</v>
      </c>
      <c r="C28" s="57" t="s">
        <v>119</v>
      </c>
    </row>
    <row r="29" spans="1:3" ht="31" x14ac:dyDescent="0.35">
      <c r="A29" s="54">
        <v>22</v>
      </c>
      <c r="B29" s="55" t="s">
        <v>59</v>
      </c>
      <c r="C29" s="57" t="s">
        <v>142</v>
      </c>
    </row>
    <row r="30" spans="1:3" x14ac:dyDescent="0.35">
      <c r="A30" s="54">
        <v>23</v>
      </c>
      <c r="B30" s="55" t="s">
        <v>60</v>
      </c>
      <c r="C30" s="57" t="s">
        <v>120</v>
      </c>
    </row>
    <row r="31" spans="1:3" x14ac:dyDescent="0.35">
      <c r="A31" s="54">
        <v>24</v>
      </c>
      <c r="B31" s="55" t="s">
        <v>61</v>
      </c>
      <c r="C31" s="57" t="s">
        <v>143</v>
      </c>
    </row>
    <row r="32" spans="1:3" ht="31" x14ac:dyDescent="0.35">
      <c r="A32" s="54">
        <v>25</v>
      </c>
      <c r="B32" s="55" t="s">
        <v>62</v>
      </c>
      <c r="C32" s="57" t="s">
        <v>144</v>
      </c>
    </row>
    <row r="33" spans="1:3" ht="31" x14ac:dyDescent="0.35">
      <c r="A33" s="54">
        <v>26</v>
      </c>
      <c r="B33" s="55" t="s">
        <v>63</v>
      </c>
      <c r="C33" s="57" t="s">
        <v>113</v>
      </c>
    </row>
    <row r="34" spans="1:3" ht="31" x14ac:dyDescent="0.35">
      <c r="A34" s="54">
        <v>27</v>
      </c>
      <c r="B34" s="55" t="s">
        <v>64</v>
      </c>
      <c r="C34" s="57"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C23" sqref="C23"/>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87" t="str">
        <f>'Form II'!C10</f>
        <v>XII-4</v>
      </c>
      <c r="D5" s="88"/>
      <c r="E5" s="86" t="s">
        <v>198</v>
      </c>
      <c r="F5" s="87"/>
      <c r="G5" s="87"/>
      <c r="H5" s="87"/>
      <c r="I5" s="88"/>
      <c r="J5" s="13" t="s">
        <v>4</v>
      </c>
      <c r="K5" s="98" t="s">
        <v>110</v>
      </c>
      <c r="L5" s="99"/>
    </row>
    <row r="6" spans="1:12" ht="15.65" customHeight="1" x14ac:dyDescent="0.35">
      <c r="A6" s="110" t="s">
        <v>5</v>
      </c>
      <c r="B6" s="111"/>
      <c r="C6" s="91" t="str">
        <f>'Form 1'!C6</f>
        <v>Subramanya</v>
      </c>
      <c r="D6" s="92"/>
      <c r="E6" s="36" t="s">
        <v>101</v>
      </c>
      <c r="F6" s="35"/>
      <c r="G6" s="91" t="str">
        <f>'Form 1'!C3</f>
        <v>Mangalore</v>
      </c>
      <c r="H6" s="91"/>
      <c r="I6" s="92"/>
      <c r="J6" s="14" t="s">
        <v>6</v>
      </c>
      <c r="K6" s="91" t="str">
        <f>'Form II'!C14</f>
        <v>305 m</v>
      </c>
      <c r="L6" s="115"/>
    </row>
    <row r="7" spans="1:12" ht="15.65" customHeight="1" thickBot="1" x14ac:dyDescent="0.4">
      <c r="A7" s="89" t="s">
        <v>7</v>
      </c>
      <c r="B7" s="90"/>
      <c r="C7" s="93">
        <f>'Form 1'!C10</f>
        <v>12.673251</v>
      </c>
      <c r="D7" s="94"/>
      <c r="E7" s="15" t="s">
        <v>8</v>
      </c>
      <c r="F7" s="12"/>
      <c r="G7" s="93">
        <f>'Form 1'!C11</f>
        <v>75.616528000000002</v>
      </c>
      <c r="H7" s="93"/>
      <c r="I7" s="94"/>
      <c r="J7" s="15" t="s">
        <v>9</v>
      </c>
      <c r="K7" s="93">
        <f>'Form 1'!C9</f>
        <v>1689</v>
      </c>
      <c r="L7" s="116"/>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6" t="s">
        <v>14</v>
      </c>
      <c r="G9" s="102" t="s">
        <v>20</v>
      </c>
      <c r="H9" s="112" t="s">
        <v>15</v>
      </c>
      <c r="I9" s="113"/>
      <c r="J9" s="113"/>
      <c r="K9" s="114"/>
      <c r="L9" s="117" t="s">
        <v>16</v>
      </c>
    </row>
    <row r="10" spans="1:12" ht="57" customHeight="1" x14ac:dyDescent="0.35">
      <c r="A10" s="101"/>
      <c r="B10" s="106"/>
      <c r="C10" s="107"/>
      <c r="D10" s="103"/>
      <c r="E10" s="103"/>
      <c r="F10" s="17" t="s">
        <v>17</v>
      </c>
      <c r="G10" s="103"/>
      <c r="H10" s="108" t="s">
        <v>18</v>
      </c>
      <c r="I10" s="109"/>
      <c r="J10" s="108" t="s">
        <v>19</v>
      </c>
      <c r="K10" s="109"/>
      <c r="L10" s="118"/>
    </row>
    <row r="11" spans="1:12" ht="15.65" customHeight="1" x14ac:dyDescent="0.35">
      <c r="A11" s="10">
        <v>1</v>
      </c>
      <c r="B11" s="84" t="s">
        <v>178</v>
      </c>
      <c r="C11" s="85"/>
      <c r="D11" s="3" t="s">
        <v>145</v>
      </c>
      <c r="E11" s="39">
        <v>68</v>
      </c>
      <c r="F11" s="39"/>
      <c r="G11" s="39">
        <v>12</v>
      </c>
      <c r="H11" s="78"/>
      <c r="I11" s="79"/>
      <c r="J11" s="80"/>
      <c r="K11" s="81"/>
      <c r="L11" s="11"/>
    </row>
    <row r="12" spans="1:12" ht="15.65" customHeight="1" x14ac:dyDescent="0.35">
      <c r="A12" s="10">
        <v>2</v>
      </c>
      <c r="B12" s="84" t="s">
        <v>196</v>
      </c>
      <c r="C12" s="85"/>
      <c r="D12" s="4" t="s">
        <v>146</v>
      </c>
      <c r="E12" s="39">
        <v>186</v>
      </c>
      <c r="F12" s="39"/>
      <c r="G12" s="39">
        <v>20</v>
      </c>
      <c r="H12" s="78"/>
      <c r="I12" s="79"/>
      <c r="J12" s="80"/>
      <c r="K12" s="81"/>
      <c r="L12" s="11"/>
    </row>
    <row r="13" spans="1:12" ht="15.65" customHeight="1" x14ac:dyDescent="0.35">
      <c r="A13" s="10">
        <v>3</v>
      </c>
      <c r="B13" s="84" t="s">
        <v>196</v>
      </c>
      <c r="C13" s="85"/>
      <c r="D13" s="3" t="s">
        <v>146</v>
      </c>
      <c r="E13" s="39">
        <v>192</v>
      </c>
      <c r="F13" s="39"/>
      <c r="G13" s="39">
        <v>21</v>
      </c>
      <c r="H13" s="78"/>
      <c r="I13" s="79"/>
      <c r="J13" s="80"/>
      <c r="K13" s="81"/>
      <c r="L13" s="11"/>
    </row>
    <row r="14" spans="1:12" ht="15.65" customHeight="1" x14ac:dyDescent="0.35">
      <c r="A14" s="10">
        <v>4</v>
      </c>
      <c r="B14" s="84" t="s">
        <v>193</v>
      </c>
      <c r="C14" s="85"/>
      <c r="D14" s="3" t="s">
        <v>147</v>
      </c>
      <c r="E14" s="39">
        <v>152</v>
      </c>
      <c r="F14" s="39"/>
      <c r="G14" s="39">
        <v>18</v>
      </c>
      <c r="H14" s="78"/>
      <c r="I14" s="79"/>
      <c r="J14" s="80"/>
      <c r="K14" s="81"/>
      <c r="L14" s="11"/>
    </row>
    <row r="15" spans="1:12" ht="15.65" customHeight="1" x14ac:dyDescent="0.35">
      <c r="A15" s="10">
        <v>5</v>
      </c>
      <c r="B15" s="84" t="s">
        <v>194</v>
      </c>
      <c r="C15" s="85"/>
      <c r="D15" s="7" t="s">
        <v>148</v>
      </c>
      <c r="E15" s="40">
        <v>168</v>
      </c>
      <c r="F15" s="39"/>
      <c r="G15" s="39">
        <v>16</v>
      </c>
      <c r="H15" s="78"/>
      <c r="I15" s="79"/>
      <c r="J15" s="80"/>
      <c r="K15" s="81"/>
      <c r="L15" s="11"/>
    </row>
    <row r="16" spans="1:12" ht="15.65" customHeight="1" x14ac:dyDescent="0.35">
      <c r="A16" s="10">
        <v>6</v>
      </c>
      <c r="B16" s="84" t="s">
        <v>180</v>
      </c>
      <c r="C16" s="85"/>
      <c r="D16" s="4" t="s">
        <v>149</v>
      </c>
      <c r="E16" s="39">
        <v>64</v>
      </c>
      <c r="F16" s="40"/>
      <c r="G16" s="40">
        <v>8</v>
      </c>
      <c r="H16" s="82"/>
      <c r="I16" s="83"/>
      <c r="J16" s="80"/>
      <c r="K16" s="81"/>
      <c r="L16" s="11"/>
    </row>
    <row r="17" spans="1:12" ht="15.65" customHeight="1" x14ac:dyDescent="0.35">
      <c r="A17" s="10">
        <v>7</v>
      </c>
      <c r="B17" s="84" t="s">
        <v>197</v>
      </c>
      <c r="C17" s="85"/>
      <c r="D17" s="7" t="s">
        <v>150</v>
      </c>
      <c r="E17" s="39">
        <v>186</v>
      </c>
      <c r="F17" s="40"/>
      <c r="G17" s="40">
        <v>13</v>
      </c>
      <c r="H17" s="82"/>
      <c r="I17" s="83"/>
      <c r="J17" s="80"/>
      <c r="K17" s="81"/>
      <c r="L17" s="11"/>
    </row>
    <row r="18" spans="1:12" ht="15.65" customHeight="1" x14ac:dyDescent="0.35">
      <c r="A18" s="10">
        <v>8</v>
      </c>
      <c r="B18" s="84" t="s">
        <v>195</v>
      </c>
      <c r="C18" s="85"/>
      <c r="D18" s="3" t="s">
        <v>151</v>
      </c>
      <c r="E18" s="39">
        <v>74</v>
      </c>
      <c r="F18" s="40"/>
      <c r="G18" s="40">
        <v>12</v>
      </c>
      <c r="H18" s="82"/>
      <c r="I18" s="83"/>
      <c r="J18" s="80"/>
      <c r="K18" s="81"/>
      <c r="L18" s="11"/>
    </row>
  </sheetData>
  <mergeCells count="49">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16:C16"/>
    <mergeCell ref="B17:C17"/>
    <mergeCell ref="B18:C18"/>
    <mergeCell ref="B14:C14"/>
    <mergeCell ref="B15:C15"/>
    <mergeCell ref="J11:K11"/>
    <mergeCell ref="J12:K12"/>
    <mergeCell ref="J13:K13"/>
    <mergeCell ref="J14:K14"/>
    <mergeCell ref="J15:K15"/>
    <mergeCell ref="H14:I14"/>
    <mergeCell ref="H15:I15"/>
    <mergeCell ref="J16:K16"/>
    <mergeCell ref="J17:K17"/>
    <mergeCell ref="J18:K18"/>
    <mergeCell ref="H16:I16"/>
    <mergeCell ref="H17:I17"/>
    <mergeCell ref="H18:I1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5" sqref="C15"/>
    </sheetView>
  </sheetViews>
  <sheetFormatPr defaultRowHeight="14.5" x14ac:dyDescent="0.35"/>
  <cols>
    <col min="1" max="1" width="3.6328125" customWidth="1"/>
    <col min="2" max="2" width="13.90625" customWidth="1"/>
    <col min="3" max="3" width="13.1796875" customWidth="1"/>
    <col min="4" max="4" width="7.7265625" customWidth="1"/>
    <col min="5" max="13" width="4.26953125" customWidth="1"/>
    <col min="15" max="15" width="7.26953125" bestFit="1" customWidth="1"/>
    <col min="17" max="17" width="11.7265625" customWidth="1"/>
  </cols>
  <sheetData>
    <row r="1" spans="1:17" ht="21" x14ac:dyDescent="0.35">
      <c r="A1" s="128" t="s">
        <v>65</v>
      </c>
      <c r="B1" s="128"/>
      <c r="C1" s="128"/>
      <c r="D1" s="128"/>
      <c r="E1" s="128"/>
      <c r="F1" s="128"/>
      <c r="G1" s="128"/>
      <c r="H1" s="128"/>
      <c r="I1" s="128"/>
      <c r="J1" s="128"/>
      <c r="K1" s="128"/>
      <c r="L1" s="128"/>
      <c r="M1" s="128"/>
      <c r="N1" s="128"/>
      <c r="O1" s="128"/>
      <c r="P1" s="128"/>
      <c r="Q1" s="128"/>
    </row>
    <row r="2" spans="1:17" ht="21" x14ac:dyDescent="0.35">
      <c r="A2" s="128" t="s">
        <v>66</v>
      </c>
      <c r="B2" s="128"/>
      <c r="C2" s="128"/>
      <c r="D2" s="128"/>
      <c r="E2" s="128"/>
      <c r="F2" s="128"/>
      <c r="G2" s="128"/>
      <c r="H2" s="128"/>
      <c r="I2" s="128"/>
      <c r="J2" s="128"/>
      <c r="K2" s="128"/>
      <c r="L2" s="128"/>
      <c r="M2" s="128"/>
      <c r="N2" s="128"/>
      <c r="O2" s="128"/>
      <c r="P2" s="128"/>
      <c r="Q2" s="128"/>
    </row>
    <row r="3" spans="1:17" x14ac:dyDescent="0.35">
      <c r="A3" s="19"/>
    </row>
    <row r="4" spans="1:17" ht="15" thickBot="1" x14ac:dyDescent="0.4">
      <c r="A4" s="19"/>
    </row>
    <row r="5" spans="1:17" ht="16" thickBot="1" x14ac:dyDescent="0.4">
      <c r="A5" s="122" t="s">
        <v>10</v>
      </c>
      <c r="B5" s="122" t="s">
        <v>11</v>
      </c>
      <c r="C5" s="122" t="s">
        <v>152</v>
      </c>
      <c r="D5" s="122" t="s">
        <v>67</v>
      </c>
      <c r="E5" s="130" t="s">
        <v>68</v>
      </c>
      <c r="F5" s="131"/>
      <c r="G5" s="131"/>
      <c r="H5" s="131"/>
      <c r="I5" s="131"/>
      <c r="J5" s="131"/>
      <c r="K5" s="131"/>
      <c r="L5" s="131"/>
      <c r="M5" s="132"/>
      <c r="N5" s="122" t="s">
        <v>69</v>
      </c>
      <c r="O5" s="130" t="s">
        <v>70</v>
      </c>
      <c r="P5" s="132"/>
      <c r="Q5" s="122" t="s">
        <v>71</v>
      </c>
    </row>
    <row r="6" spans="1:17" ht="15.5" x14ac:dyDescent="0.35">
      <c r="A6" s="123"/>
      <c r="B6" s="123"/>
      <c r="C6" s="123"/>
      <c r="D6" s="123"/>
      <c r="E6" s="119" t="s">
        <v>72</v>
      </c>
      <c r="F6" s="120"/>
      <c r="G6" s="121"/>
      <c r="H6" s="119" t="s">
        <v>73</v>
      </c>
      <c r="I6" s="120"/>
      <c r="J6" s="121"/>
      <c r="K6" s="119" t="s">
        <v>74</v>
      </c>
      <c r="L6" s="120"/>
      <c r="M6" s="121"/>
      <c r="N6" s="123"/>
      <c r="O6" s="122" t="s">
        <v>75</v>
      </c>
      <c r="P6" s="122" t="s">
        <v>76</v>
      </c>
      <c r="Q6" s="123"/>
    </row>
    <row r="7" spans="1:17" ht="16" thickBot="1" x14ac:dyDescent="0.4">
      <c r="A7" s="123"/>
      <c r="B7" s="123"/>
      <c r="C7" s="129"/>
      <c r="D7" s="123"/>
      <c r="E7" s="125" t="s">
        <v>77</v>
      </c>
      <c r="F7" s="126"/>
      <c r="G7" s="127"/>
      <c r="H7" s="125" t="s">
        <v>78</v>
      </c>
      <c r="I7" s="126"/>
      <c r="J7" s="127"/>
      <c r="K7" s="125" t="s">
        <v>77</v>
      </c>
      <c r="L7" s="126"/>
      <c r="M7" s="127"/>
      <c r="N7" s="123"/>
      <c r="O7" s="123"/>
      <c r="P7" s="123"/>
      <c r="Q7" s="123"/>
    </row>
    <row r="8" spans="1:17" ht="16" thickBot="1" x14ac:dyDescent="0.4">
      <c r="A8" s="124"/>
      <c r="B8" s="124"/>
      <c r="C8" s="124"/>
      <c r="D8" s="124"/>
      <c r="E8" s="20" t="s">
        <v>79</v>
      </c>
      <c r="F8" s="20" t="s">
        <v>80</v>
      </c>
      <c r="G8" s="20" t="s">
        <v>81</v>
      </c>
      <c r="H8" s="20" t="s">
        <v>79</v>
      </c>
      <c r="I8" s="20" t="s">
        <v>80</v>
      </c>
      <c r="J8" s="20" t="s">
        <v>81</v>
      </c>
      <c r="K8" s="20" t="s">
        <v>79</v>
      </c>
      <c r="L8" s="20" t="s">
        <v>80</v>
      </c>
      <c r="M8" s="20" t="s">
        <v>81</v>
      </c>
      <c r="N8" s="124"/>
      <c r="O8" s="124"/>
      <c r="P8" s="124"/>
      <c r="Q8" s="124"/>
    </row>
    <row r="9" spans="1:17" ht="32.25" customHeight="1" x14ac:dyDescent="0.35">
      <c r="A9" s="67">
        <v>1</v>
      </c>
      <c r="B9" s="44" t="s">
        <v>199</v>
      </c>
      <c r="C9" s="68" t="s">
        <v>153</v>
      </c>
      <c r="D9" s="68"/>
      <c r="E9" s="69">
        <v>1</v>
      </c>
      <c r="F9" s="70"/>
      <c r="G9" s="68"/>
      <c r="H9" s="70">
        <v>5</v>
      </c>
      <c r="I9" s="68"/>
      <c r="J9" s="70">
        <v>1</v>
      </c>
      <c r="K9" s="68"/>
      <c r="L9" s="70">
        <v>1</v>
      </c>
      <c r="M9" s="68"/>
      <c r="N9" s="71"/>
      <c r="O9" s="72"/>
      <c r="P9" s="71"/>
      <c r="Q9" s="73"/>
    </row>
    <row r="10" spans="1:17" ht="33.75" customHeight="1" x14ac:dyDescent="0.35">
      <c r="A10" s="67">
        <v>2</v>
      </c>
      <c r="B10" s="44" t="s">
        <v>199</v>
      </c>
      <c r="C10" s="68" t="s">
        <v>153</v>
      </c>
      <c r="D10" s="68"/>
      <c r="E10" s="69">
        <v>2</v>
      </c>
      <c r="F10" s="70"/>
      <c r="G10" s="68"/>
      <c r="H10" s="70">
        <v>7</v>
      </c>
      <c r="I10" s="68"/>
      <c r="J10" s="70">
        <v>1</v>
      </c>
      <c r="K10" s="68"/>
      <c r="L10" s="70">
        <v>2</v>
      </c>
      <c r="M10" s="68"/>
      <c r="N10" s="71"/>
      <c r="O10" s="72"/>
      <c r="P10" s="71"/>
      <c r="Q10" s="73"/>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3"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8" t="s">
        <v>82</v>
      </c>
      <c r="B1" s="128"/>
      <c r="C1" s="128"/>
      <c r="D1" s="128"/>
      <c r="E1" s="128"/>
      <c r="F1" s="128"/>
      <c r="G1" s="128"/>
      <c r="H1" s="128"/>
      <c r="I1" s="128"/>
    </row>
    <row r="2" spans="1:9" x14ac:dyDescent="0.35">
      <c r="A2" s="137"/>
      <c r="B2" s="137"/>
      <c r="H2" t="s">
        <v>83</v>
      </c>
      <c r="I2" s="9">
        <f>'Form 1'!C9</f>
        <v>1689</v>
      </c>
    </row>
    <row r="3" spans="1:9" ht="24" customHeight="1" x14ac:dyDescent="0.35">
      <c r="A3" s="134" t="s">
        <v>10</v>
      </c>
      <c r="B3" s="134" t="s">
        <v>11</v>
      </c>
      <c r="C3" s="134" t="s">
        <v>12</v>
      </c>
      <c r="D3" s="134" t="s">
        <v>84</v>
      </c>
      <c r="E3" s="134" t="s">
        <v>108</v>
      </c>
      <c r="F3" s="134" t="s">
        <v>85</v>
      </c>
      <c r="G3" s="108" t="s">
        <v>15</v>
      </c>
      <c r="H3" s="109"/>
      <c r="I3" s="134" t="s">
        <v>86</v>
      </c>
    </row>
    <row r="4" spans="1:9" ht="60" x14ac:dyDescent="0.35">
      <c r="A4" s="135"/>
      <c r="B4" s="135"/>
      <c r="C4" s="135"/>
      <c r="D4" s="135"/>
      <c r="E4" s="135"/>
      <c r="F4" s="135"/>
      <c r="G4" s="18" t="s">
        <v>87</v>
      </c>
      <c r="H4" s="18" t="s">
        <v>19</v>
      </c>
      <c r="I4" s="135"/>
    </row>
    <row r="5" spans="1:9" ht="15.65" customHeight="1" x14ac:dyDescent="0.35">
      <c r="A5" s="21">
        <v>1</v>
      </c>
      <c r="B5" s="44" t="s">
        <v>182</v>
      </c>
      <c r="C5" s="4" t="s">
        <v>154</v>
      </c>
      <c r="D5" s="4"/>
      <c r="E5" s="4">
        <v>32.6</v>
      </c>
      <c r="F5" s="40">
        <v>2</v>
      </c>
      <c r="G5" s="21"/>
      <c r="H5" s="21"/>
      <c r="I5" s="21"/>
    </row>
    <row r="6" spans="1:9" ht="15.65" customHeight="1" x14ac:dyDescent="0.35">
      <c r="A6" s="21">
        <v>2</v>
      </c>
      <c r="B6" s="44" t="s">
        <v>178</v>
      </c>
      <c r="C6" s="4" t="s">
        <v>155</v>
      </c>
      <c r="D6" s="4"/>
      <c r="E6" s="4">
        <v>27.5</v>
      </c>
      <c r="F6" s="40">
        <v>2</v>
      </c>
      <c r="G6" s="21"/>
      <c r="H6" s="21"/>
      <c r="I6" s="21"/>
    </row>
    <row r="7" spans="1:9" ht="15.65" customHeight="1" x14ac:dyDescent="0.35">
      <c r="A7" s="21">
        <v>3</v>
      </c>
      <c r="B7" s="44" t="s">
        <v>185</v>
      </c>
      <c r="C7" s="4" t="s">
        <v>156</v>
      </c>
      <c r="D7" s="4"/>
      <c r="E7" s="4">
        <v>33.1</v>
      </c>
      <c r="F7" s="40">
        <v>2</v>
      </c>
      <c r="G7" s="21"/>
      <c r="H7" s="21"/>
      <c r="I7" s="21"/>
    </row>
    <row r="8" spans="1:9" ht="15.65" customHeight="1" x14ac:dyDescent="0.35">
      <c r="A8" s="21">
        <v>4</v>
      </c>
      <c r="B8" s="74" t="s">
        <v>186</v>
      </c>
      <c r="C8" s="4" t="s">
        <v>157</v>
      </c>
      <c r="D8" s="4"/>
      <c r="E8" s="4">
        <v>20.2</v>
      </c>
      <c r="F8" s="40">
        <v>1.5</v>
      </c>
      <c r="G8" s="21"/>
      <c r="H8" s="21"/>
      <c r="I8" s="21"/>
    </row>
    <row r="9" spans="1:9" ht="15.65" customHeight="1" x14ac:dyDescent="0.35">
      <c r="A9" s="21">
        <v>5</v>
      </c>
      <c r="B9" s="31" t="s">
        <v>179</v>
      </c>
      <c r="C9" s="4" t="s">
        <v>158</v>
      </c>
      <c r="D9" s="4"/>
      <c r="E9" s="4">
        <v>22.5</v>
      </c>
      <c r="F9" s="40">
        <v>2</v>
      </c>
      <c r="G9" s="21"/>
      <c r="H9" s="21"/>
      <c r="I9" s="21"/>
    </row>
    <row r="10" spans="1:9" ht="15.5" x14ac:dyDescent="0.35">
      <c r="A10" s="23"/>
      <c r="B10" s="24"/>
      <c r="C10" s="25"/>
      <c r="D10" s="26"/>
      <c r="E10" s="26"/>
      <c r="F10" s="26"/>
      <c r="G10" s="23"/>
      <c r="H10" s="23"/>
      <c r="I10" s="23"/>
    </row>
    <row r="11" spans="1:9" ht="21" x14ac:dyDescent="0.35">
      <c r="A11" s="128" t="s">
        <v>88</v>
      </c>
      <c r="B11" s="128"/>
      <c r="C11" s="128"/>
      <c r="D11" s="128"/>
      <c r="E11" s="128"/>
      <c r="F11" s="128"/>
      <c r="G11" s="128"/>
      <c r="H11" s="128"/>
      <c r="I11" s="128"/>
    </row>
    <row r="12" spans="1:9" ht="15.5" x14ac:dyDescent="0.35">
      <c r="A12" s="136"/>
      <c r="B12" s="136"/>
      <c r="H12" t="s">
        <v>83</v>
      </c>
      <c r="I12" s="9">
        <f>'Form 1'!C9</f>
        <v>1689</v>
      </c>
    </row>
    <row r="13" spans="1:9" ht="15.75" customHeight="1" x14ac:dyDescent="0.35">
      <c r="A13" s="103" t="s">
        <v>10</v>
      </c>
      <c r="B13" s="103" t="s">
        <v>11</v>
      </c>
      <c r="C13" s="103" t="s">
        <v>12</v>
      </c>
      <c r="D13" s="103" t="s">
        <v>84</v>
      </c>
      <c r="E13" s="134" t="s">
        <v>108</v>
      </c>
      <c r="F13" s="103" t="s">
        <v>85</v>
      </c>
      <c r="G13" s="103" t="s">
        <v>15</v>
      </c>
      <c r="H13" s="103"/>
      <c r="I13" s="134" t="s">
        <v>86</v>
      </c>
    </row>
    <row r="14" spans="1:9" ht="60" x14ac:dyDescent="0.35">
      <c r="A14" s="103"/>
      <c r="B14" s="103"/>
      <c r="C14" s="103"/>
      <c r="D14" s="103"/>
      <c r="E14" s="135"/>
      <c r="F14" s="103"/>
      <c r="G14" s="18" t="s">
        <v>87</v>
      </c>
      <c r="H14" s="18" t="s">
        <v>19</v>
      </c>
      <c r="I14" s="135"/>
    </row>
    <row r="15" spans="1:9" ht="15.5" x14ac:dyDescent="0.35">
      <c r="A15" s="21">
        <v>1</v>
      </c>
      <c r="B15" s="31" t="s">
        <v>179</v>
      </c>
      <c r="C15" s="3" t="s">
        <v>158</v>
      </c>
      <c r="D15" s="39"/>
      <c r="E15" s="41">
        <v>25.2</v>
      </c>
      <c r="F15" s="39">
        <v>2</v>
      </c>
      <c r="G15" s="21"/>
      <c r="H15" s="21"/>
      <c r="I15" s="27"/>
    </row>
    <row r="16" spans="1:9" ht="15.5" x14ac:dyDescent="0.35">
      <c r="A16" s="21">
        <v>2</v>
      </c>
      <c r="B16" s="22" t="s">
        <v>184</v>
      </c>
      <c r="C16" s="3" t="s">
        <v>167</v>
      </c>
      <c r="D16" s="39"/>
      <c r="E16" s="41">
        <v>20.100000000000001</v>
      </c>
      <c r="F16" s="39">
        <v>2</v>
      </c>
      <c r="G16" s="21"/>
      <c r="H16" s="21"/>
      <c r="I16" s="27"/>
    </row>
    <row r="18" spans="1:9" ht="21" x14ac:dyDescent="0.35">
      <c r="A18" s="128" t="s">
        <v>89</v>
      </c>
      <c r="B18" s="128"/>
      <c r="C18" s="128"/>
      <c r="D18" s="128"/>
      <c r="E18" s="128"/>
      <c r="F18" s="128"/>
      <c r="G18" s="128"/>
      <c r="H18" s="128"/>
      <c r="I18" s="128"/>
    </row>
    <row r="19" spans="1:9" ht="15.5" x14ac:dyDescent="0.35">
      <c r="A19" s="136"/>
      <c r="B19" s="136"/>
      <c r="H19" s="9" t="s">
        <v>83</v>
      </c>
      <c r="I19" s="9">
        <f>'Form 1'!C9</f>
        <v>1689</v>
      </c>
    </row>
    <row r="20" spans="1:9" ht="15.75" customHeight="1" x14ac:dyDescent="0.35">
      <c r="A20" s="103" t="s">
        <v>10</v>
      </c>
      <c r="B20" s="103" t="s">
        <v>11</v>
      </c>
      <c r="C20" s="103" t="s">
        <v>12</v>
      </c>
      <c r="D20" s="103" t="s">
        <v>84</v>
      </c>
      <c r="E20" s="134" t="s">
        <v>108</v>
      </c>
      <c r="F20" s="103" t="s">
        <v>85</v>
      </c>
      <c r="G20" s="103" t="s">
        <v>15</v>
      </c>
      <c r="H20" s="103"/>
      <c r="I20" s="134" t="s">
        <v>86</v>
      </c>
    </row>
    <row r="21" spans="1:9" ht="60" x14ac:dyDescent="0.35">
      <c r="A21" s="103"/>
      <c r="B21" s="103"/>
      <c r="C21" s="103"/>
      <c r="D21" s="103"/>
      <c r="E21" s="135"/>
      <c r="F21" s="103"/>
      <c r="G21" s="18" t="s">
        <v>87</v>
      </c>
      <c r="H21" s="18" t="s">
        <v>19</v>
      </c>
      <c r="I21" s="135"/>
    </row>
    <row r="22" spans="1:9" ht="15.65" customHeight="1" x14ac:dyDescent="0.35">
      <c r="A22" s="21">
        <v>1</v>
      </c>
      <c r="B22" s="31" t="s">
        <v>179</v>
      </c>
      <c r="C22" s="3" t="s">
        <v>158</v>
      </c>
      <c r="D22" s="39"/>
      <c r="E22" s="3">
        <v>27.5</v>
      </c>
      <c r="F22" s="39">
        <v>2</v>
      </c>
      <c r="G22" s="21"/>
      <c r="H22" s="21"/>
      <c r="I22" s="21"/>
    </row>
    <row r="23" spans="1:9" ht="15.65" customHeight="1" x14ac:dyDescent="0.35">
      <c r="A23" s="21">
        <v>2</v>
      </c>
      <c r="B23" s="22" t="s">
        <v>183</v>
      </c>
      <c r="C23" s="3" t="s">
        <v>170</v>
      </c>
      <c r="D23" s="39"/>
      <c r="E23" s="3">
        <v>25.1</v>
      </c>
      <c r="F23" s="39">
        <v>3</v>
      </c>
      <c r="G23" s="21"/>
      <c r="H23" s="21"/>
      <c r="I23" s="21"/>
    </row>
    <row r="24" spans="1:9" ht="15.65" customHeight="1" x14ac:dyDescent="0.35">
      <c r="A24" s="21">
        <v>3</v>
      </c>
      <c r="B24" s="22" t="s">
        <v>183</v>
      </c>
      <c r="C24" s="3" t="s">
        <v>170</v>
      </c>
      <c r="D24" s="39"/>
      <c r="E24" s="3">
        <v>29.3</v>
      </c>
      <c r="F24" s="39">
        <v>3.5</v>
      </c>
      <c r="G24" s="21"/>
      <c r="H24" s="21"/>
      <c r="I24" s="21"/>
    </row>
    <row r="25" spans="1:9" ht="15.5" x14ac:dyDescent="0.35">
      <c r="D25" s="26"/>
      <c r="F25" s="28"/>
    </row>
    <row r="26" spans="1:9" ht="21" x14ac:dyDescent="0.35">
      <c r="A26" s="128" t="s">
        <v>90</v>
      </c>
      <c r="B26" s="128"/>
      <c r="C26" s="128"/>
      <c r="D26" s="128"/>
      <c r="E26" s="128"/>
      <c r="F26" s="128"/>
      <c r="G26" s="128"/>
      <c r="H26" s="128"/>
      <c r="I26" s="128"/>
    </row>
    <row r="27" spans="1:9" x14ac:dyDescent="0.35">
      <c r="A27" s="133"/>
      <c r="B27" s="133"/>
      <c r="H27" t="s">
        <v>83</v>
      </c>
      <c r="I27" s="9">
        <f>'Form 1'!C9</f>
        <v>1689</v>
      </c>
    </row>
    <row r="28" spans="1:9" ht="15.75" customHeight="1" x14ac:dyDescent="0.35">
      <c r="A28" s="103" t="s">
        <v>10</v>
      </c>
      <c r="B28" s="103" t="s">
        <v>11</v>
      </c>
      <c r="C28" s="103" t="s">
        <v>12</v>
      </c>
      <c r="D28" s="103" t="s">
        <v>84</v>
      </c>
      <c r="E28" s="134" t="s">
        <v>108</v>
      </c>
      <c r="F28" s="103" t="s">
        <v>85</v>
      </c>
      <c r="G28" s="103" t="s">
        <v>15</v>
      </c>
      <c r="H28" s="103"/>
      <c r="I28" s="103" t="s">
        <v>86</v>
      </c>
    </row>
    <row r="29" spans="1:9" ht="60" x14ac:dyDescent="0.35">
      <c r="A29" s="103"/>
      <c r="B29" s="103"/>
      <c r="C29" s="103"/>
      <c r="D29" s="103"/>
      <c r="E29" s="135"/>
      <c r="F29" s="103"/>
      <c r="G29" s="37" t="s">
        <v>87</v>
      </c>
      <c r="H29" s="37" t="s">
        <v>19</v>
      </c>
      <c r="I29" s="103"/>
    </row>
    <row r="30" spans="1:9" ht="17.25" customHeight="1" x14ac:dyDescent="0.35">
      <c r="A30" s="21">
        <v>1</v>
      </c>
      <c r="B30" s="44" t="s">
        <v>168</v>
      </c>
      <c r="C30" s="3"/>
      <c r="D30" s="42"/>
      <c r="E30" s="43">
        <v>30.6</v>
      </c>
      <c r="F30" s="42">
        <v>2</v>
      </c>
      <c r="G30" s="21"/>
      <c r="H30" s="21"/>
      <c r="I30" s="21"/>
    </row>
    <row r="31" spans="1:9" ht="17.25" customHeight="1" x14ac:dyDescent="0.35">
      <c r="A31" s="21">
        <v>2</v>
      </c>
      <c r="B31" s="44" t="s">
        <v>180</v>
      </c>
      <c r="C31" s="3" t="s">
        <v>149</v>
      </c>
      <c r="D31" s="42"/>
      <c r="E31" s="43">
        <v>25.1</v>
      </c>
      <c r="F31" s="42">
        <v>1.5</v>
      </c>
      <c r="G31" s="21"/>
      <c r="H31" s="21"/>
      <c r="I31" s="21"/>
    </row>
    <row r="32" spans="1:9" ht="17.25" customHeight="1" x14ac:dyDescent="0.35">
      <c r="A32" s="21">
        <v>3</v>
      </c>
      <c r="B32" s="44" t="s">
        <v>181</v>
      </c>
      <c r="C32" s="3" t="s">
        <v>169</v>
      </c>
      <c r="D32" s="42"/>
      <c r="E32" s="43">
        <v>34.700000000000003</v>
      </c>
      <c r="F32" s="42">
        <v>2</v>
      </c>
      <c r="G32" s="21"/>
      <c r="H32" s="21"/>
      <c r="I32" s="21"/>
    </row>
    <row r="33" spans="1:9" ht="17.25" customHeight="1" x14ac:dyDescent="0.35">
      <c r="A33" s="21">
        <v>4</v>
      </c>
      <c r="B33" s="44" t="s">
        <v>182</v>
      </c>
      <c r="C33" s="3" t="s">
        <v>154</v>
      </c>
      <c r="D33" s="42"/>
      <c r="E33" s="43">
        <v>25.2</v>
      </c>
      <c r="F33" s="42">
        <v>1.5</v>
      </c>
      <c r="G33" s="21"/>
      <c r="H33" s="21"/>
      <c r="I33" s="21"/>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8:I18"/>
    <mergeCell ref="A19:B19"/>
    <mergeCell ref="A20:A21"/>
    <mergeCell ref="B20:B21"/>
    <mergeCell ref="C20:C21"/>
    <mergeCell ref="D20:D21"/>
    <mergeCell ref="E20:E21"/>
    <mergeCell ref="F20:F21"/>
    <mergeCell ref="G20:H20"/>
    <mergeCell ref="I20:I21"/>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15" sqref="B1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9">
        <f>'Form 1'!C9</f>
        <v>1689</v>
      </c>
    </row>
    <row r="3" spans="1:7" ht="15" x14ac:dyDescent="0.35">
      <c r="A3" s="103" t="s">
        <v>10</v>
      </c>
      <c r="B3" s="103" t="s">
        <v>11</v>
      </c>
      <c r="C3" s="103" t="s">
        <v>12</v>
      </c>
      <c r="D3" s="103" t="s">
        <v>92</v>
      </c>
      <c r="E3" s="103" t="s">
        <v>15</v>
      </c>
      <c r="F3" s="103"/>
      <c r="G3" s="103" t="s">
        <v>93</v>
      </c>
    </row>
    <row r="4" spans="1:7" ht="30" x14ac:dyDescent="0.35">
      <c r="A4" s="103"/>
      <c r="B4" s="103"/>
      <c r="C4" s="103"/>
      <c r="D4" s="103"/>
      <c r="E4" s="29" t="s">
        <v>94</v>
      </c>
      <c r="F4" s="29" t="s">
        <v>95</v>
      </c>
      <c r="G4" s="103"/>
    </row>
    <row r="5" spans="1:7" ht="15" x14ac:dyDescent="0.35">
      <c r="A5" s="103"/>
      <c r="B5" s="103"/>
      <c r="C5" s="103"/>
      <c r="D5" s="103"/>
      <c r="E5" s="30" t="s">
        <v>96</v>
      </c>
      <c r="F5" s="30" t="s">
        <v>97</v>
      </c>
      <c r="G5" s="103"/>
    </row>
    <row r="6" spans="1:7" ht="15.5" x14ac:dyDescent="0.35">
      <c r="A6" s="21">
        <v>1</v>
      </c>
      <c r="B6" s="31" t="s">
        <v>168</v>
      </c>
      <c r="C6" s="3"/>
      <c r="D6" s="39">
        <v>18</v>
      </c>
      <c r="E6" s="21"/>
      <c r="F6" s="29"/>
      <c r="G6" s="21"/>
    </row>
    <row r="7" spans="1:7" ht="15.5" x14ac:dyDescent="0.35">
      <c r="A7" s="21">
        <v>2</v>
      </c>
      <c r="B7" s="22" t="s">
        <v>187</v>
      </c>
      <c r="C7" s="3" t="s">
        <v>171</v>
      </c>
      <c r="D7" s="39">
        <v>7</v>
      </c>
      <c r="E7" s="21"/>
      <c r="F7" s="21"/>
      <c r="G7" s="21"/>
    </row>
    <row r="8" spans="1:7" ht="15.5" x14ac:dyDescent="0.35">
      <c r="A8" s="21">
        <v>3</v>
      </c>
      <c r="B8" s="31" t="s">
        <v>188</v>
      </c>
      <c r="C8" s="3" t="s">
        <v>172</v>
      </c>
      <c r="D8" s="39">
        <v>40</v>
      </c>
      <c r="E8" s="21"/>
      <c r="F8" s="38"/>
      <c r="G8" s="21"/>
    </row>
    <row r="9" spans="1:7" ht="15.5" x14ac:dyDescent="0.35">
      <c r="A9" s="21">
        <v>4</v>
      </c>
      <c r="B9" s="31" t="s">
        <v>188</v>
      </c>
      <c r="C9" s="3" t="s">
        <v>172</v>
      </c>
      <c r="D9" s="39">
        <v>13</v>
      </c>
      <c r="E9" s="21"/>
      <c r="F9" s="21"/>
      <c r="G9" s="21"/>
    </row>
    <row r="10" spans="1:7" ht="15.5" x14ac:dyDescent="0.35">
      <c r="A10" s="21">
        <v>5</v>
      </c>
      <c r="B10" s="31" t="s">
        <v>188</v>
      </c>
      <c r="C10" s="3" t="s">
        <v>172</v>
      </c>
      <c r="D10" s="39">
        <v>7</v>
      </c>
      <c r="E10" s="21"/>
      <c r="F10" s="38"/>
      <c r="G10" s="21"/>
    </row>
    <row r="11" spans="1:7" ht="15.5" x14ac:dyDescent="0.35">
      <c r="A11" s="21">
        <v>6</v>
      </c>
      <c r="B11" s="31" t="s">
        <v>188</v>
      </c>
      <c r="C11" s="3" t="s">
        <v>172</v>
      </c>
      <c r="D11" s="39">
        <v>15</v>
      </c>
      <c r="E11" s="21"/>
      <c r="F11" s="21"/>
      <c r="G11" s="21"/>
    </row>
    <row r="12" spans="1:7" ht="15.5" x14ac:dyDescent="0.35">
      <c r="A12" s="21">
        <v>7</v>
      </c>
      <c r="B12" s="31" t="s">
        <v>188</v>
      </c>
      <c r="C12" s="3" t="s">
        <v>172</v>
      </c>
      <c r="D12" s="39">
        <v>35</v>
      </c>
      <c r="E12" s="21"/>
      <c r="F12" s="38"/>
      <c r="G12" s="21"/>
    </row>
    <row r="13" spans="1:7" ht="15.5" x14ac:dyDescent="0.35">
      <c r="A13" s="21">
        <v>8</v>
      </c>
      <c r="B13" s="31" t="s">
        <v>188</v>
      </c>
      <c r="C13" s="3" t="s">
        <v>172</v>
      </c>
      <c r="D13" s="39">
        <v>70</v>
      </c>
      <c r="E13" s="21"/>
      <c r="F13" s="21"/>
      <c r="G13" s="21"/>
    </row>
    <row r="14" spans="1:7" ht="15.5" x14ac:dyDescent="0.35">
      <c r="A14" s="21">
        <v>9</v>
      </c>
      <c r="B14" s="22" t="s">
        <v>189</v>
      </c>
      <c r="C14" s="3" t="s">
        <v>173</v>
      </c>
      <c r="D14" s="39" t="s">
        <v>176</v>
      </c>
      <c r="E14" s="21"/>
      <c r="F14" s="38"/>
      <c r="G14" s="21"/>
    </row>
    <row r="15" spans="1:7" ht="15.5" x14ac:dyDescent="0.35">
      <c r="A15" s="21">
        <v>10</v>
      </c>
      <c r="B15" s="31" t="s">
        <v>192</v>
      </c>
      <c r="C15" s="3" t="s">
        <v>174</v>
      </c>
      <c r="D15" s="39">
        <v>17</v>
      </c>
      <c r="E15" s="21"/>
      <c r="F15" s="46"/>
      <c r="G15" s="21"/>
    </row>
    <row r="16" spans="1:7" ht="15.5" x14ac:dyDescent="0.35">
      <c r="A16" s="21">
        <v>11</v>
      </c>
      <c r="B16" s="31" t="s">
        <v>190</v>
      </c>
      <c r="C16" s="3" t="s">
        <v>175</v>
      </c>
      <c r="D16" s="39">
        <v>7</v>
      </c>
      <c r="E16" s="21"/>
      <c r="F16" s="46"/>
      <c r="G16" s="21"/>
    </row>
    <row r="17" spans="1:12" ht="15" x14ac:dyDescent="0.35">
      <c r="A17" s="108" t="s">
        <v>103</v>
      </c>
      <c r="B17" s="141"/>
      <c r="C17" s="141"/>
      <c r="D17" s="141"/>
      <c r="E17" s="141"/>
      <c r="F17" s="141"/>
      <c r="G17" s="109"/>
    </row>
    <row r="18" spans="1:12" ht="15.5" x14ac:dyDescent="0.35">
      <c r="A18" s="21">
        <v>1</v>
      </c>
      <c r="B18" s="138" t="s">
        <v>104</v>
      </c>
      <c r="C18" s="139"/>
      <c r="D18" s="139"/>
      <c r="E18" s="139"/>
      <c r="F18" s="140"/>
      <c r="G18" s="3" t="s">
        <v>159</v>
      </c>
    </row>
    <row r="19" spans="1:12" ht="15.5" x14ac:dyDescent="0.35">
      <c r="A19" s="21">
        <v>2</v>
      </c>
      <c r="B19" s="138" t="s">
        <v>105</v>
      </c>
      <c r="C19" s="139"/>
      <c r="D19" s="139"/>
      <c r="E19" s="139"/>
      <c r="F19" s="140"/>
      <c r="G19" s="3" t="s">
        <v>160</v>
      </c>
    </row>
    <row r="20" spans="1:12" ht="15.5" x14ac:dyDescent="0.35">
      <c r="A20" s="21">
        <v>3</v>
      </c>
      <c r="B20" s="138" t="s">
        <v>106</v>
      </c>
      <c r="C20" s="139"/>
      <c r="D20" s="139"/>
      <c r="E20" s="139"/>
      <c r="F20" s="140"/>
      <c r="G20" s="3" t="s">
        <v>161</v>
      </c>
    </row>
    <row r="21" spans="1:12" ht="15.5" x14ac:dyDescent="0.35">
      <c r="A21" s="21">
        <v>4</v>
      </c>
      <c r="B21" s="138" t="s">
        <v>107</v>
      </c>
      <c r="C21" s="139"/>
      <c r="D21" s="139"/>
      <c r="E21" s="139"/>
      <c r="F21" s="140"/>
      <c r="G21" s="3" t="s">
        <v>162</v>
      </c>
    </row>
    <row r="22" spans="1:12" ht="15.5" x14ac:dyDescent="0.35">
      <c r="A22" s="23"/>
      <c r="B22" s="33"/>
      <c r="C22" s="33"/>
      <c r="D22" s="23"/>
      <c r="E22" s="23"/>
      <c r="F22" s="23"/>
      <c r="G22" s="23"/>
      <c r="L22" s="32"/>
    </row>
    <row r="23" spans="1:12" s="34" customFormat="1" ht="19.899999999999999" customHeight="1" x14ac:dyDescent="0.35">
      <c r="A23" s="143" t="s">
        <v>98</v>
      </c>
      <c r="B23" s="143"/>
      <c r="C23" s="143"/>
      <c r="D23" s="143"/>
      <c r="E23" s="143"/>
      <c r="F23" s="143"/>
      <c r="G23" s="143"/>
      <c r="L23" s="32"/>
    </row>
    <row r="24" spans="1:12" ht="15.5" x14ac:dyDescent="0.35">
      <c r="A24" s="34"/>
      <c r="B24" s="34"/>
      <c r="C24" s="34"/>
      <c r="D24" s="34"/>
      <c r="E24" s="34"/>
      <c r="F24" t="s">
        <v>83</v>
      </c>
      <c r="G24" s="9">
        <f>'Form 1'!C9</f>
        <v>1689</v>
      </c>
      <c r="L24" s="32"/>
    </row>
    <row r="25" spans="1:12" ht="15.75" customHeight="1" x14ac:dyDescent="0.35">
      <c r="A25" s="134" t="s">
        <v>10</v>
      </c>
      <c r="B25" s="134" t="s">
        <v>11</v>
      </c>
      <c r="C25" s="134" t="s">
        <v>12</v>
      </c>
      <c r="D25" s="134" t="s">
        <v>99</v>
      </c>
      <c r="E25" s="108" t="s">
        <v>15</v>
      </c>
      <c r="F25" s="109"/>
      <c r="G25" s="134" t="s">
        <v>100</v>
      </c>
      <c r="L25" s="32"/>
    </row>
    <row r="26" spans="1:12" ht="30" x14ac:dyDescent="0.35">
      <c r="A26" s="142"/>
      <c r="B26" s="142"/>
      <c r="C26" s="142"/>
      <c r="D26" s="142"/>
      <c r="E26" s="29" t="s">
        <v>94</v>
      </c>
      <c r="F26" s="29" t="s">
        <v>95</v>
      </c>
      <c r="G26" s="142"/>
      <c r="L26" s="32"/>
    </row>
    <row r="27" spans="1:12" ht="15.5" x14ac:dyDescent="0.35">
      <c r="A27" s="135"/>
      <c r="B27" s="135"/>
      <c r="C27" s="135"/>
      <c r="D27" s="135"/>
      <c r="E27" s="30" t="s">
        <v>96</v>
      </c>
      <c r="F27" s="30" t="s">
        <v>97</v>
      </c>
      <c r="G27" s="135"/>
      <c r="L27" s="32"/>
    </row>
    <row r="28" spans="1:12" ht="15.5" x14ac:dyDescent="0.35">
      <c r="A28" s="21">
        <v>1</v>
      </c>
      <c r="B28" s="31" t="s">
        <v>179</v>
      </c>
      <c r="C28" s="3" t="s">
        <v>158</v>
      </c>
      <c r="D28" s="39">
        <v>12</v>
      </c>
      <c r="E28" s="21"/>
      <c r="F28" s="21"/>
      <c r="G28" s="21"/>
      <c r="L28" s="32"/>
    </row>
    <row r="29" spans="1:12" ht="15.5" x14ac:dyDescent="0.35">
      <c r="A29" s="21">
        <v>2</v>
      </c>
      <c r="B29" s="22" t="s">
        <v>185</v>
      </c>
      <c r="C29" s="3" t="s">
        <v>156</v>
      </c>
      <c r="D29" s="39">
        <v>18</v>
      </c>
      <c r="E29" s="21"/>
      <c r="F29" s="21"/>
      <c r="G29" s="21"/>
      <c r="L29" s="32"/>
    </row>
    <row r="30" spans="1:12" ht="15.5" x14ac:dyDescent="0.35">
      <c r="A30" s="21">
        <v>3</v>
      </c>
      <c r="B30" s="22" t="s">
        <v>183</v>
      </c>
      <c r="C30" s="3" t="s">
        <v>170</v>
      </c>
      <c r="D30" s="39">
        <v>35</v>
      </c>
      <c r="E30" s="21"/>
      <c r="F30" s="21"/>
      <c r="G30" s="21"/>
      <c r="L30" s="32"/>
    </row>
    <row r="31" spans="1:12" ht="15.5" x14ac:dyDescent="0.35">
      <c r="A31" s="21">
        <v>4</v>
      </c>
      <c r="B31" s="31" t="s">
        <v>188</v>
      </c>
      <c r="C31" s="3" t="s">
        <v>172</v>
      </c>
      <c r="D31" s="39">
        <v>6</v>
      </c>
      <c r="E31" s="21"/>
      <c r="F31" s="21"/>
      <c r="G31" s="21"/>
      <c r="L31" s="32"/>
    </row>
    <row r="32" spans="1:12" ht="15.5" x14ac:dyDescent="0.35">
      <c r="A32" s="21">
        <v>5</v>
      </c>
      <c r="B32" s="31" t="s">
        <v>188</v>
      </c>
      <c r="C32" s="3" t="s">
        <v>172</v>
      </c>
      <c r="D32" s="39">
        <v>35</v>
      </c>
      <c r="E32" s="21"/>
      <c r="F32" s="21"/>
      <c r="G32" s="21"/>
      <c r="L32" s="32"/>
    </row>
    <row r="33" spans="1:12" ht="15.5" x14ac:dyDescent="0.35">
      <c r="A33" s="21">
        <v>6</v>
      </c>
      <c r="B33" s="31" t="s">
        <v>188</v>
      </c>
      <c r="C33" s="3" t="s">
        <v>172</v>
      </c>
      <c r="D33" s="39">
        <v>41</v>
      </c>
      <c r="E33" s="21"/>
      <c r="F33" s="21"/>
      <c r="G33" s="21"/>
      <c r="L33" s="32"/>
    </row>
    <row r="34" spans="1:12" ht="15.5" x14ac:dyDescent="0.35">
      <c r="A34" s="21">
        <v>7</v>
      </c>
      <c r="B34" s="31" t="s">
        <v>188</v>
      </c>
      <c r="C34" s="3" t="s">
        <v>172</v>
      </c>
      <c r="D34" s="39">
        <v>12</v>
      </c>
      <c r="E34" s="21"/>
      <c r="F34" s="21"/>
      <c r="G34" s="21"/>
      <c r="L34" s="32"/>
    </row>
    <row r="35" spans="1:12" ht="15.5" x14ac:dyDescent="0.35">
      <c r="A35" s="21">
        <v>8</v>
      </c>
      <c r="B35" s="31" t="s">
        <v>191</v>
      </c>
      <c r="C35" s="3" t="s">
        <v>177</v>
      </c>
      <c r="D35" s="39">
        <v>5</v>
      </c>
      <c r="E35" s="21"/>
      <c r="F35" s="21"/>
      <c r="G35" s="21"/>
      <c r="L35" s="32"/>
    </row>
    <row r="36" spans="1:12" ht="15.5" x14ac:dyDescent="0.35">
      <c r="A36" s="21">
        <v>9</v>
      </c>
      <c r="B36" s="31" t="s">
        <v>182</v>
      </c>
      <c r="C36" s="3" t="s">
        <v>154</v>
      </c>
      <c r="D36" s="39">
        <v>7</v>
      </c>
      <c r="E36" s="21"/>
      <c r="F36" s="21"/>
      <c r="G36" s="21"/>
      <c r="L36" s="32"/>
    </row>
    <row r="37" spans="1:12" ht="15" x14ac:dyDescent="0.35">
      <c r="A37" s="108" t="s">
        <v>103</v>
      </c>
      <c r="B37" s="141"/>
      <c r="C37" s="141"/>
      <c r="D37" s="141"/>
      <c r="E37" s="141"/>
      <c r="F37" s="141"/>
      <c r="G37" s="109"/>
    </row>
    <row r="38" spans="1:12" ht="15.5" x14ac:dyDescent="0.35">
      <c r="A38" s="21">
        <v>1</v>
      </c>
      <c r="B38" s="138" t="s">
        <v>104</v>
      </c>
      <c r="C38" s="139"/>
      <c r="D38" s="139"/>
      <c r="E38" s="139"/>
      <c r="F38" s="140"/>
      <c r="G38" s="3" t="s">
        <v>163</v>
      </c>
    </row>
    <row r="39" spans="1:12" ht="15.5" x14ac:dyDescent="0.35">
      <c r="A39" s="21">
        <v>2</v>
      </c>
      <c r="B39" s="138" t="s">
        <v>105</v>
      </c>
      <c r="C39" s="139"/>
      <c r="D39" s="139"/>
      <c r="E39" s="139"/>
      <c r="F39" s="140"/>
      <c r="G39" s="3" t="s">
        <v>164</v>
      </c>
    </row>
    <row r="40" spans="1:12" ht="15.5" x14ac:dyDescent="0.35">
      <c r="A40" s="21">
        <v>3</v>
      </c>
      <c r="B40" s="138" t="s">
        <v>106</v>
      </c>
      <c r="C40" s="139"/>
      <c r="D40" s="139"/>
      <c r="E40" s="139"/>
      <c r="F40" s="140"/>
      <c r="G40" s="3" t="s">
        <v>165</v>
      </c>
    </row>
    <row r="41" spans="1:12" ht="15.5" x14ac:dyDescent="0.35">
      <c r="A41" s="21">
        <v>4</v>
      </c>
      <c r="B41" s="138" t="s">
        <v>107</v>
      </c>
      <c r="C41" s="139"/>
      <c r="D41" s="139"/>
      <c r="E41" s="139"/>
      <c r="F41" s="140"/>
      <c r="G41" s="3" t="s">
        <v>166</v>
      </c>
    </row>
  </sheetData>
  <mergeCells count="25">
    <mergeCell ref="E25:F25"/>
    <mergeCell ref="A1:G1"/>
    <mergeCell ref="A2:B2"/>
    <mergeCell ref="A3:A5"/>
    <mergeCell ref="B3:B5"/>
    <mergeCell ref="C3:C5"/>
    <mergeCell ref="D3:D5"/>
    <mergeCell ref="E3:F3"/>
    <mergeCell ref="G3:G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2024-10-27T11:09:19Z</dcterms:modified>
</cp:coreProperties>
</file>