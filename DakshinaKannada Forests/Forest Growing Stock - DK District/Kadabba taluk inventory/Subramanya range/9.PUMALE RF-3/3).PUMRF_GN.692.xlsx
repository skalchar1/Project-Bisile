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420" windowHeight="7650" activeTab="5"/>
  </bookViews>
  <sheets>
    <sheet name="Form-1" sheetId="12" r:id="rId1"/>
    <sheet name="Form-2" sheetId="13" r:id="rId2"/>
    <sheet name="F-III A1" sheetId="15" r:id="rId3"/>
    <sheet name="FIII A2 (2)" sheetId="16" r:id="rId4"/>
    <sheet name="F-B" sheetId="8" r:id="rId5"/>
    <sheet name="Form C" sheetId="9" r:id="rId6"/>
    <sheet name="Form 8" sheetId="10" r:id="rId7"/>
    <sheet name="NTFP-Med Plant" sheetId="11" r:id="rId8"/>
    <sheet name="Canes" sheetId="14" r:id="rId9"/>
  </sheets>
  <externalReferences>
    <externalReference r:id="rId10"/>
    <externalReference r:id="rId11"/>
    <externalReference r:id="rId12"/>
  </externalReferences>
  <definedNames>
    <definedName name="_xlnm.Print_Titles" localSheetId="4">'F-B'!$1:$1</definedName>
    <definedName name="_xlnm.Print_Titles" localSheetId="2">'F-III A1'!$9:$10</definedName>
    <definedName name="_xlnm.Print_Titles" localSheetId="5">'Form C'!$1:$1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5" l="1"/>
  <c r="K6" i="15"/>
  <c r="G7" i="15"/>
  <c r="C7" i="15"/>
  <c r="G6" i="15"/>
  <c r="C6" i="15"/>
  <c r="C5" i="15"/>
  <c r="C13" i="9" l="1"/>
  <c r="F1" i="9"/>
  <c r="C2" i="8"/>
  <c r="C11" i="8" s="1"/>
  <c r="C21" i="8" s="1"/>
  <c r="C27" i="8" s="1"/>
  <c r="C7" i="13" l="1"/>
  <c r="C10" i="13"/>
  <c r="C12" i="13"/>
  <c r="C11" i="13"/>
  <c r="B11" i="8" l="1"/>
  <c r="B27" i="8"/>
  <c r="B21" i="8"/>
</calcChain>
</file>

<file path=xl/sharedStrings.xml><?xml version="1.0" encoding="utf-8"?>
<sst xmlns="http://schemas.openxmlformats.org/spreadsheetml/2006/main" count="453" uniqueCount="278">
  <si>
    <t>Form I</t>
  </si>
  <si>
    <t>PLOT APPROACH FORM</t>
  </si>
  <si>
    <t>Heading</t>
  </si>
  <si>
    <t>Description</t>
  </si>
  <si>
    <t>Journey/approach to the plot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</si>
  <si>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</si>
  <si>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</si>
  <si>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</si>
  <si>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</si>
  <si>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</si>
  <si>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</si>
  <si>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Soil data</t>
  </si>
  <si>
    <t>Faunal sighting, if any</t>
  </si>
  <si>
    <t>Faunal traces of flagship species.</t>
  </si>
  <si>
    <t>1(3)</t>
  </si>
  <si>
    <t>2(2)</t>
  </si>
  <si>
    <t>3(6)</t>
  </si>
  <si>
    <t>4(6)</t>
  </si>
  <si>
    <t>7(1)</t>
  </si>
  <si>
    <t>10(3)</t>
  </si>
  <si>
    <t>Date:-</t>
  </si>
  <si>
    <t>Note:-</t>
  </si>
  <si>
    <t>Job No.</t>
  </si>
  <si>
    <t>9(1)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</si>
  <si>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</si>
  <si>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</si>
  <si>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</si>
  <si>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</si>
  <si>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</si>
  <si>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</si>
  <si>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</si>
  <si>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</si>
  <si>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</si>
  <si>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</si>
  <si>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</si>
  <si>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</si>
  <si>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</si>
  <si>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</si>
  <si>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</si>
  <si>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</si>
  <si>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</si>
  <si>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</si>
  <si>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 xml:space="preserve">SOUTH EAST CORNER </t>
  </si>
  <si>
    <t>NORTH WEST CORNER</t>
  </si>
  <si>
    <t xml:space="preserve">          PLOT ENUMERATION FORM – C (1m X 1m Plot)    Grid No: </t>
  </si>
  <si>
    <t>Height  (in cm)</t>
  </si>
  <si>
    <t>Remarks, if any, about the condition of herbal vegetation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</si>
  <si>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</si>
  <si>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</si>
  <si>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</si>
  <si>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</si>
  <si>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</si>
  <si>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</si>
  <si>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</si>
  <si>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</si>
  <si>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</si>
  <si>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</si>
  <si>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</si>
  <si>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</si>
  <si>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</si>
  <si>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</si>
  <si>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</si>
  <si>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Stump Information*</t>
  </si>
  <si>
    <t>Dead wood information*</t>
  </si>
  <si>
    <t>Species code</t>
  </si>
  <si>
    <t>8(4)</t>
  </si>
  <si>
    <t>11(3)</t>
  </si>
  <si>
    <t>12(4)</t>
  </si>
  <si>
    <t>13(3)</t>
  </si>
  <si>
    <t>14(3)</t>
  </si>
  <si>
    <t>Signature of the Crew</t>
  </si>
  <si>
    <t>Leader:-</t>
  </si>
  <si>
    <t>i)</t>
  </si>
  <si>
    <t>Firt Number in the row below the field headings represents the column number and the number inside the bracket represents the column width</t>
  </si>
  <si>
    <t>Distance of Grid Centre from reference tree</t>
  </si>
  <si>
    <t>NTFP/Medicinal plants information</t>
  </si>
  <si>
    <t>Tree SPP</t>
  </si>
  <si>
    <t>Shrub</t>
  </si>
  <si>
    <t>hurb</t>
  </si>
  <si>
    <t>Climber</t>
  </si>
  <si>
    <t>Lichenes</t>
  </si>
  <si>
    <t xml:space="preserve">Parts used </t>
  </si>
  <si>
    <t>(         /        /                )</t>
  </si>
  <si>
    <t xml:space="preserve">Block and/or beat </t>
  </si>
  <si>
    <t xml:space="preserve">Compartment </t>
  </si>
  <si>
    <t xml:space="preserve">Ocular stock assessment </t>
  </si>
  <si>
    <t>(2) Aspect - North/South/East/ West/North-East/South-East /North-West/South-west</t>
  </si>
  <si>
    <t xml:space="preserve">(3) Canopy Density -  % </t>
  </si>
  <si>
    <t>Refrence  Tree Sl No</t>
  </si>
  <si>
    <t>S.No</t>
  </si>
  <si>
    <r>
      <rPr>
        <b/>
        <u/>
        <sz val="11"/>
        <color rgb="FF000000"/>
        <rFont val="Calibri"/>
        <family val="2"/>
      </rPr>
      <t>Legal status</t>
    </r>
    <r>
      <rPr>
        <sz val="11"/>
        <color rgb="FF000000"/>
        <rFont val="Calibri"/>
        <family val="2"/>
      </rPr>
      <t xml:space="preserve"> - Reserve Forest / Protected Forest/ Un classed Forest /Private Forest/ Private Land</t>
    </r>
  </si>
  <si>
    <r>
      <rPr>
        <b/>
        <u/>
        <sz val="11"/>
        <color rgb="FF000000"/>
        <rFont val="Calibri"/>
        <family val="2"/>
      </rPr>
      <t>Land Use</t>
    </r>
    <r>
      <rPr>
        <sz val="11"/>
        <color rgb="FF000000"/>
        <rFont val="Calibri"/>
        <family val="2"/>
      </rPr>
      <t xml:space="preserve"> - Closed Forest /Dense Forest /Open Forest / Bamboo Forest/Grass land/Forest Roads/Scrub Forest</t>
    </r>
  </si>
  <si>
    <r>
      <rPr>
        <b/>
        <u/>
        <sz val="11"/>
        <color rgb="FF000000"/>
        <rFont val="Calibri"/>
        <family val="2"/>
      </rPr>
      <t>General topography</t>
    </r>
    <r>
      <rPr>
        <sz val="11"/>
        <color rgb="FF000000"/>
        <rFont val="Calibri"/>
        <family val="2"/>
      </rPr>
      <t xml:space="preserve"> : (Flat / Gently rolling / Hilly /Very Hilly/ Ravines / Gullies</t>
    </r>
  </si>
  <si>
    <r>
      <rPr>
        <b/>
        <u/>
        <sz val="11"/>
        <color rgb="FF000000"/>
        <rFont val="Calibri"/>
        <family val="2"/>
      </rPr>
      <t>Slope(in degrees</t>
    </r>
    <r>
      <rPr>
        <sz val="11"/>
        <color rgb="FF000000"/>
        <rFont val="Calibri"/>
        <family val="2"/>
      </rPr>
      <t>):Upto 3° /4°-15°/16°-40°/41° and Above)</t>
    </r>
  </si>
  <si>
    <r>
      <rPr>
        <b/>
        <u/>
        <sz val="11"/>
        <color rgb="FF000000"/>
        <rFont val="Calibri"/>
        <family val="2"/>
      </rPr>
      <t>Aspect</t>
    </r>
    <r>
      <rPr>
        <sz val="11"/>
        <color rgb="FF000000"/>
        <rFont val="Calibri"/>
        <family val="2"/>
      </rPr>
      <t xml:space="preserve"> - North/South/East/ West/North-East/South-East /North-West/South-west</t>
    </r>
  </si>
  <si>
    <r>
      <rPr>
        <b/>
        <u/>
        <sz val="11"/>
        <color rgb="FF000000"/>
        <rFont val="Calibri"/>
        <family val="2"/>
      </rPr>
      <t>Soil erosion</t>
    </r>
    <r>
      <rPr>
        <sz val="11"/>
        <color rgb="FF000000"/>
        <rFont val="Calibri"/>
        <family val="2"/>
      </rPr>
      <t xml:space="preserve"> : Heavy / Moderate /Mild /No erosion</t>
    </r>
  </si>
  <si>
    <r>
      <rPr>
        <b/>
        <u/>
        <sz val="11"/>
        <color rgb="FF000000"/>
        <rFont val="Calibri"/>
        <family val="2"/>
      </rPr>
      <t>Crop composition</t>
    </r>
    <r>
      <rPr>
        <sz val="11"/>
        <color rgb="FF000000"/>
        <rFont val="Calibri"/>
        <family val="2"/>
      </rPr>
      <t xml:space="preserve"> : </t>
    </r>
  </si>
  <si>
    <r>
      <rPr>
        <b/>
        <u/>
        <sz val="11"/>
        <color rgb="FF000000"/>
        <rFont val="Calibri"/>
        <family val="2"/>
      </rPr>
      <t>Regeneration status</t>
    </r>
    <r>
      <rPr>
        <sz val="11"/>
        <color rgb="FF000000"/>
        <rFont val="Calibri"/>
        <family val="2"/>
      </rPr>
      <t xml:space="preserve"> : Adequate/ Moderate/ Poor /Absent</t>
    </r>
  </si>
  <si>
    <r>
      <rPr>
        <b/>
        <u/>
        <sz val="11"/>
        <color rgb="FF000000"/>
        <rFont val="Calibri"/>
        <family val="2"/>
      </rPr>
      <t>Injury/ damage to crop, if any</t>
    </r>
    <r>
      <rPr>
        <sz val="11"/>
        <color rgb="FF000000"/>
        <rFont val="Calibri"/>
        <family val="2"/>
      </rPr>
      <t xml:space="preserve"> : Top drying /Insect attack/Fungal infection/Leaf defoliator /  Lopping / Girdling / Scarring / Damage by natural calamities / Damage by Wild life / Damage by Fire / None</t>
    </r>
  </si>
  <si>
    <r>
      <rPr>
        <b/>
        <u/>
        <sz val="11"/>
        <color rgb="FF000000"/>
        <rFont val="Calibri"/>
        <family val="2"/>
      </rPr>
      <t>Grazing incidence</t>
    </r>
    <r>
      <rPr>
        <sz val="11"/>
        <color rgb="FF000000"/>
        <rFont val="Calibri"/>
        <family val="2"/>
      </rPr>
      <t xml:space="preserve"> : Heavy / Moderate / Light / None</t>
    </r>
  </si>
  <si>
    <r>
      <t>Presence of grasses</t>
    </r>
    <r>
      <rPr>
        <sz val="11"/>
        <color rgb="FF000000"/>
        <rFont val="Calibri"/>
        <family val="2"/>
      </rPr>
      <t xml:space="preserve"> : Very dense / Dense / Moderate / Scanty / Absent</t>
    </r>
  </si>
  <si>
    <r>
      <rPr>
        <b/>
        <u/>
        <sz val="11"/>
        <color rgb="FF000000"/>
        <rFont val="Calibri"/>
        <family val="2"/>
      </rPr>
      <t>Presence of weeds</t>
    </r>
    <r>
      <rPr>
        <sz val="11"/>
        <color rgb="FF000000"/>
        <rFont val="Calibri"/>
        <family val="2"/>
      </rPr>
      <t xml:space="preserve"> : Very dense / Dense / Moderate / Scanty / Absent</t>
    </r>
  </si>
  <si>
    <t>Heavily degrated/ Moderately degrated / Mildly degrated /Not degrated</t>
  </si>
  <si>
    <t xml:space="preserve">Canopy Density -  % </t>
  </si>
  <si>
    <r>
      <rPr>
        <b/>
        <u/>
        <sz val="11"/>
        <color rgb="FF000000"/>
        <rFont val="Calibri"/>
        <family val="2"/>
      </rPr>
      <t>Drivers of degradation</t>
    </r>
    <r>
      <rPr>
        <sz val="11"/>
        <color rgb="FF000000"/>
        <rFont val="Calibri"/>
        <family val="2"/>
      </rPr>
      <t xml:space="preserve"> </t>
    </r>
    <r>
      <rPr>
        <b/>
        <u/>
        <sz val="11"/>
        <color rgb="FF000000"/>
        <rFont val="Calibri"/>
        <family val="2"/>
      </rPr>
      <t>&amp; Biotic Influence</t>
    </r>
    <r>
      <rPr>
        <sz val="11"/>
        <color rgb="FF000000"/>
        <rFont val="Calibri"/>
        <family val="2"/>
      </rPr>
      <t xml:space="preserve"> :  
</t>
    </r>
  </si>
  <si>
    <t>Sub-plot number*</t>
  </si>
  <si>
    <t>DBH/Dia (cm)</t>
  </si>
  <si>
    <t>Height    (in cm.)</t>
  </si>
  <si>
    <t>Dia (in.cm)</t>
  </si>
  <si>
    <t>Satus of stump (alive/dead)</t>
  </si>
  <si>
    <t xml:space="preserve">    PLOT ENUMERATION FORM – B (3m X 3m Plot)       </t>
  </si>
  <si>
    <t>Approx. weight or Nos.</t>
  </si>
  <si>
    <t xml:space="preserve">Part of the plant body </t>
  </si>
  <si>
    <t>Sl No</t>
  </si>
  <si>
    <t xml:space="preserve">Canes information </t>
  </si>
  <si>
    <t>CAzÁdÄ ¸ÀASÉå</t>
  </si>
  <si>
    <t>PÀæ.¸ÀA.</t>
  </si>
  <si>
    <t>¨ÉvÀÛzÀ eÁwAiÀÄ ¸ÀÜ½ÃAiÀÄ ºÉ¸ÀgÀÄ</t>
  </si>
  <si>
    <t>Sl.No.</t>
  </si>
  <si>
    <t>Cane Species Local Name</t>
  </si>
  <si>
    <t>Botanical Name</t>
  </si>
  <si>
    <t>Aproximate Nos</t>
  </si>
  <si>
    <t>s¸À¸Àå±Á¹ÛçÃAiÀÄ ºÉ¸ÀgÀÄ</t>
  </si>
  <si>
    <t>Range</t>
  </si>
  <si>
    <t>Grid No.</t>
  </si>
  <si>
    <t xml:space="preserve">LATITUDE(dd.dddd) </t>
  </si>
  <si>
    <t xml:space="preserve">LONGITUDE (dd.dddd) </t>
  </si>
  <si>
    <r>
      <rPr>
        <b/>
        <u/>
        <sz val="12"/>
        <color rgb="FF000000"/>
        <rFont val="Calibri"/>
        <family val="2"/>
      </rPr>
      <t>Slope</t>
    </r>
    <r>
      <rPr>
        <sz val="12"/>
        <color rgb="FF000000"/>
        <rFont val="Calibri"/>
        <family val="2"/>
      </rPr>
      <t xml:space="preserve">  - Upto 3° /4°-15°/16°-40°/41° and Above)</t>
    </r>
  </si>
  <si>
    <r>
      <rPr>
        <b/>
        <u/>
        <sz val="12"/>
        <color rgb="FF000000"/>
        <rFont val="Calibri"/>
        <family val="2"/>
      </rPr>
      <t>(1)Tract</t>
    </r>
    <r>
      <rPr>
        <sz val="12"/>
        <color rgb="FF000000"/>
        <rFont val="Calibri"/>
        <family val="2"/>
      </rPr>
      <t xml:space="preserve"> - Write Flat/Gently Rolling / Hilly / Very hilly / Gullies / Ravines </t>
    </r>
  </si>
  <si>
    <t>( &gt;0.75 / 0.5-0.75 / &lt;0.5)</t>
  </si>
  <si>
    <r>
      <t xml:space="preserve">(4) </t>
    </r>
    <r>
      <rPr>
        <b/>
        <u/>
        <sz val="12"/>
        <color rgb="FF000000"/>
        <rFont val="Calibri"/>
        <family val="2"/>
      </rPr>
      <t>Rock</t>
    </r>
    <r>
      <rPr>
        <sz val="12"/>
        <color rgb="FF000000"/>
        <rFont val="Calibri"/>
        <family val="2"/>
      </rPr>
      <t xml:space="preserve"> - Igneous Rocks ( Agni Shilegalu) / Sedementary Rocks ( Padara Shilegalu ) / Metamorphic Rocks ( Parivartita Silegalu)</t>
    </r>
  </si>
  <si>
    <r>
      <rPr>
        <b/>
        <u/>
        <sz val="12"/>
        <color rgb="FF000000"/>
        <rFont val="Calibri"/>
        <family val="2"/>
      </rPr>
      <t xml:space="preserve">Soil Type </t>
    </r>
    <r>
      <rPr>
        <sz val="12"/>
        <color rgb="FF000000"/>
        <rFont val="Calibri"/>
        <family val="2"/>
      </rPr>
      <t>: Red Sandy loam ( Maralu Mishrita Kempu Mannu ) / Black Sandy Loam ( Maralu Mishrita Kappu Mannu) / Red Clay Soil ( Kempu Jedi Mannu ) / Black Clay Soil ( Kappu Jedi Mannu ) / Laterite Soil ( Jambittige Mannu )</t>
    </r>
  </si>
  <si>
    <r>
      <rPr>
        <u/>
        <sz val="12"/>
        <color rgb="FF000000"/>
        <rFont val="Calibri"/>
        <family val="2"/>
      </rPr>
      <t xml:space="preserve">(5) </t>
    </r>
    <r>
      <rPr>
        <b/>
        <u/>
        <sz val="12"/>
        <color rgb="FF000000"/>
        <rFont val="Calibri"/>
        <family val="2"/>
      </rPr>
      <t>Grasses</t>
    </r>
    <r>
      <rPr>
        <sz val="12"/>
        <color rgb="FF000000"/>
        <rFont val="Calibri"/>
        <family val="2"/>
      </rPr>
      <t>- Write the Name of  the Grass Present</t>
    </r>
  </si>
  <si>
    <r>
      <rPr>
        <b/>
        <u/>
        <sz val="12"/>
        <color rgb="FF000000"/>
        <rFont val="Calibri"/>
        <family val="2"/>
      </rPr>
      <t>(6) weeds</t>
    </r>
    <r>
      <rPr>
        <sz val="12"/>
        <color rgb="FF000000"/>
        <rFont val="Calibri"/>
        <family val="2"/>
      </rPr>
      <t>- Write the Name of  the Weeds Present</t>
    </r>
  </si>
  <si>
    <t>Eg : Hambuhullu,Garike hullu, Karada hullu Etc.</t>
  </si>
  <si>
    <t>Eg : Eupatorium,Chaduranga  Etc.</t>
  </si>
  <si>
    <t>Name Of the Bamboo Sps Eg. Hebbidiru,Kirubidiru,Douga Bidiru Etc.</t>
  </si>
  <si>
    <r>
      <t xml:space="preserve">(7) </t>
    </r>
    <r>
      <rPr>
        <b/>
        <u/>
        <sz val="12"/>
        <color rgb="FF000000"/>
        <rFont val="Calibri"/>
        <family val="2"/>
      </rPr>
      <t>Bamboos</t>
    </r>
    <r>
      <rPr>
        <sz val="12"/>
        <color rgb="FF000000"/>
        <rFont val="Calibri"/>
        <family val="2"/>
      </rPr>
      <t xml:space="preserve"> - Write Present / Absent</t>
    </r>
  </si>
  <si>
    <t>Large Quantity / Medium Quantity / Small Quantity</t>
  </si>
  <si>
    <r>
      <rPr>
        <b/>
        <u/>
        <sz val="12"/>
        <color rgb="FF000000"/>
        <rFont val="Calibri"/>
        <family val="2"/>
      </rPr>
      <t>(8) Herbs</t>
    </r>
    <r>
      <rPr>
        <sz val="12"/>
        <color rgb="FF000000"/>
        <rFont val="Calibri"/>
        <family val="2"/>
      </rPr>
      <t>- write which Herb Sps present</t>
    </r>
  </si>
  <si>
    <r>
      <rPr>
        <b/>
        <u/>
        <sz val="12"/>
        <color rgb="FF000000"/>
        <rFont val="Calibri"/>
        <family val="2"/>
      </rPr>
      <t>(10) Underwood  Species</t>
    </r>
    <r>
      <rPr>
        <sz val="12"/>
        <color rgb="FF000000"/>
        <rFont val="Calibri"/>
        <family val="2"/>
      </rPr>
      <t>- Write the Name Of the Plants which do not grow as trees</t>
    </r>
  </si>
  <si>
    <r>
      <rPr>
        <b/>
        <u/>
        <sz val="12"/>
        <color rgb="FF000000"/>
        <rFont val="Calibri"/>
        <family val="2"/>
      </rPr>
      <t>(11) Climbers</t>
    </r>
    <r>
      <rPr>
        <sz val="12"/>
        <color rgb="FF000000"/>
        <rFont val="Calibri"/>
        <family val="2"/>
      </rPr>
      <t>- Write the Names of the Ballis Eg ; Kalu menasu Balli,Kumsanaballi Etc.</t>
    </r>
  </si>
  <si>
    <t>Write High / medium / less / Absent</t>
  </si>
  <si>
    <r>
      <t xml:space="preserve"> </t>
    </r>
    <r>
      <rPr>
        <b/>
        <u/>
        <sz val="12"/>
        <color rgb="FF000000"/>
        <rFont val="Calibri"/>
        <family val="2"/>
      </rPr>
      <t>(13) NTFP yielding Sps -</t>
    </r>
    <r>
      <rPr>
        <sz val="12"/>
        <color rgb="FF000000"/>
        <rFont val="Calibri"/>
        <family val="2"/>
      </rPr>
      <t xml:space="preserve">  Write the Names of the Plants which give Kiru Aranya Utpanna Eg ; Dalchinni,Halmaddi Mara,Dhupada Mara,Ram patre Mara</t>
    </r>
  </si>
  <si>
    <r>
      <rPr>
        <b/>
        <u/>
        <sz val="12"/>
        <color rgb="FF000000"/>
        <rFont val="Calibri"/>
        <family val="2"/>
      </rPr>
      <t xml:space="preserve"> (12) Rattans </t>
    </r>
    <r>
      <rPr>
        <b/>
        <sz val="12"/>
        <color rgb="FF000000"/>
        <rFont val="Calibri"/>
        <family val="2"/>
      </rPr>
      <t>-</t>
    </r>
    <r>
      <rPr>
        <sz val="12"/>
        <color rgb="FF000000"/>
        <rFont val="Calibri"/>
        <family val="2"/>
      </rPr>
      <t xml:space="preserve"> Write the Names of the Betta Eg ; Handi bette / Halu Betta / Nagabetta / Nayi Betta  Etc.</t>
    </r>
  </si>
  <si>
    <r>
      <t>(9) Shrubs</t>
    </r>
    <r>
      <rPr>
        <sz val="12"/>
        <color rgb="FF000000"/>
        <rFont val="Calibri"/>
        <family val="2"/>
      </rPr>
      <t xml:space="preserve"> -  write which Herb Plants  present</t>
    </r>
  </si>
  <si>
    <t xml:space="preserve">Write About the Speciality Of the Forest </t>
  </si>
  <si>
    <t>Write About the Number Of Head loads (tale Hore ) Fuel wood ( Kttige ) collected by local people per year</t>
  </si>
  <si>
    <t>Grid N.</t>
  </si>
  <si>
    <t xml:space="preserve">Block and or beat </t>
  </si>
  <si>
    <t xml:space="preserve">ALTTTUDE </t>
  </si>
  <si>
    <r>
      <rPr>
        <b/>
        <u/>
        <sz val="11"/>
        <color rgb="FF000000"/>
        <rFont val="Calibri"/>
        <family val="2"/>
      </rPr>
      <t>Rock and geology</t>
    </r>
    <r>
      <rPr>
        <sz val="11"/>
        <color rgb="FF000000"/>
        <rFont val="Calibri"/>
        <family val="2"/>
      </rPr>
      <t xml:space="preserve"> -  Igneous Rocks ( Agni Shilegalu) / Sedementary Rocks ( Padara Shilegalu ) / Metamorphic Rocks ( Parivartita Shilegalu)</t>
    </r>
  </si>
  <si>
    <r>
      <rPr>
        <b/>
        <u/>
        <sz val="12"/>
        <color rgb="FF000000"/>
        <rFont val="Calibri"/>
        <family val="2"/>
      </rPr>
      <t xml:space="preserve">Soil Depth </t>
    </r>
    <r>
      <rPr>
        <sz val="12"/>
        <color rgb="FF000000"/>
        <rFont val="Calibri"/>
        <family val="2"/>
      </rPr>
      <t>: write about upto how much Centimeter depth Soil is Present</t>
    </r>
  </si>
  <si>
    <r>
      <rPr>
        <b/>
        <u/>
        <sz val="12"/>
        <color rgb="FF000000"/>
        <rFont val="Calibri"/>
        <family val="2"/>
      </rPr>
      <t>Soil Permiability</t>
    </r>
    <r>
      <rPr>
        <sz val="12"/>
        <color rgb="FF000000"/>
        <rFont val="Calibri"/>
        <family val="2"/>
      </rPr>
      <t xml:space="preserve">  : Low / Medium / High</t>
    </r>
  </si>
  <si>
    <t>Write the Name of the Trees Present in the Plot Starting from Highest Numbers to Lowest Numbers</t>
  </si>
  <si>
    <r>
      <rPr>
        <b/>
        <u/>
        <sz val="12"/>
        <color rgb="FF000000"/>
        <rFont val="Calibri"/>
        <family val="2"/>
      </rPr>
      <t>Presence Of  Bamboos</t>
    </r>
    <r>
      <rPr>
        <sz val="12"/>
        <color rgb="FF000000"/>
        <rFont val="Calibri"/>
        <family val="2"/>
      </rPr>
      <t xml:space="preserve"> - Write Present / Absent</t>
    </r>
  </si>
  <si>
    <t>Name Of the Bamboo Sps Eg. Hebbidiru,Kirubidiru, Douga Bidiru Etc.</t>
  </si>
  <si>
    <r>
      <t xml:space="preserve">Plantation status </t>
    </r>
    <r>
      <rPr>
        <sz val="11"/>
        <color rgb="FF000000"/>
        <rFont val="Calibri"/>
        <family val="2"/>
      </rPr>
      <t>: Write Yes if Plantation Present and Year and Type Of Plantation.If Plantation Absent write as Absent</t>
    </r>
  </si>
  <si>
    <r>
      <t>Presence Of Invasive Species</t>
    </r>
    <r>
      <rPr>
        <sz val="11"/>
        <color rgb="FF000000"/>
        <rFont val="Calibri"/>
        <family val="2"/>
      </rPr>
      <t xml:space="preserve"> : Write abouut the dominant Plants/Climbers which do not allow the other main plants / Trees to grow</t>
    </r>
  </si>
  <si>
    <r>
      <t xml:space="preserve">water bodies </t>
    </r>
    <r>
      <rPr>
        <sz val="11"/>
        <color rgb="FF000000"/>
        <rFont val="Calibri"/>
        <family val="2"/>
      </rPr>
      <t>: Write whether River / Halla is prsent in which direction from the Plot.If River / Halla Absent write Absent</t>
    </r>
  </si>
  <si>
    <t>Plot Hakuv jagadalli aranyakke yavudarinda haniyagide endu bareyabeku. Gidamaragala tudi Onguvikeyinda / Keetagala Havaliyinda / Fangas Havaliyinda / Gidamaragala Tale Kadiyuvudrinda / Maragal Akrama Kaditaleyinda / Gidamaragala togate tegeyuvudrinda / Kadu praniglinda / kadina benkiyinda / januvarugala havaliyinda / Bhukampanadinda / Bhukusitadinda / Ganigarikeyinda / aranya ottuvariyinda / Pravahadinda</t>
  </si>
  <si>
    <t>Plot hakuvaga Kadupranigalu kandre avugala hesaru bare</t>
  </si>
  <si>
    <t xml:space="preserve"> ( &gt;0.75 / 0.5-0.75 / &lt;0.5)</t>
  </si>
  <si>
    <t>Plot Hakuva Jagadalli Kadupranigalu gida/marada mele kered gurutu/ Bhumimele hejje gurutu,Mala visarjane gurutu kandu bandare adara bagge bare</t>
  </si>
  <si>
    <t>Aprox qty/No ( grams/ Kgs )</t>
  </si>
  <si>
    <t xml:space="preserve">Kiru aranya Utpannagalnnu needuva gidagalu/maragalu mattu oushadhiya gidagalu/maragalu </t>
  </si>
  <si>
    <t>Bettagala  Bagge Mahiti Bareyuvudu</t>
  </si>
  <si>
    <t>salle,kiralbhogi,shanthi,sattaga jambe,hunalu,group of salle,vaate,ram pathre,hebbidiru,</t>
  </si>
  <si>
    <t>hilly</t>
  </si>
  <si>
    <t>4-15'</t>
  </si>
  <si>
    <t>south west</t>
  </si>
  <si>
    <t>1m</t>
  </si>
  <si>
    <t>high</t>
  </si>
  <si>
    <t>black soil ,maralu mishritha</t>
  </si>
  <si>
    <t>thapre,hambu hullu</t>
  </si>
  <si>
    <t>madambadi,</t>
  </si>
  <si>
    <t>present,hebbidiru ,medium quantity</t>
  </si>
  <si>
    <t>salle,madambadi,anavu,katol,</t>
  </si>
  <si>
    <t>hulishedru,hurag,ondelaga,</t>
  </si>
  <si>
    <t>salle,Hulisedru, katol,</t>
  </si>
  <si>
    <t>kumsan balli,navkatte balli,injuru balli,kadumenasu balli,</t>
  </si>
  <si>
    <t>absent</t>
  </si>
  <si>
    <t>group of salle ,group of vaate,kiral bhogi</t>
  </si>
  <si>
    <t>no</t>
  </si>
  <si>
    <t>chiruve</t>
  </si>
  <si>
    <t>reserve forest</t>
  </si>
  <si>
    <t>dense forest</t>
  </si>
  <si>
    <t>sedimentory rocks</t>
  </si>
  <si>
    <t>igneous rocks</t>
  </si>
  <si>
    <t>eliphant and kadu konada foot prints</t>
  </si>
  <si>
    <t>eliphant seen</t>
  </si>
  <si>
    <t>kaddya hole</t>
  </si>
  <si>
    <t>injuru balli navakatte bal,injur balli</t>
  </si>
  <si>
    <t>scanty</t>
  </si>
  <si>
    <t>fungal infection</t>
  </si>
  <si>
    <t>moderate</t>
  </si>
  <si>
    <t>mild</t>
  </si>
  <si>
    <t>150cm</t>
  </si>
  <si>
    <t>red sandy soil.</t>
  </si>
  <si>
    <t>madambadi</t>
  </si>
  <si>
    <t xml:space="preserve">madambadi </t>
  </si>
  <si>
    <t>salle</t>
  </si>
  <si>
    <t>bhogi</t>
  </si>
  <si>
    <t>30gm</t>
  </si>
  <si>
    <t>20gm</t>
  </si>
  <si>
    <t>10gm</t>
  </si>
  <si>
    <t>40gm</t>
  </si>
  <si>
    <t>50gm</t>
  </si>
  <si>
    <t>hedagalu</t>
  </si>
  <si>
    <t>akkiharakalu</t>
  </si>
  <si>
    <t>15gm</t>
  </si>
  <si>
    <t>100gm</t>
  </si>
  <si>
    <t>1.6kg</t>
  </si>
  <si>
    <t>2.67kg</t>
  </si>
  <si>
    <t>.30gm</t>
  </si>
  <si>
    <t>103gm</t>
  </si>
  <si>
    <t>.987kg</t>
  </si>
  <si>
    <t>1.34kg</t>
  </si>
  <si>
    <t>.50gm</t>
  </si>
  <si>
    <t>35gm</t>
  </si>
  <si>
    <t>hunalu</t>
  </si>
  <si>
    <t>length of the log in m</t>
  </si>
  <si>
    <t>sattaga</t>
  </si>
  <si>
    <t>muju</t>
  </si>
  <si>
    <t>1o</t>
  </si>
  <si>
    <t>ranja</t>
  </si>
  <si>
    <t>maddarasa</t>
  </si>
  <si>
    <t>kumsanballi</t>
  </si>
  <si>
    <t>Sullia</t>
  </si>
  <si>
    <t>Pumale RF</t>
  </si>
  <si>
    <t xml:space="preserve">12.5786
</t>
  </si>
  <si>
    <t>Aporousa lindleyana</t>
  </si>
  <si>
    <t>Terminalia paniculata</t>
  </si>
  <si>
    <t>Tabernaemontana heneyana</t>
  </si>
  <si>
    <t>Calycopteris floribunda</t>
  </si>
  <si>
    <t>Mimusops elenji</t>
  </si>
  <si>
    <r>
      <t xml:space="preserve">Name of Division: </t>
    </r>
    <r>
      <rPr>
        <sz val="12"/>
        <color rgb="FF000000"/>
        <rFont val="Calibri"/>
        <family val="2"/>
      </rPr>
      <t>Mangaluru</t>
    </r>
  </si>
  <si>
    <r>
      <t>Name of Division :</t>
    </r>
    <r>
      <rPr>
        <sz val="12"/>
        <color rgb="FF000000"/>
        <rFont val="Calibri"/>
        <family val="2"/>
      </rPr>
      <t xml:space="preserve"> Mangaluru</t>
    </r>
  </si>
  <si>
    <t>205 mts</t>
  </si>
  <si>
    <t>X-8</t>
  </si>
  <si>
    <t>Form III</t>
  </si>
  <si>
    <t>FORM – A1</t>
  </si>
  <si>
    <t>PLOT ENUMERATION (31.62mX 31.62m Central Plot/lateral plot)</t>
  </si>
  <si>
    <t xml:space="preserve">Compartment No: </t>
  </si>
  <si>
    <t xml:space="preserve">Block /Village: </t>
  </si>
  <si>
    <t xml:space="preserve">Beat: </t>
  </si>
  <si>
    <t xml:space="preserve">Range: </t>
  </si>
  <si>
    <t xml:space="preserve">Division: </t>
  </si>
  <si>
    <t xml:space="preserve">ALT: </t>
  </si>
  <si>
    <t xml:space="preserve">LAT: </t>
  </si>
  <si>
    <t xml:space="preserve">LONG: </t>
  </si>
  <si>
    <t xml:space="preserve">Grid No: </t>
  </si>
  <si>
    <t>GBH (OB)
(cm)</t>
  </si>
  <si>
    <t>GBH (OB)</t>
  </si>
  <si>
    <t>Height of 
selected 
dominant 
trees (m)</t>
  </si>
  <si>
    <t>Remarks, if any, about the tree condition</t>
  </si>
  <si>
    <t>in cm</t>
  </si>
  <si>
    <t>Part of the tree</t>
  </si>
  <si>
    <t>FORM-A2</t>
  </si>
  <si>
    <t>BAMBOO CLUMP ENUMERATION (31.62mX 31.62m Plot)</t>
  </si>
  <si>
    <t>Local Name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</si>
  <si>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</si>
  <si>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</si>
  <si>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</si>
  <si>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</si>
  <si>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</si>
  <si>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</si>
  <si>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</si>
  <si>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</si>
  <si>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</si>
  <si>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</si>
  <si>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</si>
  <si>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</si>
  <si>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</si>
  <si>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</si>
  <si>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</si>
  <si>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</t>
  </si>
  <si>
    <t>Starting from Aranthodu traverse by high road via Sullia-Sonangeri-Duggaladka for about 22 Kms  to reach Doddathota.Here turn right and traverse by Asphalt road leading towards Markanja for about 3.50 Kms to reach a location with GPS Co-ordinates  12.576078°N &amp;  75.464415°E.Then turn left and traverse in North-Western direction by foot for about 280 mts to reach the centre of the plot.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</si>
</sst>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[$-409]d/mmm/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Nudi web 01 e"/>
    </font>
    <font>
      <b/>
      <sz val="10"/>
      <color rgb="FF000000"/>
      <name val="Calibri"/>
      <family val="2"/>
    </font>
    <font>
      <b/>
      <sz val="12"/>
      <name val="Calibri"/>
      <family val="2"/>
    </font>
    <font>
      <sz val="11"/>
      <color rgb="FF000000"/>
      <name val="Nudi web 01 e"/>
    </font>
    <font>
      <b/>
      <u/>
      <sz val="11"/>
      <color rgb="FF00000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Nudi web 01 e"/>
    </font>
    <font>
      <b/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b/>
      <sz val="11"/>
      <color rgb="FF000000"/>
      <name val="Calibri"/>
      <family val="2"/>
    </font>
    <font>
      <i/>
      <u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8" fillId="0" borderId="0">
      <alignment vertical="center"/>
    </xf>
    <xf numFmtId="0" fontId="9" fillId="0" borderId="0">
      <protection locked="0"/>
    </xf>
    <xf numFmtId="0" fontId="8" fillId="0" borderId="0">
      <protection locked="0"/>
    </xf>
  </cellStyleXfs>
  <cellXfs count="24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2" applyFont="1" applyAlignment="1">
      <alignment horizontal="center"/>
    </xf>
    <xf numFmtId="0" fontId="8" fillId="0" borderId="0" xfId="2">
      <alignment vertical="center"/>
    </xf>
    <xf numFmtId="0" fontId="11" fillId="0" borderId="0" xfId="2" applyFont="1" applyAlignment="1">
      <alignment horizontal="left"/>
    </xf>
    <xf numFmtId="0" fontId="12" fillId="0" borderId="0" xfId="2" applyFont="1" applyAlignment="1">
      <alignment horizontal="right"/>
    </xf>
    <xf numFmtId="0" fontId="11" fillId="0" borderId="1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top"/>
    </xf>
    <xf numFmtId="0" fontId="12" fillId="0" borderId="1" xfId="2" applyFont="1" applyBorder="1" applyAlignment="1">
      <alignment vertical="top"/>
    </xf>
    <xf numFmtId="0" fontId="12" fillId="0" borderId="1" xfId="2" applyFont="1" applyBorder="1" applyAlignment="1">
      <alignment horizontal="left" vertical="center"/>
    </xf>
    <xf numFmtId="0" fontId="12" fillId="0" borderId="5" xfId="2" applyFont="1" applyBorder="1" applyAlignment="1">
      <alignment vertical="top"/>
    </xf>
    <xf numFmtId="0" fontId="12" fillId="0" borderId="6" xfId="2" applyFont="1" applyBorder="1" applyAlignment="1">
      <alignment horizontal="center" vertical="top"/>
    </xf>
    <xf numFmtId="0" fontId="13" fillId="0" borderId="6" xfId="2" applyFont="1" applyBorder="1" applyAlignment="1">
      <alignment vertical="top"/>
    </xf>
    <xf numFmtId="0" fontId="12" fillId="0" borderId="1" xfId="2" applyFont="1" applyBorder="1" applyAlignment="1">
      <alignment horizontal="center" vertical="top"/>
    </xf>
    <xf numFmtId="0" fontId="12" fillId="0" borderId="1" xfId="2" applyFont="1" applyBorder="1" applyAlignment="1">
      <alignment horizontal="left" vertical="top"/>
    </xf>
    <xf numFmtId="0" fontId="13" fillId="0" borderId="6" xfId="2" applyFont="1" applyBorder="1" applyAlignment="1">
      <alignment vertical="top" wrapText="1"/>
    </xf>
    <xf numFmtId="0" fontId="12" fillId="0" borderId="8" xfId="2" applyFont="1" applyBorder="1" applyAlignment="1">
      <alignment horizontal="center" vertical="top"/>
    </xf>
    <xf numFmtId="0" fontId="12" fillId="0" borderId="9" xfId="2" applyFont="1" applyFill="1" applyBorder="1" applyAlignment="1">
      <alignment horizontal="center" vertical="top"/>
    </xf>
    <xf numFmtId="0" fontId="8" fillId="0" borderId="10" xfId="2" applyBorder="1">
      <alignment vertical="center"/>
    </xf>
    <xf numFmtId="0" fontId="12" fillId="0" borderId="11" xfId="2" applyFont="1" applyFill="1" applyBorder="1" applyAlignment="1">
      <alignment horizontal="center" vertical="top"/>
    </xf>
    <xf numFmtId="0" fontId="12" fillId="0" borderId="8" xfId="2" applyFont="1" applyFill="1" applyBorder="1" applyAlignment="1">
      <alignment horizontal="left" vertical="top" wrapText="1"/>
    </xf>
    <xf numFmtId="0" fontId="12" fillId="0" borderId="12" xfId="2" applyFont="1" applyFill="1" applyBorder="1" applyAlignment="1">
      <alignment horizontal="left" vertical="top" wrapText="1"/>
    </xf>
    <xf numFmtId="0" fontId="12" fillId="0" borderId="13" xfId="2" applyFont="1" applyFill="1" applyBorder="1" applyAlignment="1">
      <alignment horizontal="center" vertical="top"/>
    </xf>
    <xf numFmtId="0" fontId="13" fillId="0" borderId="14" xfId="2" applyFont="1" applyBorder="1" applyAlignment="1">
      <alignment vertical="top" wrapText="1"/>
    </xf>
    <xf numFmtId="0" fontId="12" fillId="0" borderId="5" xfId="2" applyFont="1" applyFill="1" applyBorder="1" applyAlignment="1">
      <alignment horizontal="left" vertical="top" wrapText="1"/>
    </xf>
    <xf numFmtId="0" fontId="8" fillId="0" borderId="14" xfId="2" applyBorder="1">
      <alignment vertical="center"/>
    </xf>
    <xf numFmtId="0" fontId="14" fillId="0" borderId="0" xfId="2" applyFont="1" applyAlignment="1"/>
    <xf numFmtId="0" fontId="12" fillId="0" borderId="0" xfId="2" applyFont="1" applyAlignment="1"/>
    <xf numFmtId="0" fontId="15" fillId="0" borderId="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64" fontId="12" fillId="0" borderId="1" xfId="2" applyNumberFormat="1" applyFont="1" applyBorder="1" applyAlignment="1">
      <alignment horizontal="left" vertical="center"/>
    </xf>
    <xf numFmtId="0" fontId="8" fillId="0" borderId="6" xfId="2" applyBorder="1">
      <alignment vertical="center"/>
    </xf>
    <xf numFmtId="0" fontId="12" fillId="0" borderId="8" xfId="2" applyFont="1" applyBorder="1" applyAlignment="1">
      <alignment vertical="top"/>
    </xf>
    <xf numFmtId="0" fontId="16" fillId="0" borderId="6" xfId="2" applyFont="1" applyBorder="1" applyAlignment="1">
      <alignment vertical="top" wrapText="1"/>
    </xf>
    <xf numFmtId="0" fontId="9" fillId="0" borderId="1" xfId="2" applyFont="1" applyBorder="1" applyAlignment="1">
      <alignment vertical="top"/>
    </xf>
    <xf numFmtId="0" fontId="9" fillId="0" borderId="1" xfId="2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/>
    </xf>
    <xf numFmtId="0" fontId="9" fillId="0" borderId="5" xfId="2" applyFont="1" applyBorder="1" applyAlignment="1">
      <alignment vertical="top" wrapText="1"/>
    </xf>
    <xf numFmtId="0" fontId="9" fillId="0" borderId="5" xfId="2" applyFont="1" applyBorder="1" applyAlignment="1">
      <alignment vertical="top"/>
    </xf>
    <xf numFmtId="0" fontId="17" fillId="0" borderId="5" xfId="2" applyFont="1" applyBorder="1" applyAlignment="1">
      <alignment vertical="top" wrapText="1"/>
    </xf>
    <xf numFmtId="0" fontId="9" fillId="0" borderId="8" xfId="2" applyFont="1" applyBorder="1" applyAlignment="1">
      <alignment vertical="top" wrapText="1"/>
    </xf>
    <xf numFmtId="0" fontId="9" fillId="0" borderId="9" xfId="2" applyFont="1" applyFill="1" applyBorder="1" applyAlignment="1">
      <alignment horizontal="left" vertical="top" wrapText="1"/>
    </xf>
    <xf numFmtId="0" fontId="9" fillId="0" borderId="9" xfId="2" applyFont="1" applyFill="1" applyBorder="1" applyAlignment="1">
      <alignment horizontal="center" vertical="top"/>
    </xf>
    <xf numFmtId="0" fontId="9" fillId="0" borderId="13" xfId="2" applyFont="1" applyFill="1" applyBorder="1" applyAlignment="1">
      <alignment horizontal="center" vertical="top"/>
    </xf>
    <xf numFmtId="0" fontId="9" fillId="0" borderId="5" xfId="2" applyFont="1" applyFill="1" applyBorder="1" applyAlignment="1">
      <alignment horizontal="left" vertical="top" wrapText="1"/>
    </xf>
    <xf numFmtId="0" fontId="8" fillId="0" borderId="5" xfId="2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5" fillId="0" borderId="3" xfId="0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0" fontId="4" fillId="0" borderId="2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1" fillId="0" borderId="5" xfId="2" applyFont="1" applyBorder="1" applyAlignment="1">
      <alignment vertical="top"/>
    </xf>
    <xf numFmtId="0" fontId="21" fillId="0" borderId="5" xfId="2" applyFont="1" applyFill="1" applyBorder="1" applyAlignment="1">
      <alignment vertical="top" wrapText="1"/>
    </xf>
    <xf numFmtId="0" fontId="22" fillId="0" borderId="5" xfId="2" applyFont="1" applyFill="1" applyBorder="1" applyAlignment="1">
      <alignment horizontal="left" vertical="top" wrapText="1"/>
    </xf>
    <xf numFmtId="0" fontId="21" fillId="0" borderId="5" xfId="2" applyFont="1" applyFill="1" applyBorder="1" applyAlignment="1">
      <alignment horizontal="left" vertical="top" wrapText="1"/>
    </xf>
    <xf numFmtId="0" fontId="8" fillId="0" borderId="12" xfId="2" applyBorder="1">
      <alignment vertical="center"/>
    </xf>
    <xf numFmtId="0" fontId="11" fillId="0" borderId="8" xfId="2" applyFont="1" applyFill="1" applyBorder="1" applyAlignment="1">
      <alignment horizontal="left" vertical="top" wrapText="1"/>
    </xf>
    <xf numFmtId="0" fontId="11" fillId="0" borderId="5" xfId="2" applyFont="1" applyFill="1" applyBorder="1" applyAlignment="1">
      <alignment horizontal="left" vertical="top" wrapText="1"/>
    </xf>
    <xf numFmtId="0" fontId="23" fillId="0" borderId="9" xfId="2" applyFont="1" applyFill="1" applyBorder="1" applyAlignment="1">
      <alignment horizontal="left" vertical="top" wrapText="1"/>
    </xf>
    <xf numFmtId="0" fontId="12" fillId="0" borderId="5" xfId="2" applyFont="1" applyBorder="1" applyAlignment="1">
      <alignment horizontal="left" vertical="top"/>
    </xf>
    <xf numFmtId="9" fontId="8" fillId="0" borderId="14" xfId="2" applyNumberFormat="1" applyBorder="1">
      <alignment vertical="center"/>
    </xf>
    <xf numFmtId="9" fontId="8" fillId="0" borderId="10" xfId="2" applyNumberForma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center"/>
    </xf>
    <xf numFmtId="0" fontId="17" fillId="0" borderId="9" xfId="2" applyFont="1" applyBorder="1" applyAlignment="1">
      <alignment vertical="top"/>
    </xf>
    <xf numFmtId="0" fontId="12" fillId="0" borderId="11" xfId="2" applyFont="1" applyFill="1" applyBorder="1" applyAlignment="1">
      <alignment horizontal="left" vertical="top" wrapText="1"/>
    </xf>
    <xf numFmtId="0" fontId="8" fillId="0" borderId="8" xfId="2" applyBorder="1" applyAlignment="1">
      <alignment vertical="top"/>
    </xf>
    <xf numFmtId="0" fontId="8" fillId="0" borderId="6" xfId="2" applyBorder="1" applyAlignment="1">
      <alignment vertical="top"/>
    </xf>
    <xf numFmtId="0" fontId="12" fillId="0" borderId="9" xfId="2" applyFont="1" applyFill="1" applyBorder="1" applyAlignment="1">
      <alignment horizontal="left" vertical="top" wrapText="1"/>
    </xf>
    <xf numFmtId="0" fontId="12" fillId="0" borderId="6" xfId="2" applyFont="1" applyBorder="1" applyAlignment="1">
      <alignment vertical="top"/>
    </xf>
    <xf numFmtId="0" fontId="12" fillId="0" borderId="9" xfId="2" applyFont="1" applyBorder="1" applyAlignment="1">
      <alignment horizontal="center" vertical="top"/>
    </xf>
    <xf numFmtId="0" fontId="12" fillId="0" borderId="13" xfId="2" applyFont="1" applyBorder="1" applyAlignment="1">
      <alignment horizontal="center" vertical="top"/>
    </xf>
    <xf numFmtId="0" fontId="12" fillId="0" borderId="10" xfId="2" applyFont="1" applyBorder="1" applyAlignment="1">
      <alignment vertical="top"/>
    </xf>
    <xf numFmtId="9" fontId="13" fillId="0" borderId="14" xfId="2" applyNumberFormat="1" applyFont="1" applyBorder="1" applyAlignment="1">
      <alignment horizontal="left" vertical="top"/>
    </xf>
    <xf numFmtId="0" fontId="9" fillId="0" borderId="6" xfId="2" applyFont="1" applyBorder="1" applyAlignment="1">
      <alignment vertical="top" wrapText="1"/>
    </xf>
    <xf numFmtId="0" fontId="10" fillId="0" borderId="0" xfId="2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165" fontId="26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2" xfId="0" applyFont="1" applyBorder="1" applyAlignment="1">
      <alignment horizontal="left" wrapText="1"/>
    </xf>
    <xf numFmtId="0" fontId="3" fillId="0" borderId="23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4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27" fillId="0" borderId="0" xfId="0" applyFont="1"/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8" fillId="0" borderId="0" xfId="0" applyFont="1"/>
    <xf numFmtId="0" fontId="2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36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top"/>
    </xf>
    <xf numFmtId="0" fontId="9" fillId="0" borderId="2" xfId="2" applyFont="1" applyFill="1" applyBorder="1" applyAlignment="1">
      <alignment horizontal="left" vertical="top" wrapText="1"/>
    </xf>
    <xf numFmtId="0" fontId="12" fillId="0" borderId="1" xfId="2" applyFont="1" applyFill="1" applyBorder="1" applyAlignment="1">
      <alignment horizontal="left" vertical="top" wrapText="1"/>
    </xf>
    <xf numFmtId="0" fontId="28" fillId="0" borderId="1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/>
    </xf>
    <xf numFmtId="0" fontId="28" fillId="0" borderId="4" xfId="0" applyFont="1" applyBorder="1"/>
    <xf numFmtId="0" fontId="3" fillId="0" borderId="0" xfId="0" applyFont="1" applyAlignment="1"/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Alignment="1"/>
    <xf numFmtId="0" fontId="8" fillId="0" borderId="4" xfId="2" applyBorder="1">
      <alignment vertical="center"/>
    </xf>
  </cellXfs>
  <cellStyles count="5">
    <cellStyle name="Normal" xfId="0" builtinId="0"/>
    <cellStyle name="Normal 2" xfId="1"/>
    <cellStyle name="Normal 2 2" xfId="3"/>
    <cellStyle name="Normal 3" xfId="2"/>
    <cellStyle name="Normal 3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).PUMRF_GN.56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A.AMR%20WP%20SMG%20FILES%20;%202021-22%20TO/11).F.I.MANGALURU%20DVN%20;%202023-24/1.F.I.Mangaluru%20;%20Filled%20Formats/9.DEVACHALLA%20RF%20EB-1/6.DRFEB-1;%20B&amp;CX-15_GN.%2075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A.AMR%20WP%20SMG%20FILES%20;%202021-22%20TO/11).F.I.MANGALURU%20DVN%20;%202023-24/1.F.I.Mangaluru%20;%20Filled%20Formats/8A.KILARMALE%20RF-73/8).645%20KMRF%20XII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1"/>
      <sheetName val="Form-2"/>
      <sheetName val="F-III A1"/>
      <sheetName val="FIII A2 (2)"/>
      <sheetName val="F-B"/>
      <sheetName val="Form C"/>
      <sheetName val="Form 8"/>
      <sheetName val="NTFP-Med Plant"/>
      <sheetName val="Canes"/>
    </sheetNames>
    <sheetDataSet>
      <sheetData sheetId="0">
        <row r="8">
          <cell r="C8" t="str">
            <v>X-8</v>
          </cell>
        </row>
      </sheetData>
      <sheetData sheetId="1">
        <row r="13">
          <cell r="C13" t="str">
            <v>261 mts MSL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1"/>
      <sheetName val="Form-2"/>
      <sheetName val="F-III A1"/>
      <sheetName val="FIII A2 (2)"/>
      <sheetName val="F-B"/>
      <sheetName val="Form C"/>
      <sheetName val="Form 8"/>
      <sheetName val="NTFP-Med Plant"/>
      <sheetName val="Canes"/>
    </sheetNames>
    <sheetDataSet>
      <sheetData sheetId="0">
        <row r="6">
          <cell r="C6" t="str">
            <v>Sullia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1"/>
      <sheetName val="Form II"/>
      <sheetName val="F-III A1"/>
      <sheetName val="FIII A2 (2)"/>
      <sheetName val="F-B"/>
      <sheetName val="Form C"/>
    </sheetNames>
    <sheetDataSet>
      <sheetData sheetId="0">
        <row r="3">
          <cell r="C3" t="str">
            <v>Mangalore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showWhiteSpace="0" view="pageLayout" zoomScaleNormal="107" workbookViewId="0">
      <selection activeCell="B22" sqref="B22:C22"/>
    </sheetView>
  </sheetViews>
  <sheetFormatPr defaultColWidth="9.90625" defaultRowHeight="14.5" x14ac:dyDescent="0.35"/>
  <cols>
    <col min="1" max="1" width="6.453125" style="18" customWidth="1"/>
    <col min="2" max="2" width="37.6328125" style="19" customWidth="1"/>
    <col min="3" max="3" width="54.90625" style="19" customWidth="1"/>
    <col min="4" max="4" width="9.90625" style="19" customWidth="1"/>
    <col min="5" max="16384" width="9.90625" style="19"/>
  </cols>
  <sheetData>
    <row r="1" spans="1:3" ht="18" x14ac:dyDescent="0.25">
      <c r="B1" s="116" t="s">
        <v>0</v>
      </c>
      <c r="C1" s="116"/>
    </row>
    <row r="2" spans="1:3" ht="18" x14ac:dyDescent="0.25">
      <c r="B2" s="116" t="s">
        <v>1</v>
      </c>
      <c r="C2" s="116"/>
    </row>
    <row r="3" spans="1:3" ht="15.5" x14ac:dyDescent="0.35">
      <c r="A3" s="20" t="s">
        <v>237</v>
      </c>
      <c r="C3" s="21" t="s">
        <v>82</v>
      </c>
    </row>
    <row r="5" spans="1:3" ht="23.25" customHeight="1" x14ac:dyDescent="0.2">
      <c r="A5" s="22" t="s">
        <v>26</v>
      </c>
      <c r="B5" s="22" t="s">
        <v>2</v>
      </c>
      <c r="C5" s="22" t="s">
        <v>3</v>
      </c>
    </row>
    <row r="6" spans="1:3" ht="18.75" customHeight="1" x14ac:dyDescent="0.2">
      <c r="A6" s="23">
        <v>1</v>
      </c>
      <c r="B6" s="24" t="s">
        <v>123</v>
      </c>
      <c r="C6" s="25" t="s">
        <v>228</v>
      </c>
    </row>
    <row r="7" spans="1:3" ht="16" customHeight="1" x14ac:dyDescent="0.2">
      <c r="A7" s="23">
        <v>2</v>
      </c>
      <c r="B7" s="26" t="s">
        <v>83</v>
      </c>
      <c r="C7" s="99" t="s">
        <v>229</v>
      </c>
    </row>
    <row r="8" spans="1:3" ht="16.5" customHeight="1" x14ac:dyDescent="0.2">
      <c r="A8" s="23">
        <v>3</v>
      </c>
      <c r="B8" s="26" t="s">
        <v>84</v>
      </c>
      <c r="C8" s="99" t="s">
        <v>239</v>
      </c>
    </row>
    <row r="9" spans="1:3" ht="19.5" customHeight="1" x14ac:dyDescent="0.35">
      <c r="A9" s="29">
        <v>4</v>
      </c>
      <c r="B9" s="52" t="s">
        <v>124</v>
      </c>
      <c r="C9" s="30">
        <v>692</v>
      </c>
    </row>
    <row r="10" spans="1:3" ht="18" customHeight="1" x14ac:dyDescent="0.35">
      <c r="A10" s="29">
        <v>5</v>
      </c>
      <c r="B10" s="52" t="s">
        <v>125</v>
      </c>
      <c r="C10" s="30" t="s">
        <v>230</v>
      </c>
    </row>
    <row r="11" spans="1:3" ht="19.5" customHeight="1" x14ac:dyDescent="0.35">
      <c r="A11" s="29">
        <v>6</v>
      </c>
      <c r="B11" s="52" t="s">
        <v>126</v>
      </c>
      <c r="C11" s="30">
        <v>75.464399999999998</v>
      </c>
    </row>
    <row r="12" spans="1:3" ht="109" customHeight="1" x14ac:dyDescent="0.35">
      <c r="A12" s="23">
        <v>7</v>
      </c>
      <c r="B12" s="26" t="s">
        <v>4</v>
      </c>
      <c r="C12" s="103" t="s">
        <v>277</v>
      </c>
    </row>
    <row r="13" spans="1:3" ht="32.5" customHeight="1" x14ac:dyDescent="0.35">
      <c r="A13" s="23">
        <v>8</v>
      </c>
      <c r="B13" s="91" t="s">
        <v>85</v>
      </c>
      <c r="C13" s="103" t="s">
        <v>167</v>
      </c>
    </row>
    <row r="14" spans="1:3" ht="19.5" customHeight="1" x14ac:dyDescent="0.35">
      <c r="A14" s="33">
        <v>9</v>
      </c>
      <c r="B14" s="92" t="s">
        <v>5</v>
      </c>
      <c r="C14" s="34"/>
    </row>
    <row r="15" spans="1:3" ht="34.5" customHeight="1" x14ac:dyDescent="0.35">
      <c r="A15" s="35"/>
      <c r="B15" s="36" t="s">
        <v>128</v>
      </c>
      <c r="C15" s="37" t="s">
        <v>168</v>
      </c>
    </row>
    <row r="16" spans="1:3" ht="29.15" customHeight="1" x14ac:dyDescent="0.35">
      <c r="A16" s="38"/>
      <c r="B16" s="36" t="s">
        <v>127</v>
      </c>
      <c r="C16" s="39" t="s">
        <v>169</v>
      </c>
    </row>
    <row r="17" spans="1:3" ht="31.5" customHeight="1" x14ac:dyDescent="0.35">
      <c r="A17" s="33"/>
      <c r="B17" s="60" t="s">
        <v>86</v>
      </c>
      <c r="C17" s="34" t="s">
        <v>170</v>
      </c>
    </row>
    <row r="18" spans="1:3" ht="18.649999999999999" customHeight="1" x14ac:dyDescent="0.35">
      <c r="A18" s="33"/>
      <c r="B18" s="94" t="s">
        <v>87</v>
      </c>
      <c r="C18" s="34"/>
    </row>
    <row r="19" spans="1:3" ht="14.5" customHeight="1" x14ac:dyDescent="0.35">
      <c r="A19" s="38"/>
      <c r="B19" s="49" t="s">
        <v>129</v>
      </c>
      <c r="C19" s="100">
        <v>0.78</v>
      </c>
    </row>
    <row r="20" spans="1:3" ht="65.5" customHeight="1" x14ac:dyDescent="0.35">
      <c r="A20" s="35"/>
      <c r="B20" s="96" t="s">
        <v>130</v>
      </c>
      <c r="C20" s="34" t="s">
        <v>188</v>
      </c>
    </row>
    <row r="21" spans="1:3" ht="92.5" customHeight="1" x14ac:dyDescent="0.35">
      <c r="A21" s="35"/>
      <c r="B21" s="36" t="s">
        <v>131</v>
      </c>
      <c r="C21" s="95" t="s">
        <v>173</v>
      </c>
    </row>
    <row r="22" spans="1:3" ht="36" customHeight="1" x14ac:dyDescent="0.35">
      <c r="A22" s="35"/>
      <c r="B22" s="232" t="s">
        <v>152</v>
      </c>
      <c r="C22" s="241" t="s">
        <v>171</v>
      </c>
    </row>
    <row r="23" spans="1:3" ht="21.5" customHeight="1" x14ac:dyDescent="0.35">
      <c r="A23" s="35"/>
      <c r="B23" s="36" t="s">
        <v>153</v>
      </c>
      <c r="C23" s="95" t="s">
        <v>172</v>
      </c>
    </row>
    <row r="24" spans="1:3" ht="30.65" customHeight="1" x14ac:dyDescent="0.35">
      <c r="A24" s="35"/>
      <c r="B24" s="40" t="s">
        <v>132</v>
      </c>
      <c r="C24" s="34" t="s">
        <v>174</v>
      </c>
    </row>
    <row r="25" spans="1:3" ht="30.65" customHeight="1" x14ac:dyDescent="0.35">
      <c r="A25" s="35"/>
      <c r="B25" s="40" t="s">
        <v>134</v>
      </c>
      <c r="C25" s="34"/>
    </row>
    <row r="26" spans="1:3" ht="33.65" customHeight="1" x14ac:dyDescent="0.35">
      <c r="A26" s="35"/>
      <c r="B26" s="40" t="s">
        <v>133</v>
      </c>
      <c r="C26" s="34" t="s">
        <v>175</v>
      </c>
    </row>
    <row r="27" spans="1:3" ht="16.5" customHeight="1" x14ac:dyDescent="0.35">
      <c r="A27" s="35"/>
      <c r="B27" s="40" t="s">
        <v>135</v>
      </c>
      <c r="C27" s="41"/>
    </row>
    <row r="28" spans="1:3" ht="16.5" customHeight="1" x14ac:dyDescent="0.35">
      <c r="A28" s="35"/>
      <c r="B28" s="40" t="s">
        <v>137</v>
      </c>
      <c r="C28" s="34" t="s">
        <v>176</v>
      </c>
    </row>
    <row r="29" spans="1:3" ht="33" customHeight="1" x14ac:dyDescent="0.35">
      <c r="A29" s="35"/>
      <c r="B29" s="36" t="s">
        <v>136</v>
      </c>
      <c r="C29" s="95"/>
    </row>
    <row r="30" spans="1:3" ht="34" customHeight="1" x14ac:dyDescent="0.35">
      <c r="A30" s="35"/>
      <c r="B30" s="36" t="s">
        <v>138</v>
      </c>
      <c r="C30" s="41"/>
    </row>
    <row r="31" spans="1:3" ht="20" customHeight="1" x14ac:dyDescent="0.35">
      <c r="A31" s="35"/>
      <c r="B31" s="40" t="s">
        <v>139</v>
      </c>
      <c r="C31" s="34" t="s">
        <v>177</v>
      </c>
    </row>
    <row r="32" spans="1:3" ht="30.5" customHeight="1" x14ac:dyDescent="0.35">
      <c r="A32" s="35"/>
      <c r="B32" s="94" t="s">
        <v>145</v>
      </c>
      <c r="C32" s="34" t="s">
        <v>178</v>
      </c>
    </row>
    <row r="33" spans="1:3" ht="46.5" customHeight="1" x14ac:dyDescent="0.35">
      <c r="A33" s="35"/>
      <c r="B33" s="40" t="s">
        <v>140</v>
      </c>
      <c r="C33" s="34" t="s">
        <v>179</v>
      </c>
    </row>
    <row r="34" spans="1:3" ht="50.15" customHeight="1" x14ac:dyDescent="0.35">
      <c r="A34" s="35"/>
      <c r="B34" s="40" t="s">
        <v>141</v>
      </c>
      <c r="C34" s="34" t="s">
        <v>180</v>
      </c>
    </row>
    <row r="35" spans="1:3" ht="50" customHeight="1" x14ac:dyDescent="0.35">
      <c r="A35" s="35"/>
      <c r="B35" s="40" t="s">
        <v>144</v>
      </c>
      <c r="C35" s="34" t="s">
        <v>181</v>
      </c>
    </row>
    <row r="36" spans="1:3" ht="22.5" customHeight="1" x14ac:dyDescent="0.35">
      <c r="A36" s="35"/>
      <c r="B36" s="93" t="s">
        <v>142</v>
      </c>
      <c r="C36" s="41"/>
    </row>
    <row r="37" spans="1:3" ht="63.5" customHeight="1" x14ac:dyDescent="0.35">
      <c r="A37" s="35"/>
      <c r="B37" s="40" t="s">
        <v>143</v>
      </c>
      <c r="C37" s="19" t="s">
        <v>181</v>
      </c>
    </row>
    <row r="38" spans="1:3" ht="15" customHeight="1" x14ac:dyDescent="0.35">
      <c r="A38" s="33">
        <v>10</v>
      </c>
      <c r="B38" s="97" t="s">
        <v>6</v>
      </c>
      <c r="C38" s="34" t="s">
        <v>182</v>
      </c>
    </row>
    <row r="39" spans="1:3" ht="21" customHeight="1" x14ac:dyDescent="0.35">
      <c r="A39" s="35"/>
      <c r="B39" s="40" t="s">
        <v>146</v>
      </c>
      <c r="C39" s="41"/>
    </row>
    <row r="40" spans="1:3" ht="15.65" customHeight="1" x14ac:dyDescent="0.35">
      <c r="A40" s="58">
        <v>11</v>
      </c>
      <c r="B40" s="98" t="s">
        <v>7</v>
      </c>
      <c r="C40" s="40" t="s">
        <v>183</v>
      </c>
    </row>
    <row r="41" spans="1:3" ht="48.65" customHeight="1" x14ac:dyDescent="0.35">
      <c r="A41" s="59"/>
      <c r="B41" s="40" t="s">
        <v>147</v>
      </c>
      <c r="C41" s="31"/>
    </row>
    <row r="42" spans="1:3" ht="14.5" customHeight="1" x14ac:dyDescent="0.35">
      <c r="A42" s="58">
        <v>12</v>
      </c>
      <c r="B42" s="57" t="s">
        <v>88</v>
      </c>
      <c r="C42" s="40" t="s">
        <v>184</v>
      </c>
    </row>
    <row r="43" spans="1:3" ht="18.5" customHeight="1" x14ac:dyDescent="0.35">
      <c r="A43" s="230">
        <v>13</v>
      </c>
      <c r="B43" s="231" t="s">
        <v>74</v>
      </c>
      <c r="C43" s="232">
        <v>1.5</v>
      </c>
    </row>
  </sheetData>
  <mergeCells count="2">
    <mergeCell ref="B1:C1"/>
    <mergeCell ref="B2:C2"/>
  </mergeCells>
  <pageMargins left="0.51181102362204722" right="0.23622047244094491" top="0.35433070866141736" bottom="0.35433070866141736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WhiteSpace="0" view="pageLayout" zoomScaleNormal="95" workbookViewId="0">
      <selection activeCell="B17" sqref="B17"/>
    </sheetView>
  </sheetViews>
  <sheetFormatPr defaultColWidth="9.90625" defaultRowHeight="14.5" x14ac:dyDescent="0.35"/>
  <cols>
    <col min="1" max="1" width="4" style="19" customWidth="1"/>
    <col min="2" max="2" width="50" style="19" customWidth="1"/>
    <col min="3" max="3" width="34.7265625" style="19" customWidth="1"/>
    <col min="4" max="4" width="9.90625" style="19" customWidth="1"/>
    <col min="5" max="16384" width="9.90625" style="19"/>
  </cols>
  <sheetData>
    <row r="1" spans="1:3" ht="18" x14ac:dyDescent="0.25">
      <c r="A1" s="116" t="s">
        <v>8</v>
      </c>
      <c r="B1" s="116"/>
      <c r="C1" s="116"/>
    </row>
    <row r="2" spans="1:3" ht="18" x14ac:dyDescent="0.25">
      <c r="A2" s="116" t="s">
        <v>9</v>
      </c>
      <c r="B2" s="116"/>
      <c r="C2" s="116"/>
    </row>
    <row r="3" spans="1:3" ht="15" x14ac:dyDescent="0.2">
      <c r="C3" s="42"/>
    </row>
    <row r="4" spans="1:3" ht="15.5" x14ac:dyDescent="0.35">
      <c r="A4" s="20" t="s">
        <v>236</v>
      </c>
      <c r="B4" s="43"/>
      <c r="C4" s="21" t="s">
        <v>82</v>
      </c>
    </row>
    <row r="5" spans="1:3" ht="15" x14ac:dyDescent="0.2">
      <c r="A5" s="43"/>
      <c r="B5" s="43"/>
      <c r="C5" s="43"/>
    </row>
    <row r="6" spans="1:3" s="45" customFormat="1" ht="20" customHeight="1" x14ac:dyDescent="0.2">
      <c r="A6" s="44" t="s">
        <v>89</v>
      </c>
      <c r="B6" s="44" t="s">
        <v>3</v>
      </c>
      <c r="C6" s="44" t="s">
        <v>10</v>
      </c>
    </row>
    <row r="7" spans="1:3" ht="18" customHeight="1" x14ac:dyDescent="0.2">
      <c r="A7" s="29">
        <v>1</v>
      </c>
      <c r="B7" s="50" t="s">
        <v>123</v>
      </c>
      <c r="C7" s="25" t="str">
        <f>'Form-1'!C6</f>
        <v>Sullia</v>
      </c>
    </row>
    <row r="8" spans="1:3" ht="18" customHeight="1" x14ac:dyDescent="0.2">
      <c r="A8" s="29">
        <v>2</v>
      </c>
      <c r="B8" s="51" t="s">
        <v>149</v>
      </c>
      <c r="C8" s="30" t="s">
        <v>229</v>
      </c>
    </row>
    <row r="9" spans="1:3" ht="16.5" customHeight="1" x14ac:dyDescent="0.2">
      <c r="A9" s="29">
        <v>3</v>
      </c>
      <c r="B9" s="51" t="s">
        <v>84</v>
      </c>
      <c r="C9" s="30" t="s">
        <v>239</v>
      </c>
    </row>
    <row r="10" spans="1:3" ht="18" customHeight="1" x14ac:dyDescent="0.2">
      <c r="A10" s="29">
        <v>4</v>
      </c>
      <c r="B10" s="52" t="s">
        <v>148</v>
      </c>
      <c r="C10" s="30">
        <f>'Form-1'!C9</f>
        <v>692</v>
      </c>
    </row>
    <row r="11" spans="1:3" ht="15.5" customHeight="1" x14ac:dyDescent="0.2">
      <c r="A11" s="29">
        <v>5</v>
      </c>
      <c r="B11" s="52" t="s">
        <v>125</v>
      </c>
      <c r="C11" s="46" t="str">
        <f>'Form-1'!C10</f>
        <v xml:space="preserve">12.5786
</v>
      </c>
    </row>
    <row r="12" spans="1:3" ht="18" customHeight="1" x14ac:dyDescent="0.2">
      <c r="A12" s="29">
        <v>6</v>
      </c>
      <c r="B12" s="52" t="s">
        <v>126</v>
      </c>
      <c r="C12" s="46">
        <f>'Form-1'!C11</f>
        <v>75.464399999999998</v>
      </c>
    </row>
    <row r="13" spans="1:3" ht="14.5" customHeight="1" x14ac:dyDescent="0.2">
      <c r="A13" s="29">
        <v>7</v>
      </c>
      <c r="B13" s="52" t="s">
        <v>150</v>
      </c>
      <c r="C13" s="30" t="s">
        <v>238</v>
      </c>
    </row>
    <row r="14" spans="1:3" ht="29.15" customHeight="1" x14ac:dyDescent="0.2">
      <c r="A14" s="23">
        <v>8</v>
      </c>
      <c r="B14" s="53" t="s">
        <v>90</v>
      </c>
      <c r="C14" s="26" t="s">
        <v>185</v>
      </c>
    </row>
    <row r="15" spans="1:3" ht="33" customHeight="1" x14ac:dyDescent="0.2">
      <c r="A15" s="23">
        <v>9</v>
      </c>
      <c r="B15" s="53" t="s">
        <v>91</v>
      </c>
      <c r="C15" s="16" t="s">
        <v>186</v>
      </c>
    </row>
    <row r="16" spans="1:3" ht="29.15" customHeight="1" x14ac:dyDescent="0.2">
      <c r="A16" s="23">
        <v>10</v>
      </c>
      <c r="B16" s="53" t="s">
        <v>92</v>
      </c>
      <c r="C16" s="26" t="s">
        <v>168</v>
      </c>
    </row>
    <row r="17" spans="1:3" ht="17.25" customHeight="1" x14ac:dyDescent="0.35">
      <c r="A17" s="23">
        <v>11</v>
      </c>
      <c r="B17" s="53" t="s">
        <v>93</v>
      </c>
      <c r="C17" s="26" t="s">
        <v>169</v>
      </c>
    </row>
    <row r="18" spans="1:3" ht="29.15" customHeight="1" x14ac:dyDescent="0.2">
      <c r="A18" s="23">
        <v>12</v>
      </c>
      <c r="B18" s="53" t="s">
        <v>94</v>
      </c>
      <c r="C18" s="26" t="s">
        <v>170</v>
      </c>
    </row>
    <row r="19" spans="1:3" ht="44" customHeight="1" x14ac:dyDescent="0.2">
      <c r="A19" s="23">
        <v>13</v>
      </c>
      <c r="B19" s="53" t="s">
        <v>151</v>
      </c>
      <c r="C19" s="26" t="s">
        <v>187</v>
      </c>
    </row>
    <row r="20" spans="1:3" ht="16" customHeight="1" x14ac:dyDescent="0.35">
      <c r="A20" s="23">
        <v>14</v>
      </c>
      <c r="B20" s="105" t="s">
        <v>11</v>
      </c>
      <c r="C20" s="61"/>
    </row>
    <row r="21" spans="1:3" ht="77.5" customHeight="1" x14ac:dyDescent="0.35">
      <c r="A21" s="32"/>
      <c r="B21" s="106" t="s">
        <v>131</v>
      </c>
      <c r="C21" s="107" t="s">
        <v>198</v>
      </c>
    </row>
    <row r="22" spans="1:3" ht="34" customHeight="1" x14ac:dyDescent="0.35">
      <c r="A22" s="32"/>
      <c r="B22" s="106" t="s">
        <v>152</v>
      </c>
      <c r="C22" s="107" t="s">
        <v>197</v>
      </c>
    </row>
    <row r="23" spans="1:3" ht="19" customHeight="1" x14ac:dyDescent="0.35">
      <c r="A23" s="32"/>
      <c r="B23" s="106" t="s">
        <v>153</v>
      </c>
      <c r="C23" s="108" t="s">
        <v>172</v>
      </c>
    </row>
    <row r="24" spans="1:3" ht="17.149999999999999" customHeight="1" x14ac:dyDescent="0.35">
      <c r="A24" s="23">
        <v>15</v>
      </c>
      <c r="B24" s="54" t="s">
        <v>95</v>
      </c>
      <c r="C24" s="48" t="s">
        <v>196</v>
      </c>
    </row>
    <row r="25" spans="1:3" ht="16" customHeight="1" x14ac:dyDescent="0.35">
      <c r="A25" s="111">
        <v>16</v>
      </c>
      <c r="B25" s="53" t="s">
        <v>96</v>
      </c>
      <c r="C25" s="113"/>
    </row>
    <row r="26" spans="1:3" ht="29" customHeight="1" x14ac:dyDescent="0.35">
      <c r="A26" s="112"/>
      <c r="B26" s="115" t="s">
        <v>154</v>
      </c>
      <c r="C26" s="114">
        <v>0.5</v>
      </c>
    </row>
    <row r="27" spans="1:3" ht="18.649999999999999" customHeight="1" x14ac:dyDescent="0.35">
      <c r="A27" s="23">
        <v>17</v>
      </c>
      <c r="B27" s="56" t="s">
        <v>97</v>
      </c>
      <c r="C27" s="26" t="s">
        <v>195</v>
      </c>
    </row>
    <row r="28" spans="1:3" ht="59.5" customHeight="1" x14ac:dyDescent="0.2">
      <c r="A28" s="23">
        <v>18</v>
      </c>
      <c r="B28" s="53" t="s">
        <v>98</v>
      </c>
      <c r="C28" s="26" t="s">
        <v>194</v>
      </c>
    </row>
    <row r="29" spans="1:3" ht="18" customHeight="1" x14ac:dyDescent="0.2">
      <c r="A29" s="23">
        <v>19</v>
      </c>
      <c r="B29" s="54" t="s">
        <v>99</v>
      </c>
      <c r="C29" s="26"/>
    </row>
    <row r="30" spans="1:3" ht="18" customHeight="1" x14ac:dyDescent="0.2">
      <c r="A30" s="23">
        <v>20</v>
      </c>
      <c r="B30" s="109" t="s">
        <v>155</v>
      </c>
      <c r="C30" s="26" t="s">
        <v>181</v>
      </c>
    </row>
    <row r="31" spans="1:3" ht="33" customHeight="1" x14ac:dyDescent="0.2">
      <c r="A31" s="32"/>
      <c r="B31" s="106" t="s">
        <v>156</v>
      </c>
      <c r="C31" s="48"/>
    </row>
    <row r="32" spans="1:3" ht="18" customHeight="1" x14ac:dyDescent="0.2">
      <c r="A32" s="27"/>
      <c r="B32" s="106" t="s">
        <v>138</v>
      </c>
      <c r="C32" s="110"/>
    </row>
    <row r="33" spans="1:3" ht="30" customHeight="1" x14ac:dyDescent="0.2">
      <c r="A33" s="23">
        <v>21</v>
      </c>
      <c r="B33" s="55" t="s">
        <v>100</v>
      </c>
      <c r="C33" s="48" t="s">
        <v>193</v>
      </c>
    </row>
    <row r="34" spans="1:3" ht="33" customHeight="1" x14ac:dyDescent="0.2">
      <c r="A34" s="23">
        <v>22</v>
      </c>
      <c r="B34" s="53" t="s">
        <v>101</v>
      </c>
      <c r="C34" s="26" t="s">
        <v>193</v>
      </c>
    </row>
    <row r="35" spans="1:3" ht="34" customHeight="1" x14ac:dyDescent="0.2">
      <c r="A35" s="23">
        <v>23</v>
      </c>
      <c r="B35" s="55" t="s">
        <v>157</v>
      </c>
      <c r="C35" s="26" t="s">
        <v>181</v>
      </c>
    </row>
    <row r="36" spans="1:3" ht="45" customHeight="1" x14ac:dyDescent="0.2">
      <c r="A36" s="23">
        <v>24</v>
      </c>
      <c r="B36" s="55" t="s">
        <v>158</v>
      </c>
      <c r="C36" s="26" t="s">
        <v>192</v>
      </c>
    </row>
    <row r="37" spans="1:3" ht="30.65" customHeight="1" x14ac:dyDescent="0.2">
      <c r="A37" s="23">
        <v>25</v>
      </c>
      <c r="B37" s="55" t="s">
        <v>159</v>
      </c>
      <c r="C37" s="26" t="s">
        <v>191</v>
      </c>
    </row>
    <row r="38" spans="1:3" ht="15.65" customHeight="1" x14ac:dyDescent="0.2">
      <c r="A38" s="23">
        <v>26</v>
      </c>
      <c r="B38" s="53" t="s">
        <v>104</v>
      </c>
      <c r="C38" s="26"/>
    </row>
    <row r="39" spans="1:3" ht="30.65" customHeight="1" x14ac:dyDescent="0.2">
      <c r="A39" s="32"/>
      <c r="B39" s="56" t="s">
        <v>102</v>
      </c>
      <c r="C39" s="48"/>
    </row>
    <row r="40" spans="1:3" ht="119.15" customHeight="1" x14ac:dyDescent="0.2">
      <c r="A40" s="32"/>
      <c r="B40" s="56" t="s">
        <v>160</v>
      </c>
      <c r="C40" s="48" t="s">
        <v>181</v>
      </c>
    </row>
    <row r="41" spans="1:3" ht="14.5" customHeight="1" x14ac:dyDescent="0.2">
      <c r="A41" s="23">
        <v>27</v>
      </c>
      <c r="B41" s="54" t="s">
        <v>12</v>
      </c>
      <c r="C41" s="26" t="s">
        <v>190</v>
      </c>
    </row>
    <row r="42" spans="1:3" ht="18" customHeight="1" x14ac:dyDescent="0.2">
      <c r="A42" s="27"/>
      <c r="B42" s="54" t="s">
        <v>161</v>
      </c>
      <c r="C42" s="28"/>
    </row>
    <row r="43" spans="1:3" ht="18.649999999999999" customHeight="1" x14ac:dyDescent="0.2">
      <c r="A43" s="23">
        <v>28</v>
      </c>
      <c r="B43" s="53" t="s">
        <v>13</v>
      </c>
      <c r="C43" s="26" t="s">
        <v>189</v>
      </c>
    </row>
    <row r="44" spans="1:3" ht="41.25" x14ac:dyDescent="0.2">
      <c r="A44" s="27"/>
      <c r="B44" s="53" t="s">
        <v>163</v>
      </c>
      <c r="C44" s="28"/>
    </row>
    <row r="45" spans="1:3" ht="15" x14ac:dyDescent="0.2">
      <c r="A45" s="61">
        <v>29</v>
      </c>
      <c r="B45" s="40" t="s">
        <v>103</v>
      </c>
      <c r="C45" s="101">
        <v>0.78</v>
      </c>
    </row>
    <row r="46" spans="1:3" ht="15" x14ac:dyDescent="0.2">
      <c r="A46" s="47"/>
      <c r="B46" s="49" t="s">
        <v>162</v>
      </c>
      <c r="C46" s="41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K8" sqref="K8"/>
    </sheetView>
  </sheetViews>
  <sheetFormatPr defaultRowHeight="14.5" x14ac:dyDescent="0.35"/>
  <cols>
    <col min="1" max="1" width="4.54296875" customWidth="1"/>
    <col min="2" max="2" width="12.26953125" customWidth="1"/>
    <col min="3" max="3" width="15.26953125" style="210" customWidth="1"/>
    <col min="4" max="4" width="14.7265625" style="240" customWidth="1"/>
    <col min="5" max="5" width="9.453125" customWidth="1"/>
    <col min="6" max="6" width="0.81640625" hidden="1" customWidth="1"/>
    <col min="7" max="7" width="9.7265625" bestFit="1" customWidth="1"/>
    <col min="8" max="9" width="5.26953125" customWidth="1"/>
    <col min="10" max="10" width="9.1796875" customWidth="1"/>
    <col min="11" max="11" width="5.453125" customWidth="1"/>
    <col min="12" max="12" width="12.54296875" customWidth="1"/>
  </cols>
  <sheetData>
    <row r="1" spans="1:12" ht="15.65" customHeight="1" x14ac:dyDescent="0.35">
      <c r="A1" s="123" t="s">
        <v>240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15.65" customHeight="1" x14ac:dyDescent="0.35">
      <c r="A2" s="123" t="s">
        <v>241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ht="15.65" customHeight="1" x14ac:dyDescent="0.35">
      <c r="A3" s="123" t="s">
        <v>242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</row>
    <row r="4" spans="1:12" ht="15.65" customHeight="1" thickBot="1" x14ac:dyDescent="0.4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 ht="15.65" customHeight="1" x14ac:dyDescent="0.35">
      <c r="A5" s="167" t="s">
        <v>243</v>
      </c>
      <c r="B5" s="168"/>
      <c r="C5" s="169" t="str">
        <f>'[1]Form-1'!C8</f>
        <v>X-8</v>
      </c>
      <c r="D5" s="170"/>
      <c r="E5" s="171" t="s">
        <v>244</v>
      </c>
      <c r="F5" s="169"/>
      <c r="G5" s="169"/>
      <c r="H5" s="169"/>
      <c r="I5" s="170"/>
      <c r="J5" s="172" t="s">
        <v>245</v>
      </c>
      <c r="K5" s="168"/>
      <c r="L5" s="173"/>
    </row>
    <row r="6" spans="1:12" ht="15.65" customHeight="1" x14ac:dyDescent="0.35">
      <c r="A6" s="174" t="s">
        <v>246</v>
      </c>
      <c r="B6" s="175"/>
      <c r="C6" s="176" t="str">
        <f>'[2]Form-1'!C6</f>
        <v>Sullia</v>
      </c>
      <c r="D6" s="177"/>
      <c r="E6" s="178" t="s">
        <v>247</v>
      </c>
      <c r="F6" s="179"/>
      <c r="G6" s="176" t="str">
        <f>'[3]Form 1'!C3</f>
        <v>Mangalore</v>
      </c>
      <c r="H6" s="176"/>
      <c r="I6" s="177"/>
      <c r="J6" s="178" t="s">
        <v>248</v>
      </c>
      <c r="K6" s="176" t="str">
        <f>'Form-2'!C13</f>
        <v>205 mts</v>
      </c>
      <c r="L6" s="180"/>
    </row>
    <row r="7" spans="1:12" ht="15.65" customHeight="1" thickBot="1" x14ac:dyDescent="0.4">
      <c r="A7" s="181" t="s">
        <v>249</v>
      </c>
      <c r="B7" s="182"/>
      <c r="C7" s="183" t="str">
        <f>'Form-1'!C10</f>
        <v xml:space="preserve">12.5786
</v>
      </c>
      <c r="D7" s="184"/>
      <c r="E7" s="185" t="s">
        <v>250</v>
      </c>
      <c r="F7" s="186"/>
      <c r="G7" s="187">
        <f>'Form-1'!C11</f>
        <v>75.464399999999998</v>
      </c>
      <c r="H7" s="187"/>
      <c r="I7" s="188"/>
      <c r="J7" s="185" t="s">
        <v>251</v>
      </c>
      <c r="K7" s="187">
        <f>'Form-2'!C10</f>
        <v>692</v>
      </c>
      <c r="L7" s="189"/>
    </row>
    <row r="8" spans="1:12" ht="15.65" customHeight="1" thickBot="1" x14ac:dyDescent="0.4">
      <c r="A8" s="5"/>
      <c r="B8" s="5"/>
      <c r="C8" s="190"/>
      <c r="D8" s="237"/>
      <c r="E8" s="1"/>
      <c r="F8" s="1"/>
      <c r="G8" s="1"/>
      <c r="H8" s="1"/>
      <c r="I8" s="1"/>
      <c r="J8" s="1"/>
      <c r="K8" s="1"/>
      <c r="L8" s="1"/>
    </row>
    <row r="9" spans="1:12" ht="18.649999999999999" customHeight="1" x14ac:dyDescent="0.35">
      <c r="A9" s="191" t="s">
        <v>26</v>
      </c>
      <c r="B9" s="192" t="s">
        <v>27</v>
      </c>
      <c r="C9" s="193"/>
      <c r="D9" s="194" t="s">
        <v>28</v>
      </c>
      <c r="E9" s="195" t="s">
        <v>252</v>
      </c>
      <c r="F9" s="196" t="s">
        <v>253</v>
      </c>
      <c r="G9" s="195" t="s">
        <v>254</v>
      </c>
      <c r="H9" s="197" t="s">
        <v>31</v>
      </c>
      <c r="I9" s="198"/>
      <c r="J9" s="198"/>
      <c r="K9" s="199"/>
      <c r="L9" s="200" t="s">
        <v>255</v>
      </c>
    </row>
    <row r="10" spans="1:12" ht="49" customHeight="1" x14ac:dyDescent="0.35">
      <c r="A10" s="201"/>
      <c r="B10" s="202"/>
      <c r="C10" s="203"/>
      <c r="D10" s="121"/>
      <c r="E10" s="120"/>
      <c r="F10" s="102" t="s">
        <v>256</v>
      </c>
      <c r="G10" s="120"/>
      <c r="H10" s="204" t="s">
        <v>257</v>
      </c>
      <c r="I10" s="205"/>
      <c r="J10" s="204" t="s">
        <v>34</v>
      </c>
      <c r="K10" s="205"/>
      <c r="L10" s="206"/>
    </row>
    <row r="11" spans="1:12" ht="15.65" customHeight="1" x14ac:dyDescent="0.35">
      <c r="A11" s="234">
        <v>1</v>
      </c>
      <c r="B11" s="235"/>
      <c r="C11" s="236"/>
      <c r="D11" s="238" t="s">
        <v>184</v>
      </c>
      <c r="E11" s="85">
        <v>114</v>
      </c>
      <c r="F11" s="85"/>
      <c r="G11" s="85">
        <v>10</v>
      </c>
      <c r="H11" s="208"/>
      <c r="I11" s="208"/>
      <c r="J11" s="209"/>
      <c r="K11" s="209"/>
      <c r="L11" s="207"/>
    </row>
    <row r="12" spans="1:12" ht="15.65" customHeight="1" x14ac:dyDescent="0.35">
      <c r="A12" s="207">
        <v>2</v>
      </c>
      <c r="B12" s="235"/>
      <c r="C12" s="236"/>
      <c r="D12" s="239" t="s">
        <v>222</v>
      </c>
      <c r="E12" s="85">
        <v>62</v>
      </c>
      <c r="F12" s="85"/>
      <c r="G12" s="85">
        <v>10</v>
      </c>
      <c r="H12" s="208"/>
      <c r="I12" s="208"/>
      <c r="J12" s="209"/>
      <c r="K12" s="209"/>
      <c r="L12" s="207"/>
    </row>
    <row r="13" spans="1:12" ht="15.65" customHeight="1" x14ac:dyDescent="0.35">
      <c r="A13" s="207">
        <v>3</v>
      </c>
      <c r="B13" s="235"/>
      <c r="C13" s="236"/>
      <c r="D13" s="239" t="s">
        <v>223</v>
      </c>
      <c r="E13" s="85">
        <v>132</v>
      </c>
      <c r="F13" s="85"/>
      <c r="G13" s="85" t="s">
        <v>224</v>
      </c>
      <c r="H13" s="208"/>
      <c r="I13" s="208"/>
      <c r="J13" s="209"/>
      <c r="K13" s="209"/>
      <c r="L13" s="207"/>
    </row>
    <row r="14" spans="1:12" ht="15.65" customHeight="1" x14ac:dyDescent="0.35">
      <c r="A14" s="207">
        <v>4</v>
      </c>
      <c r="B14" s="104" t="s">
        <v>231</v>
      </c>
      <c r="C14" s="233"/>
      <c r="D14" s="239" t="s">
        <v>201</v>
      </c>
      <c r="E14" s="85">
        <v>38</v>
      </c>
      <c r="F14" s="85"/>
      <c r="G14" s="85">
        <v>6</v>
      </c>
      <c r="H14" s="208"/>
      <c r="I14" s="208"/>
      <c r="J14" s="209"/>
      <c r="K14" s="209"/>
      <c r="L14" s="207"/>
    </row>
    <row r="15" spans="1:12" ht="15.65" customHeight="1" x14ac:dyDescent="0.35">
      <c r="A15" s="207">
        <v>5</v>
      </c>
      <c r="B15" s="104" t="s">
        <v>232</v>
      </c>
      <c r="C15" s="233"/>
      <c r="D15" s="239" t="s">
        <v>220</v>
      </c>
      <c r="E15" s="85">
        <v>42</v>
      </c>
      <c r="F15" s="85"/>
      <c r="G15" s="85">
        <v>8</v>
      </c>
      <c r="H15" s="208"/>
      <c r="I15" s="208"/>
      <c r="J15" s="209"/>
      <c r="K15" s="209"/>
      <c r="L15" s="207"/>
    </row>
    <row r="16" spans="1:12" ht="15.65" customHeight="1" x14ac:dyDescent="0.35">
      <c r="A16" s="207">
        <v>6</v>
      </c>
      <c r="B16" s="104" t="s">
        <v>231</v>
      </c>
      <c r="C16" s="233"/>
      <c r="D16" s="239" t="s">
        <v>201</v>
      </c>
      <c r="E16" s="85">
        <v>44</v>
      </c>
      <c r="F16" s="85"/>
      <c r="G16" s="85">
        <v>8</v>
      </c>
      <c r="H16" s="208"/>
      <c r="I16" s="208"/>
      <c r="J16" s="209"/>
      <c r="K16" s="209"/>
      <c r="L16" s="207"/>
    </row>
    <row r="17" spans="1:12" ht="15.65" customHeight="1" x14ac:dyDescent="0.35">
      <c r="A17" s="207">
        <v>7</v>
      </c>
      <c r="B17" s="235"/>
      <c r="C17" s="236"/>
      <c r="D17" s="239" t="s">
        <v>184</v>
      </c>
      <c r="E17" s="85">
        <v>196</v>
      </c>
      <c r="F17" s="85"/>
      <c r="G17" s="85">
        <v>9</v>
      </c>
      <c r="H17" s="208"/>
      <c r="I17" s="208"/>
      <c r="J17" s="209"/>
      <c r="K17" s="209"/>
      <c r="L17" s="207"/>
    </row>
    <row r="18" spans="1:12" ht="15.65" customHeight="1" x14ac:dyDescent="0.35">
      <c r="A18" s="207">
        <v>8</v>
      </c>
      <c r="B18" s="104" t="s">
        <v>235</v>
      </c>
      <c r="C18" s="233"/>
      <c r="D18" s="239" t="s">
        <v>225</v>
      </c>
      <c r="E18" s="85">
        <v>42</v>
      </c>
      <c r="F18" s="85"/>
      <c r="G18" s="85">
        <v>10</v>
      </c>
      <c r="H18" s="208"/>
      <c r="I18" s="208"/>
      <c r="J18" s="209"/>
      <c r="K18" s="209"/>
      <c r="L18" s="207"/>
    </row>
    <row r="19" spans="1:12" ht="15.5" x14ac:dyDescent="0.35">
      <c r="A19" s="207">
        <v>9</v>
      </c>
      <c r="B19" s="104" t="s">
        <v>231</v>
      </c>
      <c r="C19" s="233"/>
      <c r="D19" s="239" t="s">
        <v>201</v>
      </c>
      <c r="E19" s="85">
        <v>40</v>
      </c>
      <c r="F19" s="85"/>
      <c r="G19" s="85">
        <v>8</v>
      </c>
      <c r="H19" s="208"/>
      <c r="I19" s="208"/>
      <c r="J19" s="209"/>
      <c r="K19" s="209"/>
      <c r="L19" s="207"/>
    </row>
    <row r="20" spans="1:12" ht="15.65" customHeight="1" x14ac:dyDescent="0.35">
      <c r="A20" s="207">
        <v>10</v>
      </c>
      <c r="B20" s="104" t="s">
        <v>233</v>
      </c>
      <c r="C20" s="233"/>
      <c r="D20" s="239" t="s">
        <v>226</v>
      </c>
      <c r="E20" s="85">
        <v>43</v>
      </c>
      <c r="F20" s="85"/>
      <c r="G20" s="85">
        <v>5</v>
      </c>
      <c r="H20" s="208"/>
      <c r="I20" s="208"/>
      <c r="J20" s="209"/>
      <c r="K20" s="209"/>
      <c r="L20" s="207"/>
    </row>
    <row r="21" spans="1:12" ht="15.65" customHeight="1" x14ac:dyDescent="0.35">
      <c r="A21" s="207">
        <v>11</v>
      </c>
      <c r="B21" s="104" t="s">
        <v>234</v>
      </c>
      <c r="C21" s="233"/>
      <c r="D21" s="239" t="s">
        <v>227</v>
      </c>
      <c r="E21" s="85">
        <v>38</v>
      </c>
      <c r="F21" s="85"/>
      <c r="G21" s="85">
        <v>10</v>
      </c>
      <c r="H21" s="208"/>
      <c r="I21" s="208"/>
      <c r="J21" s="209"/>
      <c r="K21" s="209"/>
      <c r="L21" s="207"/>
    </row>
    <row r="22" spans="1:12" ht="15.65" customHeight="1" x14ac:dyDescent="0.35">
      <c r="A22" s="207">
        <v>12</v>
      </c>
      <c r="B22" s="235"/>
      <c r="C22" s="236"/>
      <c r="D22" s="239" t="s">
        <v>184</v>
      </c>
      <c r="E22" s="85">
        <v>216</v>
      </c>
      <c r="F22" s="85"/>
      <c r="G22" s="85">
        <v>12</v>
      </c>
      <c r="H22" s="208"/>
      <c r="I22" s="208"/>
      <c r="J22" s="209"/>
      <c r="K22" s="209"/>
      <c r="L22" s="207"/>
    </row>
    <row r="23" spans="1:12" ht="15.5" x14ac:dyDescent="0.35">
      <c r="A23" s="207">
        <v>13</v>
      </c>
      <c r="B23" s="104" t="s">
        <v>231</v>
      </c>
      <c r="C23" s="233"/>
      <c r="D23" s="239" t="s">
        <v>201</v>
      </c>
      <c r="E23" s="85">
        <v>40</v>
      </c>
      <c r="F23" s="85"/>
      <c r="G23" s="85">
        <v>7</v>
      </c>
      <c r="H23" s="208"/>
      <c r="I23" s="208"/>
      <c r="J23" s="209"/>
      <c r="K23" s="209"/>
      <c r="L23" s="207"/>
    </row>
    <row r="24" spans="1:12" ht="15.5" x14ac:dyDescent="0.35">
      <c r="A24" s="207">
        <v>14</v>
      </c>
      <c r="B24" s="235"/>
      <c r="C24" s="236"/>
      <c r="D24" s="239" t="s">
        <v>184</v>
      </c>
      <c r="E24" s="85">
        <v>131</v>
      </c>
      <c r="F24" s="85"/>
      <c r="G24" s="85">
        <v>12</v>
      </c>
      <c r="H24" s="208"/>
      <c r="I24" s="208"/>
      <c r="J24" s="209"/>
      <c r="K24" s="209"/>
      <c r="L24" s="207"/>
    </row>
    <row r="25" spans="1:12" ht="15.5" x14ac:dyDescent="0.35">
      <c r="A25" s="207">
        <v>15</v>
      </c>
      <c r="B25" s="235"/>
      <c r="C25" s="236"/>
      <c r="D25" s="239" t="s">
        <v>223</v>
      </c>
      <c r="E25" s="85">
        <v>128</v>
      </c>
      <c r="F25" s="85"/>
      <c r="G25" s="85">
        <v>12</v>
      </c>
      <c r="H25" s="208"/>
      <c r="I25" s="208"/>
      <c r="J25" s="209"/>
      <c r="K25" s="209"/>
      <c r="L25" s="207"/>
    </row>
    <row r="26" spans="1:12" ht="15.5" x14ac:dyDescent="0.35">
      <c r="A26" s="207">
        <v>16</v>
      </c>
      <c r="B26" s="235"/>
      <c r="C26" s="236"/>
      <c r="D26" s="239" t="s">
        <v>184</v>
      </c>
      <c r="E26" s="85">
        <v>140</v>
      </c>
      <c r="F26" s="85"/>
      <c r="G26" s="85">
        <v>12</v>
      </c>
      <c r="H26" s="208"/>
      <c r="I26" s="208"/>
      <c r="J26" s="209"/>
      <c r="K26" s="209"/>
      <c r="L26" s="207"/>
    </row>
    <row r="27" spans="1:12" ht="15.5" x14ac:dyDescent="0.35">
      <c r="A27" s="207">
        <v>17</v>
      </c>
      <c r="B27" s="235"/>
      <c r="C27" s="236"/>
      <c r="D27" s="239" t="s">
        <v>222</v>
      </c>
      <c r="E27" s="85">
        <v>76</v>
      </c>
      <c r="F27" s="85"/>
      <c r="G27" s="85">
        <v>10</v>
      </c>
      <c r="H27" s="208"/>
      <c r="I27" s="208"/>
      <c r="J27" s="209"/>
      <c r="K27" s="209"/>
      <c r="L27" s="207"/>
    </row>
    <row r="28" spans="1:12" ht="15.5" x14ac:dyDescent="0.35">
      <c r="A28" s="207">
        <v>18</v>
      </c>
      <c r="B28" s="104" t="s">
        <v>231</v>
      </c>
      <c r="C28" s="233"/>
      <c r="D28" s="239" t="s">
        <v>201</v>
      </c>
      <c r="E28" s="85">
        <v>52</v>
      </c>
      <c r="F28" s="85"/>
      <c r="G28" s="85">
        <v>8</v>
      </c>
      <c r="H28" s="208"/>
      <c r="I28" s="208"/>
      <c r="J28" s="209"/>
      <c r="K28" s="209"/>
      <c r="L28" s="207"/>
    </row>
    <row r="29" spans="1:12" ht="15.5" x14ac:dyDescent="0.35">
      <c r="A29" s="207">
        <v>19</v>
      </c>
      <c r="B29" s="104" t="s">
        <v>231</v>
      </c>
      <c r="C29" s="233"/>
      <c r="D29" s="239" t="s">
        <v>201</v>
      </c>
      <c r="E29" s="85">
        <v>42</v>
      </c>
      <c r="F29" s="85"/>
      <c r="G29" s="85">
        <v>8</v>
      </c>
      <c r="H29" s="208"/>
      <c r="I29" s="208"/>
      <c r="J29" s="209"/>
      <c r="K29" s="209"/>
      <c r="L29" s="207"/>
    </row>
    <row r="30" spans="1:12" ht="15.5" x14ac:dyDescent="0.35">
      <c r="A30" s="207">
        <v>20</v>
      </c>
      <c r="B30" s="235" t="s">
        <v>231</v>
      </c>
      <c r="C30" s="236"/>
      <c r="D30" s="239" t="s">
        <v>201</v>
      </c>
      <c r="E30" s="85">
        <v>64</v>
      </c>
      <c r="F30" s="85"/>
      <c r="G30" s="85">
        <v>8</v>
      </c>
      <c r="H30" s="208"/>
      <c r="I30" s="208"/>
      <c r="J30" s="209"/>
      <c r="K30" s="209"/>
      <c r="L30" s="207"/>
    </row>
    <row r="31" spans="1:12" ht="15.5" x14ac:dyDescent="0.35">
      <c r="A31" s="207">
        <v>21</v>
      </c>
      <c r="B31" s="235"/>
      <c r="C31" s="236"/>
      <c r="D31" s="239" t="s">
        <v>184</v>
      </c>
      <c r="E31" s="85">
        <v>59</v>
      </c>
      <c r="F31" s="85"/>
      <c r="G31" s="85">
        <v>10</v>
      </c>
      <c r="H31" s="208"/>
      <c r="I31" s="208"/>
      <c r="J31" s="209"/>
      <c r="K31" s="209"/>
      <c r="L31" s="207"/>
    </row>
    <row r="32" spans="1:12" ht="15.5" x14ac:dyDescent="0.35">
      <c r="A32" s="207">
        <v>22</v>
      </c>
      <c r="B32" s="104" t="s">
        <v>232</v>
      </c>
      <c r="C32" s="233"/>
      <c r="D32" s="239" t="s">
        <v>220</v>
      </c>
      <c r="E32" s="85">
        <v>235</v>
      </c>
      <c r="F32" s="85"/>
      <c r="G32" s="85">
        <v>15</v>
      </c>
      <c r="H32" s="208"/>
      <c r="I32" s="208"/>
      <c r="J32" s="209"/>
      <c r="K32" s="209"/>
      <c r="L32" s="207"/>
    </row>
    <row r="33" spans="1:12" ht="15.5" x14ac:dyDescent="0.35">
      <c r="A33" s="207">
        <v>23</v>
      </c>
      <c r="B33" s="104" t="s">
        <v>231</v>
      </c>
      <c r="C33" s="233"/>
      <c r="D33" s="239" t="s">
        <v>201</v>
      </c>
      <c r="E33" s="85">
        <v>62</v>
      </c>
      <c r="F33" s="85"/>
      <c r="G33" s="85">
        <v>10</v>
      </c>
      <c r="H33" s="208"/>
      <c r="I33" s="208"/>
      <c r="J33" s="209"/>
      <c r="K33" s="209"/>
      <c r="L33" s="207"/>
    </row>
    <row r="34" spans="1:12" ht="15.5" x14ac:dyDescent="0.35">
      <c r="A34" s="207">
        <v>24</v>
      </c>
      <c r="B34" s="104" t="s">
        <v>233</v>
      </c>
      <c r="C34" s="233"/>
      <c r="D34" s="239" t="s">
        <v>226</v>
      </c>
      <c r="E34" s="85">
        <v>33</v>
      </c>
      <c r="F34" s="85"/>
      <c r="G34" s="85">
        <v>6</v>
      </c>
      <c r="H34" s="208"/>
      <c r="I34" s="208"/>
      <c r="J34" s="209"/>
      <c r="K34" s="209"/>
      <c r="L34" s="207"/>
    </row>
    <row r="35" spans="1:12" ht="15.5" x14ac:dyDescent="0.35">
      <c r="A35" s="207">
        <v>25</v>
      </c>
      <c r="B35" s="104" t="s">
        <v>231</v>
      </c>
      <c r="C35" s="233"/>
      <c r="D35" s="239" t="s">
        <v>201</v>
      </c>
      <c r="E35" s="85">
        <v>96</v>
      </c>
      <c r="F35" s="85"/>
      <c r="G35" s="85">
        <v>10</v>
      </c>
      <c r="H35" s="208"/>
      <c r="I35" s="208"/>
      <c r="J35" s="209"/>
      <c r="K35" s="209"/>
      <c r="L35" s="207"/>
    </row>
    <row r="36" spans="1:12" ht="15.5" x14ac:dyDescent="0.35">
      <c r="A36" s="207">
        <v>26</v>
      </c>
      <c r="B36" s="104" t="s">
        <v>231</v>
      </c>
      <c r="C36" s="233"/>
      <c r="D36" s="239" t="s">
        <v>201</v>
      </c>
      <c r="E36" s="85">
        <v>37</v>
      </c>
      <c r="F36" s="85"/>
      <c r="G36" s="85">
        <v>8</v>
      </c>
      <c r="H36" s="208"/>
      <c r="I36" s="208"/>
      <c r="J36" s="209"/>
      <c r="K36" s="209"/>
      <c r="L36" s="207"/>
    </row>
    <row r="37" spans="1:12" ht="15.5" x14ac:dyDescent="0.35">
      <c r="A37" s="207">
        <v>27</v>
      </c>
      <c r="B37" s="235"/>
      <c r="C37" s="236"/>
      <c r="D37" s="239" t="s">
        <v>184</v>
      </c>
      <c r="E37" s="85">
        <v>112</v>
      </c>
      <c r="F37" s="85"/>
      <c r="G37" s="85">
        <v>12</v>
      </c>
      <c r="H37" s="208"/>
      <c r="I37" s="208"/>
      <c r="J37" s="209"/>
      <c r="K37" s="209"/>
      <c r="L37" s="207"/>
    </row>
    <row r="38" spans="1:12" ht="15.5" x14ac:dyDescent="0.35">
      <c r="A38" s="207">
        <v>28</v>
      </c>
      <c r="B38" s="104" t="s">
        <v>232</v>
      </c>
      <c r="C38" s="233"/>
      <c r="D38" s="239" t="s">
        <v>220</v>
      </c>
      <c r="E38" s="85">
        <v>78</v>
      </c>
      <c r="F38" s="85"/>
      <c r="G38" s="85">
        <v>12</v>
      </c>
      <c r="H38" s="208"/>
      <c r="I38" s="208"/>
      <c r="J38" s="209"/>
      <c r="K38" s="209"/>
      <c r="L38" s="207"/>
    </row>
    <row r="39" spans="1:12" ht="15.5" x14ac:dyDescent="0.35">
      <c r="A39" s="207">
        <v>29</v>
      </c>
      <c r="B39" s="104" t="s">
        <v>232</v>
      </c>
      <c r="C39" s="233"/>
      <c r="D39" s="239" t="s">
        <v>220</v>
      </c>
      <c r="E39" s="85">
        <v>71</v>
      </c>
      <c r="F39" s="85"/>
      <c r="G39" s="85">
        <v>10</v>
      </c>
      <c r="H39" s="208"/>
      <c r="I39" s="208"/>
      <c r="J39" s="209"/>
      <c r="K39" s="209"/>
      <c r="L39" s="207"/>
    </row>
    <row r="40" spans="1:12" ht="15.5" x14ac:dyDescent="0.35">
      <c r="A40" s="207">
        <v>30</v>
      </c>
      <c r="B40" s="235"/>
      <c r="C40" s="236"/>
      <c r="D40" s="239" t="s">
        <v>184</v>
      </c>
      <c r="E40" s="85">
        <v>38</v>
      </c>
      <c r="F40" s="85"/>
      <c r="G40" s="85">
        <v>8</v>
      </c>
      <c r="H40" s="208"/>
      <c r="I40" s="208"/>
      <c r="J40" s="209"/>
      <c r="K40" s="209"/>
      <c r="L40" s="207"/>
    </row>
    <row r="41" spans="1:12" ht="15.5" x14ac:dyDescent="0.35">
      <c r="A41" s="207">
        <v>31</v>
      </c>
      <c r="B41" s="104" t="s">
        <v>231</v>
      </c>
      <c r="C41" s="233"/>
      <c r="D41" s="239" t="s">
        <v>201</v>
      </c>
      <c r="E41" s="85">
        <v>56</v>
      </c>
      <c r="F41" s="85"/>
      <c r="G41" s="85">
        <v>8</v>
      </c>
      <c r="H41" s="208"/>
      <c r="I41" s="208"/>
      <c r="J41" s="209"/>
      <c r="K41" s="209"/>
      <c r="L41" s="207"/>
    </row>
    <row r="42" spans="1:12" ht="15.5" x14ac:dyDescent="0.35">
      <c r="A42" s="207">
        <v>32</v>
      </c>
      <c r="B42" s="104" t="s">
        <v>231</v>
      </c>
      <c r="C42" s="233"/>
      <c r="D42" s="239" t="s">
        <v>201</v>
      </c>
      <c r="E42" s="85">
        <v>40</v>
      </c>
      <c r="F42" s="85"/>
      <c r="G42" s="85">
        <v>9</v>
      </c>
      <c r="H42" s="208"/>
      <c r="I42" s="208"/>
      <c r="J42" s="209"/>
      <c r="K42" s="209"/>
      <c r="L42" s="207"/>
    </row>
    <row r="43" spans="1:12" ht="15.5" x14ac:dyDescent="0.35">
      <c r="A43" s="207">
        <v>33</v>
      </c>
      <c r="B43" s="235"/>
      <c r="C43" s="236"/>
      <c r="D43" s="239" t="s">
        <v>222</v>
      </c>
      <c r="E43" s="85">
        <v>44</v>
      </c>
      <c r="F43" s="85"/>
      <c r="G43" s="85">
        <v>8</v>
      </c>
      <c r="H43" s="208"/>
      <c r="I43" s="208"/>
      <c r="J43" s="209"/>
      <c r="K43" s="209"/>
      <c r="L43" s="207"/>
    </row>
    <row r="44" spans="1:12" ht="15.5" x14ac:dyDescent="0.35">
      <c r="A44" s="207">
        <v>34</v>
      </c>
      <c r="B44" s="235"/>
      <c r="C44" s="236"/>
      <c r="D44" s="239" t="s">
        <v>184</v>
      </c>
      <c r="E44" s="85">
        <v>34</v>
      </c>
      <c r="F44" s="85"/>
      <c r="G44" s="85">
        <v>12</v>
      </c>
      <c r="H44" s="208"/>
      <c r="I44" s="208"/>
      <c r="J44" s="209"/>
      <c r="K44" s="209"/>
      <c r="L44" s="207"/>
    </row>
    <row r="45" spans="1:12" ht="15.5" x14ac:dyDescent="0.35">
      <c r="A45" s="207">
        <v>35</v>
      </c>
      <c r="B45" s="104" t="s">
        <v>231</v>
      </c>
      <c r="C45" s="233"/>
      <c r="D45" s="239" t="s">
        <v>201</v>
      </c>
      <c r="E45" s="85">
        <v>47</v>
      </c>
      <c r="F45" s="85"/>
      <c r="G45" s="85">
        <v>8</v>
      </c>
      <c r="H45" s="208"/>
      <c r="I45" s="208"/>
      <c r="J45" s="209"/>
      <c r="K45" s="209"/>
      <c r="L45" s="207"/>
    </row>
    <row r="46" spans="1:12" ht="15.5" x14ac:dyDescent="0.35">
      <c r="A46" s="207">
        <v>36</v>
      </c>
      <c r="B46" s="235"/>
      <c r="C46" s="236"/>
      <c r="D46" s="239" t="s">
        <v>222</v>
      </c>
      <c r="E46" s="85">
        <v>72</v>
      </c>
      <c r="F46" s="85"/>
      <c r="G46" s="85">
        <v>12</v>
      </c>
      <c r="H46" s="208"/>
      <c r="I46" s="208"/>
      <c r="J46" s="209"/>
      <c r="K46" s="209"/>
      <c r="L46" s="207"/>
    </row>
    <row r="47" spans="1:12" ht="15.5" x14ac:dyDescent="0.35">
      <c r="A47" s="207">
        <v>37</v>
      </c>
      <c r="B47" s="235"/>
      <c r="C47" s="236"/>
      <c r="D47" s="239" t="s">
        <v>184</v>
      </c>
      <c r="E47" s="85">
        <v>142</v>
      </c>
      <c r="F47" s="85"/>
      <c r="G47" s="85">
        <v>12</v>
      </c>
      <c r="H47" s="208"/>
      <c r="I47" s="208"/>
      <c r="J47" s="209"/>
      <c r="K47" s="209"/>
      <c r="L47" s="207"/>
    </row>
    <row r="48" spans="1:12" ht="15.5" x14ac:dyDescent="0.35">
      <c r="A48" s="207">
        <v>38</v>
      </c>
      <c r="B48" s="235"/>
      <c r="C48" s="236"/>
      <c r="D48" s="239" t="s">
        <v>184</v>
      </c>
      <c r="E48" s="85">
        <v>65</v>
      </c>
      <c r="F48" s="85"/>
      <c r="G48" s="85">
        <v>10</v>
      </c>
      <c r="H48" s="208"/>
      <c r="I48" s="208"/>
      <c r="J48" s="209"/>
      <c r="K48" s="209"/>
      <c r="L48" s="207"/>
    </row>
    <row r="49" spans="1:12" ht="15.5" x14ac:dyDescent="0.35">
      <c r="A49" s="207">
        <v>39</v>
      </c>
      <c r="B49" s="235"/>
      <c r="C49" s="236"/>
      <c r="D49" s="239" t="s">
        <v>222</v>
      </c>
      <c r="E49" s="85">
        <v>55</v>
      </c>
      <c r="F49" s="85"/>
      <c r="G49" s="85">
        <v>10</v>
      </c>
      <c r="H49" s="208"/>
      <c r="I49" s="208"/>
      <c r="J49" s="209"/>
      <c r="K49" s="209"/>
      <c r="L49" s="207"/>
    </row>
    <row r="50" spans="1:12" ht="15.5" x14ac:dyDescent="0.35">
      <c r="A50" s="207">
        <v>40</v>
      </c>
      <c r="B50" s="104" t="s">
        <v>231</v>
      </c>
      <c r="C50" s="233"/>
      <c r="D50" s="239" t="s">
        <v>201</v>
      </c>
      <c r="E50" s="85">
        <v>39</v>
      </c>
      <c r="F50" s="85"/>
      <c r="G50" s="85">
        <v>9</v>
      </c>
      <c r="H50" s="208"/>
      <c r="I50" s="208"/>
      <c r="J50" s="209"/>
      <c r="K50" s="209"/>
      <c r="L50" s="207"/>
    </row>
    <row r="51" spans="1:12" ht="15.5" x14ac:dyDescent="0.35">
      <c r="A51" s="207">
        <v>41</v>
      </c>
      <c r="B51" s="104" t="s">
        <v>232</v>
      </c>
      <c r="C51" s="233"/>
      <c r="D51" s="239" t="s">
        <v>220</v>
      </c>
      <c r="E51" s="85">
        <v>42</v>
      </c>
      <c r="F51" s="85"/>
      <c r="G51" s="85">
        <v>9</v>
      </c>
      <c r="H51" s="208"/>
      <c r="I51" s="208"/>
      <c r="J51" s="209"/>
      <c r="K51" s="209"/>
      <c r="L51" s="207"/>
    </row>
  </sheetData>
  <mergeCells count="107">
    <mergeCell ref="H49:I49"/>
    <mergeCell ref="J49:K49"/>
    <mergeCell ref="H50:I50"/>
    <mergeCell ref="J50:K50"/>
    <mergeCell ref="H51:I51"/>
    <mergeCell ref="J51:K51"/>
    <mergeCell ref="H46:I46"/>
    <mergeCell ref="J46:K46"/>
    <mergeCell ref="H47:I47"/>
    <mergeCell ref="J47:K47"/>
    <mergeCell ref="H48:I48"/>
    <mergeCell ref="J48:K48"/>
    <mergeCell ref="H43:I43"/>
    <mergeCell ref="J43:K43"/>
    <mergeCell ref="H44:I44"/>
    <mergeCell ref="J44:K44"/>
    <mergeCell ref="H45:I45"/>
    <mergeCell ref="J45:K45"/>
    <mergeCell ref="H40:I40"/>
    <mergeCell ref="J40:K40"/>
    <mergeCell ref="H41:I41"/>
    <mergeCell ref="J41:K41"/>
    <mergeCell ref="H42:I42"/>
    <mergeCell ref="J42:K42"/>
    <mergeCell ref="H37:I37"/>
    <mergeCell ref="J37:K37"/>
    <mergeCell ref="H38:I38"/>
    <mergeCell ref="J38:K38"/>
    <mergeCell ref="H39:I39"/>
    <mergeCell ref="J39:K39"/>
    <mergeCell ref="H34:I34"/>
    <mergeCell ref="J34:K34"/>
    <mergeCell ref="H35:I35"/>
    <mergeCell ref="J35:K35"/>
    <mergeCell ref="H36:I36"/>
    <mergeCell ref="J36:K36"/>
    <mergeCell ref="H31:I31"/>
    <mergeCell ref="J31:K31"/>
    <mergeCell ref="H32:I32"/>
    <mergeCell ref="J32:K32"/>
    <mergeCell ref="H33:I33"/>
    <mergeCell ref="J33:K33"/>
    <mergeCell ref="H28:I28"/>
    <mergeCell ref="J28:K28"/>
    <mergeCell ref="H29:I29"/>
    <mergeCell ref="J29:K29"/>
    <mergeCell ref="H30:I30"/>
    <mergeCell ref="J30:K30"/>
    <mergeCell ref="H25:I25"/>
    <mergeCell ref="J25:K25"/>
    <mergeCell ref="H26:I26"/>
    <mergeCell ref="J26:K26"/>
    <mergeCell ref="H27:I27"/>
    <mergeCell ref="J27:K27"/>
    <mergeCell ref="H22:I22"/>
    <mergeCell ref="J22:K22"/>
    <mergeCell ref="H23:I23"/>
    <mergeCell ref="J23:K23"/>
    <mergeCell ref="H24:I24"/>
    <mergeCell ref="J24:K24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L9:L10"/>
    <mergeCell ref="H10:I10"/>
    <mergeCell ref="J10:K10"/>
    <mergeCell ref="H11:I11"/>
    <mergeCell ref="J11:K11"/>
    <mergeCell ref="H12:I12"/>
    <mergeCell ref="J12:K12"/>
    <mergeCell ref="A9:A10"/>
    <mergeCell ref="B9:C10"/>
    <mergeCell ref="D9:D10"/>
    <mergeCell ref="E9:E10"/>
    <mergeCell ref="G9:G10"/>
    <mergeCell ref="H9:K9"/>
    <mergeCell ref="A6:B6"/>
    <mergeCell ref="C6:D6"/>
    <mergeCell ref="G6:I6"/>
    <mergeCell ref="K6:L6"/>
    <mergeCell ref="A7:B7"/>
    <mergeCell ref="C7:D7"/>
    <mergeCell ref="G7:I7"/>
    <mergeCell ref="K7:L7"/>
    <mergeCell ref="A1:L1"/>
    <mergeCell ref="A2:L2"/>
    <mergeCell ref="A3:L3"/>
    <mergeCell ref="A4:L4"/>
    <mergeCell ref="A5:B5"/>
    <mergeCell ref="C5:D5"/>
    <mergeCell ref="E5:I5"/>
    <mergeCell ref="K5:L5"/>
  </mergeCells>
  <pageMargins left="0.31496062992125984" right="0.31496062992125984" top="0.3543307086614173" bottom="0.3543307086614173" header="0.31496062992125984" footer="0.31496062992125984"/>
  <pageSetup paperSize="9" scale="9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view="pageLayout" zoomScaleNormal="100" workbookViewId="0">
      <selection activeCell="C12" sqref="C12"/>
    </sheetView>
  </sheetViews>
  <sheetFormatPr defaultRowHeight="14.5" x14ac:dyDescent="0.35"/>
  <cols>
    <col min="1" max="1" width="3.6328125" customWidth="1"/>
    <col min="2" max="2" width="14.26953125" customWidth="1"/>
    <col min="3" max="3" width="11.36328125" customWidth="1"/>
    <col min="4" max="4" width="7.7265625" customWidth="1"/>
    <col min="5" max="13" width="4.26953125" customWidth="1"/>
    <col min="15" max="15" width="7.26953125" bestFit="1" customWidth="1"/>
    <col min="17" max="17" width="11.7265625" customWidth="1"/>
  </cols>
  <sheetData>
    <row r="1" spans="1:17" ht="21" x14ac:dyDescent="0.35">
      <c r="A1" s="211" t="s">
        <v>258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1:17" ht="21" x14ac:dyDescent="0.35">
      <c r="A2" s="211" t="s">
        <v>259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</row>
    <row r="3" spans="1:17" x14ac:dyDescent="0.35">
      <c r="A3" s="212"/>
    </row>
    <row r="4" spans="1:17" ht="15" thickBot="1" x14ac:dyDescent="0.4">
      <c r="A4" s="212"/>
    </row>
    <row r="5" spans="1:17" ht="16" thickBot="1" x14ac:dyDescent="0.4">
      <c r="A5" s="213" t="s">
        <v>26</v>
      </c>
      <c r="B5" s="213" t="s">
        <v>27</v>
      </c>
      <c r="C5" s="213" t="s">
        <v>260</v>
      </c>
      <c r="D5" s="213" t="s">
        <v>261</v>
      </c>
      <c r="E5" s="214" t="s">
        <v>262</v>
      </c>
      <c r="F5" s="215"/>
      <c r="G5" s="215"/>
      <c r="H5" s="215"/>
      <c r="I5" s="215"/>
      <c r="J5" s="215"/>
      <c r="K5" s="215"/>
      <c r="L5" s="215"/>
      <c r="M5" s="216"/>
      <c r="N5" s="213" t="s">
        <v>263</v>
      </c>
      <c r="O5" s="214" t="s">
        <v>264</v>
      </c>
      <c r="P5" s="216"/>
      <c r="Q5" s="213" t="s">
        <v>265</v>
      </c>
    </row>
    <row r="6" spans="1:17" ht="15.5" x14ac:dyDescent="0.35">
      <c r="A6" s="217"/>
      <c r="B6" s="217"/>
      <c r="C6" s="217"/>
      <c r="D6" s="217"/>
      <c r="E6" s="218" t="s">
        <v>266</v>
      </c>
      <c r="F6" s="219"/>
      <c r="G6" s="220"/>
      <c r="H6" s="218" t="s">
        <v>267</v>
      </c>
      <c r="I6" s="219"/>
      <c r="J6" s="220"/>
      <c r="K6" s="218" t="s">
        <v>268</v>
      </c>
      <c r="L6" s="219"/>
      <c r="M6" s="220"/>
      <c r="N6" s="217"/>
      <c r="O6" s="213" t="s">
        <v>269</v>
      </c>
      <c r="P6" s="213" t="s">
        <v>270</v>
      </c>
      <c r="Q6" s="217"/>
    </row>
    <row r="7" spans="1:17" ht="16" thickBot="1" x14ac:dyDescent="0.4">
      <c r="A7" s="217"/>
      <c r="B7" s="217"/>
      <c r="C7" s="221"/>
      <c r="D7" s="217"/>
      <c r="E7" s="222" t="s">
        <v>271</v>
      </c>
      <c r="F7" s="223"/>
      <c r="G7" s="224"/>
      <c r="H7" s="222" t="s">
        <v>272</v>
      </c>
      <c r="I7" s="223"/>
      <c r="J7" s="224"/>
      <c r="K7" s="222" t="s">
        <v>271</v>
      </c>
      <c r="L7" s="223"/>
      <c r="M7" s="224"/>
      <c r="N7" s="217"/>
      <c r="O7" s="217"/>
      <c r="P7" s="217"/>
      <c r="Q7" s="217"/>
    </row>
    <row r="8" spans="1:17" ht="16" thickBot="1" x14ac:dyDescent="0.4">
      <c r="A8" s="225"/>
      <c r="B8" s="225"/>
      <c r="C8" s="225"/>
      <c r="D8" s="225"/>
      <c r="E8" s="226" t="s">
        <v>273</v>
      </c>
      <c r="F8" s="226" t="s">
        <v>274</v>
      </c>
      <c r="G8" s="226" t="s">
        <v>275</v>
      </c>
      <c r="H8" s="226" t="s">
        <v>273</v>
      </c>
      <c r="I8" s="226" t="s">
        <v>274</v>
      </c>
      <c r="J8" s="226" t="s">
        <v>275</v>
      </c>
      <c r="K8" s="226" t="s">
        <v>273</v>
      </c>
      <c r="L8" s="226" t="s">
        <v>274</v>
      </c>
      <c r="M8" s="226" t="s">
        <v>275</v>
      </c>
      <c r="N8" s="225"/>
      <c r="O8" s="225"/>
      <c r="P8" s="225"/>
      <c r="Q8" s="225"/>
    </row>
    <row r="9" spans="1:17" ht="24.65" customHeight="1" thickBot="1" x14ac:dyDescent="0.4">
      <c r="A9" s="227" t="s">
        <v>276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9"/>
    </row>
  </sheetData>
  <mergeCells count="19">
    <mergeCell ref="A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ageMargins left="0.31496062992125984" right="0.31496062992125984" top="0.3543307086614173" bottom="0.3543307086614173" header="0.31496062992125984" footer="0.31496062992125984"/>
  <pageSetup paperSize="9" scale="12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Layout" zoomScaleNormal="100" workbookViewId="0">
      <selection activeCell="C27" sqref="C27"/>
    </sheetView>
  </sheetViews>
  <sheetFormatPr defaultColWidth="9.1796875" defaultRowHeight="15.5" x14ac:dyDescent="0.35"/>
  <cols>
    <col min="1" max="1" width="3.90625" style="4" customWidth="1"/>
    <col min="2" max="2" width="24.453125" style="4" customWidth="1"/>
    <col min="3" max="3" width="16.81640625" style="4" customWidth="1"/>
    <col min="4" max="4" width="9.26953125" style="4" customWidth="1"/>
    <col min="5" max="5" width="7.6328125" style="4" customWidth="1"/>
    <col min="6" max="6" width="9.1796875" style="4"/>
    <col min="7" max="7" width="10.36328125" style="4" customWidth="1"/>
    <col min="8" max="8" width="19" style="4" customWidth="1"/>
    <col min="9" max="10" width="9.1796875" style="4"/>
    <col min="11" max="11" width="10.1796875" style="4" bestFit="1" customWidth="1"/>
    <col min="12" max="16384" width="9.1796875" style="4"/>
  </cols>
  <sheetData>
    <row r="1" spans="1:8" ht="18" customHeight="1" x14ac:dyDescent="0.35">
      <c r="A1" s="134" t="s">
        <v>110</v>
      </c>
      <c r="B1" s="135"/>
      <c r="C1" s="135"/>
      <c r="D1" s="135"/>
      <c r="E1" s="135"/>
      <c r="F1" s="135"/>
      <c r="G1" s="135"/>
      <c r="H1" s="136"/>
    </row>
    <row r="2" spans="1:8" s="11" customFormat="1" ht="17.5" customHeight="1" x14ac:dyDescent="0.35">
      <c r="A2" s="75"/>
      <c r="B2" s="76" t="s">
        <v>24</v>
      </c>
      <c r="C2" s="152">
        <f>'Form-1'!C9</f>
        <v>692</v>
      </c>
      <c r="D2" s="77"/>
      <c r="E2" s="77"/>
      <c r="F2" s="135" t="s">
        <v>25</v>
      </c>
      <c r="G2" s="135"/>
      <c r="H2" s="136"/>
    </row>
    <row r="3" spans="1:8" ht="17.5" customHeight="1" x14ac:dyDescent="0.35">
      <c r="A3" s="137" t="s">
        <v>26</v>
      </c>
      <c r="B3" s="137" t="s">
        <v>27</v>
      </c>
      <c r="C3" s="137" t="s">
        <v>28</v>
      </c>
      <c r="D3" s="137" t="s">
        <v>29</v>
      </c>
      <c r="E3" s="137" t="s">
        <v>30</v>
      </c>
      <c r="F3" s="138" t="s">
        <v>31</v>
      </c>
      <c r="G3" s="138"/>
      <c r="H3" s="137" t="s">
        <v>32</v>
      </c>
    </row>
    <row r="4" spans="1:8" ht="46.5" customHeight="1" x14ac:dyDescent="0.35">
      <c r="A4" s="139"/>
      <c r="B4" s="139"/>
      <c r="C4" s="139"/>
      <c r="D4" s="139"/>
      <c r="E4" s="139"/>
      <c r="F4" s="140" t="s">
        <v>33</v>
      </c>
      <c r="G4" s="140" t="s">
        <v>34</v>
      </c>
      <c r="H4" s="139"/>
    </row>
    <row r="5" spans="1:8" ht="16.5" customHeight="1" x14ac:dyDescent="0.35">
      <c r="A5" s="68">
        <v>1</v>
      </c>
      <c r="B5" s="141"/>
      <c r="C5" s="141" t="s">
        <v>199</v>
      </c>
      <c r="D5" s="141">
        <v>1.1000000000000001</v>
      </c>
      <c r="E5" s="141">
        <v>1</v>
      </c>
      <c r="F5" s="141"/>
      <c r="G5" s="141" t="s">
        <v>203</v>
      </c>
      <c r="H5" s="141"/>
    </row>
    <row r="6" spans="1:8" ht="16.5" customHeight="1" x14ac:dyDescent="0.35">
      <c r="A6" s="68">
        <v>2</v>
      </c>
      <c r="B6" s="141"/>
      <c r="C6" s="141" t="s">
        <v>200</v>
      </c>
      <c r="D6" s="141">
        <v>0.8</v>
      </c>
      <c r="E6" s="141">
        <v>1</v>
      </c>
      <c r="F6" s="141"/>
      <c r="G6" s="141" t="s">
        <v>204</v>
      </c>
      <c r="H6" s="141"/>
    </row>
    <row r="7" spans="1:8" ht="16.5" customHeight="1" x14ac:dyDescent="0.35">
      <c r="A7" s="68">
        <v>3</v>
      </c>
      <c r="B7" s="141"/>
      <c r="C7" s="141" t="s">
        <v>201</v>
      </c>
      <c r="D7" s="141">
        <v>0.5</v>
      </c>
      <c r="E7" s="141">
        <v>0.3</v>
      </c>
      <c r="F7" s="141"/>
      <c r="G7" s="141" t="s">
        <v>205</v>
      </c>
      <c r="H7" s="141"/>
    </row>
    <row r="8" spans="1:8" ht="16.5" customHeight="1" x14ac:dyDescent="0.35">
      <c r="A8" s="68">
        <v>4</v>
      </c>
      <c r="B8" s="141"/>
      <c r="C8" s="141" t="s">
        <v>202</v>
      </c>
      <c r="D8" s="141">
        <v>0.3</v>
      </c>
      <c r="E8" s="141">
        <v>0.2</v>
      </c>
      <c r="F8" s="141"/>
      <c r="G8" s="141" t="s">
        <v>205</v>
      </c>
      <c r="H8" s="141"/>
    </row>
    <row r="9" spans="1:8" ht="16.5" customHeight="1" x14ac:dyDescent="0.35">
      <c r="A9" s="68">
        <v>5</v>
      </c>
      <c r="B9" s="141"/>
      <c r="C9" s="141" t="s">
        <v>199</v>
      </c>
      <c r="D9" s="141">
        <v>0.4</v>
      </c>
      <c r="E9" s="141">
        <v>0.8</v>
      </c>
      <c r="F9" s="141"/>
      <c r="G9" s="141" t="s">
        <v>206</v>
      </c>
      <c r="H9" s="141"/>
    </row>
    <row r="10" spans="1:8" ht="16.5" customHeight="1" x14ac:dyDescent="0.35">
      <c r="A10" s="68">
        <v>6</v>
      </c>
      <c r="B10" s="141"/>
      <c r="C10" s="141" t="s">
        <v>199</v>
      </c>
      <c r="D10" s="141">
        <v>0.9</v>
      </c>
      <c r="E10" s="141">
        <v>0.8</v>
      </c>
      <c r="F10" s="141"/>
      <c r="G10" s="141" t="s">
        <v>207</v>
      </c>
      <c r="H10" s="141"/>
    </row>
    <row r="11" spans="1:8" s="11" customFormat="1" ht="15" customHeight="1" x14ac:dyDescent="0.35">
      <c r="A11" s="75"/>
      <c r="B11" s="76" t="str">
        <f>B2</f>
        <v xml:space="preserve">    Grid No:  </v>
      </c>
      <c r="C11" s="152">
        <f>C2</f>
        <v>692</v>
      </c>
      <c r="D11" s="77"/>
      <c r="E11" s="77"/>
      <c r="F11" s="78" t="s">
        <v>41</v>
      </c>
      <c r="G11" s="78"/>
      <c r="H11" s="79"/>
    </row>
    <row r="12" spans="1:8" ht="13.5" customHeight="1" x14ac:dyDescent="0.35">
      <c r="A12" s="138" t="s">
        <v>26</v>
      </c>
      <c r="B12" s="138" t="s">
        <v>27</v>
      </c>
      <c r="C12" s="138" t="s">
        <v>28</v>
      </c>
      <c r="D12" s="137" t="s">
        <v>29</v>
      </c>
      <c r="E12" s="138" t="s">
        <v>30</v>
      </c>
      <c r="F12" s="138" t="s">
        <v>31</v>
      </c>
      <c r="G12" s="138"/>
      <c r="H12" s="138" t="s">
        <v>32</v>
      </c>
    </row>
    <row r="13" spans="1:8" ht="47.5" customHeight="1" x14ac:dyDescent="0.35">
      <c r="A13" s="138"/>
      <c r="B13" s="138"/>
      <c r="C13" s="138"/>
      <c r="D13" s="139"/>
      <c r="E13" s="138"/>
      <c r="F13" s="140" t="s">
        <v>33</v>
      </c>
      <c r="G13" s="140" t="s">
        <v>34</v>
      </c>
      <c r="H13" s="138"/>
    </row>
    <row r="14" spans="1:8" ht="17.149999999999999" customHeight="1" x14ac:dyDescent="0.35">
      <c r="A14" s="68">
        <v>1</v>
      </c>
      <c r="B14" s="140"/>
      <c r="C14" s="68" t="s">
        <v>199</v>
      </c>
      <c r="D14" s="68">
        <v>0.7</v>
      </c>
      <c r="E14" s="68">
        <v>1</v>
      </c>
      <c r="F14" s="68"/>
      <c r="G14" s="68" t="s">
        <v>207</v>
      </c>
      <c r="H14" s="140"/>
    </row>
    <row r="15" spans="1:8" ht="17.149999999999999" customHeight="1" x14ac:dyDescent="0.35">
      <c r="A15" s="68">
        <v>2</v>
      </c>
      <c r="B15" s="140"/>
      <c r="C15" s="68" t="s">
        <v>208</v>
      </c>
      <c r="D15" s="68">
        <v>0.8</v>
      </c>
      <c r="E15" s="68">
        <v>1.5</v>
      </c>
      <c r="F15" s="68"/>
      <c r="G15" s="68" t="s">
        <v>206</v>
      </c>
      <c r="H15" s="140"/>
    </row>
    <row r="16" spans="1:8" ht="17.149999999999999" customHeight="1" x14ac:dyDescent="0.35">
      <c r="A16" s="68">
        <v>3</v>
      </c>
      <c r="B16" s="140"/>
      <c r="C16" s="68" t="s">
        <v>201</v>
      </c>
      <c r="D16" s="68">
        <v>0.4</v>
      </c>
      <c r="E16" s="68">
        <v>0.7</v>
      </c>
      <c r="F16" s="68"/>
      <c r="G16" s="68" t="s">
        <v>204</v>
      </c>
      <c r="H16" s="140"/>
    </row>
    <row r="17" spans="1:9" ht="17.149999999999999" customHeight="1" x14ac:dyDescent="0.35">
      <c r="A17" s="68">
        <v>4</v>
      </c>
      <c r="B17" s="140"/>
      <c r="C17" s="68" t="s">
        <v>199</v>
      </c>
      <c r="D17" s="68">
        <v>0.6</v>
      </c>
      <c r="E17" s="68">
        <v>0.5</v>
      </c>
      <c r="F17" s="68"/>
      <c r="G17" s="68" t="s">
        <v>210</v>
      </c>
      <c r="H17" s="140"/>
    </row>
    <row r="18" spans="1:9" ht="17.149999999999999" customHeight="1" x14ac:dyDescent="0.35">
      <c r="A18" s="68">
        <v>5</v>
      </c>
      <c r="B18" s="140"/>
      <c r="C18" s="68" t="s">
        <v>199</v>
      </c>
      <c r="D18" s="68">
        <v>0.9</v>
      </c>
      <c r="E18" s="68">
        <v>0.9</v>
      </c>
      <c r="F18" s="68"/>
      <c r="G18" s="68" t="s">
        <v>204</v>
      </c>
      <c r="H18" s="140"/>
    </row>
    <row r="19" spans="1:9" ht="17.149999999999999" customHeight="1" x14ac:dyDescent="0.35">
      <c r="A19" s="68">
        <v>6</v>
      </c>
      <c r="B19" s="140"/>
      <c r="C19" s="68" t="s">
        <v>199</v>
      </c>
      <c r="D19" s="68">
        <v>0.2</v>
      </c>
      <c r="E19" s="68">
        <v>0.2</v>
      </c>
      <c r="F19" s="68"/>
      <c r="G19" s="68" t="s">
        <v>205</v>
      </c>
      <c r="H19" s="140"/>
    </row>
    <row r="20" spans="1:9" ht="17.149999999999999" customHeight="1" x14ac:dyDescent="0.35">
      <c r="A20" s="68">
        <v>7</v>
      </c>
      <c r="B20" s="140"/>
      <c r="C20" s="68" t="s">
        <v>209</v>
      </c>
      <c r="D20" s="68">
        <v>0.4</v>
      </c>
      <c r="E20" s="68">
        <v>0.3</v>
      </c>
      <c r="F20" s="68"/>
      <c r="G20" s="68" t="s">
        <v>205</v>
      </c>
      <c r="H20" s="140"/>
    </row>
    <row r="21" spans="1:9" ht="17.149999999999999" customHeight="1" x14ac:dyDescent="0.35">
      <c r="A21" s="83"/>
      <c r="B21" s="80" t="str">
        <f>B2</f>
        <v xml:space="preserve">    Grid No:  </v>
      </c>
      <c r="C21" s="148">
        <f>C11</f>
        <v>692</v>
      </c>
      <c r="D21" s="81"/>
      <c r="E21" s="81"/>
      <c r="F21" s="78" t="s">
        <v>42</v>
      </c>
      <c r="G21" s="78"/>
      <c r="H21" s="82"/>
    </row>
    <row r="22" spans="1:9" ht="17.5" customHeight="1" x14ac:dyDescent="0.35">
      <c r="A22" s="138" t="s">
        <v>26</v>
      </c>
      <c r="B22" s="138" t="s">
        <v>27</v>
      </c>
      <c r="C22" s="138" t="s">
        <v>28</v>
      </c>
      <c r="D22" s="137" t="s">
        <v>29</v>
      </c>
      <c r="E22" s="138" t="s">
        <v>30</v>
      </c>
      <c r="F22" s="138" t="s">
        <v>31</v>
      </c>
      <c r="G22" s="138"/>
      <c r="H22" s="138" t="s">
        <v>32</v>
      </c>
    </row>
    <row r="23" spans="1:9" ht="48" customHeight="1" x14ac:dyDescent="0.35">
      <c r="A23" s="138"/>
      <c r="B23" s="138"/>
      <c r="C23" s="138"/>
      <c r="D23" s="139"/>
      <c r="E23" s="138"/>
      <c r="F23" s="140" t="s">
        <v>33</v>
      </c>
      <c r="G23" s="140" t="s">
        <v>34</v>
      </c>
      <c r="H23" s="138"/>
    </row>
    <row r="24" spans="1:9" ht="17.149999999999999" customHeight="1" x14ac:dyDescent="0.35">
      <c r="A24" s="68">
        <v>1</v>
      </c>
      <c r="B24" s="140"/>
      <c r="C24" s="68" t="s">
        <v>199</v>
      </c>
      <c r="D24" s="142">
        <v>1</v>
      </c>
      <c r="E24" s="68">
        <v>1</v>
      </c>
      <c r="F24" s="68"/>
      <c r="G24" s="68" t="s">
        <v>206</v>
      </c>
      <c r="H24" s="140"/>
    </row>
    <row r="25" spans="1:9" ht="17.149999999999999" customHeight="1" x14ac:dyDescent="0.35">
      <c r="A25" s="68">
        <v>2</v>
      </c>
      <c r="B25" s="140"/>
      <c r="C25" s="68" t="s">
        <v>199</v>
      </c>
      <c r="D25" s="142">
        <v>1.3</v>
      </c>
      <c r="E25" s="68">
        <v>1</v>
      </c>
      <c r="F25" s="68"/>
      <c r="G25" s="68" t="s">
        <v>206</v>
      </c>
      <c r="H25" s="140"/>
    </row>
    <row r="26" spans="1:9" ht="17.149999999999999" customHeight="1" x14ac:dyDescent="0.35">
      <c r="A26" s="68">
        <v>3</v>
      </c>
      <c r="B26" s="140"/>
      <c r="C26" s="68" t="s">
        <v>199</v>
      </c>
      <c r="D26" s="142">
        <v>0.4</v>
      </c>
      <c r="E26" s="68">
        <v>0.3</v>
      </c>
      <c r="F26" s="68"/>
      <c r="G26" s="68" t="s">
        <v>205</v>
      </c>
      <c r="H26" s="140"/>
    </row>
    <row r="27" spans="1:9" s="11" customFormat="1" ht="16.5" customHeight="1" x14ac:dyDescent="0.35">
      <c r="A27" s="143"/>
      <c r="B27" s="144" t="str">
        <f>B2</f>
        <v xml:space="preserve">    Grid No:  </v>
      </c>
      <c r="C27" s="163">
        <f>C21</f>
        <v>692</v>
      </c>
      <c r="D27" s="143"/>
      <c r="E27" s="143"/>
      <c r="F27" s="145" t="s">
        <v>43</v>
      </c>
      <c r="G27" s="145"/>
      <c r="H27" s="145"/>
      <c r="I27" s="67"/>
    </row>
    <row r="28" spans="1:9" ht="24" customHeight="1" x14ac:dyDescent="0.35">
      <c r="A28" s="137" t="s">
        <v>26</v>
      </c>
      <c r="B28" s="137" t="s">
        <v>27</v>
      </c>
      <c r="C28" s="137" t="s">
        <v>28</v>
      </c>
      <c r="D28" s="137" t="s">
        <v>29</v>
      </c>
      <c r="E28" s="137" t="s">
        <v>30</v>
      </c>
      <c r="F28" s="146" t="s">
        <v>31</v>
      </c>
      <c r="G28" s="147"/>
      <c r="H28" s="137" t="s">
        <v>32</v>
      </c>
    </row>
    <row r="29" spans="1:9" ht="50.5" customHeight="1" x14ac:dyDescent="0.35">
      <c r="A29" s="139"/>
      <c r="B29" s="139"/>
      <c r="C29" s="139"/>
      <c r="D29" s="139"/>
      <c r="E29" s="139"/>
      <c r="F29" s="140" t="s">
        <v>33</v>
      </c>
      <c r="G29" s="140" t="s">
        <v>34</v>
      </c>
      <c r="H29" s="139"/>
    </row>
    <row r="30" spans="1:9" s="11" customFormat="1" ht="16" customHeight="1" x14ac:dyDescent="0.35">
      <c r="A30" s="68">
        <v>1</v>
      </c>
      <c r="B30" s="140"/>
      <c r="C30" s="68" t="s">
        <v>199</v>
      </c>
      <c r="D30" s="142">
        <v>0.9</v>
      </c>
      <c r="E30" s="68">
        <v>1</v>
      </c>
      <c r="F30" s="68"/>
      <c r="G30" s="68" t="s">
        <v>207</v>
      </c>
      <c r="H30" s="140"/>
    </row>
    <row r="31" spans="1:9" s="11" customFormat="1" ht="16" customHeight="1" x14ac:dyDescent="0.35">
      <c r="A31" s="68">
        <v>2</v>
      </c>
      <c r="B31" s="140"/>
      <c r="C31" s="68" t="s">
        <v>199</v>
      </c>
      <c r="D31" s="142">
        <v>0.7</v>
      </c>
      <c r="E31" s="68">
        <v>0.8</v>
      </c>
      <c r="F31" s="68"/>
      <c r="G31" s="68" t="s">
        <v>206</v>
      </c>
      <c r="H31" s="140"/>
    </row>
    <row r="32" spans="1:9" s="11" customFormat="1" ht="16" customHeight="1" x14ac:dyDescent="0.35">
      <c r="A32" s="68">
        <v>3</v>
      </c>
      <c r="B32" s="140"/>
      <c r="C32" s="68" t="s">
        <v>201</v>
      </c>
      <c r="D32" s="142">
        <v>0.4</v>
      </c>
      <c r="E32" s="68">
        <v>0.3</v>
      </c>
      <c r="F32" s="68"/>
      <c r="G32" s="68" t="s">
        <v>210</v>
      </c>
      <c r="H32" s="140"/>
    </row>
    <row r="33" spans="1:8" ht="16" customHeight="1" x14ac:dyDescent="0.35">
      <c r="A33" s="68">
        <v>4</v>
      </c>
      <c r="B33" s="140"/>
      <c r="C33" s="68" t="s">
        <v>202</v>
      </c>
      <c r="D33" s="142">
        <v>0.2</v>
      </c>
      <c r="E33" s="68">
        <v>0.2</v>
      </c>
      <c r="F33" s="68"/>
      <c r="G33" s="68" t="s">
        <v>205</v>
      </c>
      <c r="H33" s="140"/>
    </row>
    <row r="34" spans="1:8" ht="16" customHeight="1" x14ac:dyDescent="0.35"/>
    <row r="35" spans="1:8" ht="13.5" customHeight="1" x14ac:dyDescent="0.35"/>
  </sheetData>
  <mergeCells count="31">
    <mergeCell ref="H22:H23"/>
    <mergeCell ref="F27:H27"/>
    <mergeCell ref="A28:A29"/>
    <mergeCell ref="B28:B29"/>
    <mergeCell ref="C28:C29"/>
    <mergeCell ref="D28:D29"/>
    <mergeCell ref="E28:E29"/>
    <mergeCell ref="F28:G28"/>
    <mergeCell ref="H28:H29"/>
    <mergeCell ref="A22:A23"/>
    <mergeCell ref="B22:B23"/>
    <mergeCell ref="C22:C23"/>
    <mergeCell ref="D22:D23"/>
    <mergeCell ref="E22:E23"/>
    <mergeCell ref="F22:G22"/>
    <mergeCell ref="H12:H13"/>
    <mergeCell ref="A12:A13"/>
    <mergeCell ref="B12:B13"/>
    <mergeCell ref="C12:C13"/>
    <mergeCell ref="D12:D13"/>
    <mergeCell ref="E12:E13"/>
    <mergeCell ref="F12:G12"/>
    <mergeCell ref="A1:H1"/>
    <mergeCell ref="F2:H2"/>
    <mergeCell ref="A3:A4"/>
    <mergeCell ref="B3:B4"/>
    <mergeCell ref="C3:C4"/>
    <mergeCell ref="D3:D4"/>
    <mergeCell ref="E3:E4"/>
    <mergeCell ref="F3:G3"/>
    <mergeCell ref="H3:H4"/>
  </mergeCells>
  <pageMargins left="0.35433070866141736" right="0.23622047244094491" top="0.35433070866141736" bottom="0.27559055118110237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view="pageLayout" zoomScaleNormal="100" workbookViewId="0">
      <selection activeCell="C14" sqref="C14:C15"/>
    </sheetView>
  </sheetViews>
  <sheetFormatPr defaultColWidth="9.1796875" defaultRowHeight="15.5" x14ac:dyDescent="0.35"/>
  <cols>
    <col min="1" max="1" width="3.90625" style="161" customWidth="1"/>
    <col min="2" max="2" width="21.90625" style="161" customWidth="1"/>
    <col min="3" max="3" width="21.36328125" style="162" customWidth="1"/>
    <col min="4" max="4" width="9.1796875" style="161"/>
    <col min="5" max="6" width="10.1796875" style="161" customWidth="1"/>
    <col min="7" max="7" width="14.36328125" style="161" customWidth="1"/>
    <col min="8" max="16384" width="9.1796875" style="4"/>
  </cols>
  <sheetData>
    <row r="1" spans="1:7" ht="17.149999999999999" customHeight="1" x14ac:dyDescent="0.35">
      <c r="A1" s="164" t="s">
        <v>44</v>
      </c>
      <c r="B1" s="78"/>
      <c r="C1" s="78"/>
      <c r="D1" s="78"/>
      <c r="E1" s="78"/>
      <c r="F1" s="156">
        <f>'Form-1'!C9</f>
        <v>692</v>
      </c>
      <c r="G1" s="165"/>
    </row>
    <row r="2" spans="1:7" ht="15" customHeight="1" x14ac:dyDescent="0.35">
      <c r="A2" s="83"/>
      <c r="B2" s="81"/>
      <c r="C2" s="148"/>
      <c r="D2" s="81"/>
      <c r="E2" s="135" t="s">
        <v>25</v>
      </c>
      <c r="F2" s="135"/>
      <c r="G2" s="136"/>
    </row>
    <row r="3" spans="1:7" ht="16" customHeight="1" x14ac:dyDescent="0.35">
      <c r="A3" s="138" t="s">
        <v>26</v>
      </c>
      <c r="B3" s="138" t="s">
        <v>27</v>
      </c>
      <c r="C3" s="138" t="s">
        <v>28</v>
      </c>
      <c r="D3" s="138" t="s">
        <v>45</v>
      </c>
      <c r="E3" s="138" t="s">
        <v>31</v>
      </c>
      <c r="F3" s="138"/>
      <c r="G3" s="138" t="s">
        <v>46</v>
      </c>
    </row>
    <row r="4" spans="1:7" ht="59.15" customHeight="1" x14ac:dyDescent="0.35">
      <c r="A4" s="138"/>
      <c r="B4" s="138"/>
      <c r="C4" s="138"/>
      <c r="D4" s="138"/>
      <c r="E4" s="140" t="s">
        <v>33</v>
      </c>
      <c r="F4" s="140" t="s">
        <v>111</v>
      </c>
      <c r="G4" s="138"/>
    </row>
    <row r="5" spans="1:7" ht="16" customHeight="1" x14ac:dyDescent="0.35">
      <c r="A5" s="68">
        <v>1</v>
      </c>
      <c r="B5" s="140"/>
      <c r="C5" s="149" t="s">
        <v>199</v>
      </c>
      <c r="D5" s="68">
        <v>1</v>
      </c>
      <c r="E5" s="68"/>
      <c r="F5" s="68" t="s">
        <v>207</v>
      </c>
      <c r="G5" s="140"/>
    </row>
    <row r="6" spans="1:7" ht="16" customHeight="1" x14ac:dyDescent="0.35">
      <c r="A6" s="68">
        <v>2</v>
      </c>
      <c r="B6" s="140"/>
      <c r="C6" s="149" t="s">
        <v>199</v>
      </c>
      <c r="D6" s="68">
        <v>1</v>
      </c>
      <c r="E6" s="68"/>
      <c r="F6" s="68" t="s">
        <v>207</v>
      </c>
      <c r="G6" s="140"/>
    </row>
    <row r="7" spans="1:7" ht="15" customHeight="1" x14ac:dyDescent="0.35">
      <c r="A7" s="138" t="s">
        <v>35</v>
      </c>
      <c r="B7" s="138"/>
      <c r="C7" s="138"/>
      <c r="D7" s="138"/>
      <c r="E7" s="138"/>
      <c r="F7" s="138"/>
      <c r="G7" s="138"/>
    </row>
    <row r="8" spans="1:7" ht="20.5" customHeight="1" x14ac:dyDescent="0.35">
      <c r="A8" s="68">
        <v>1</v>
      </c>
      <c r="B8" s="150" t="s">
        <v>36</v>
      </c>
      <c r="C8" s="151"/>
      <c r="D8" s="151"/>
      <c r="E8" s="151"/>
      <c r="F8" s="151"/>
      <c r="G8" s="69" t="s">
        <v>211</v>
      </c>
    </row>
    <row r="9" spans="1:7" ht="20.5" customHeight="1" x14ac:dyDescent="0.35">
      <c r="A9" s="68">
        <v>2</v>
      </c>
      <c r="B9" s="150" t="s">
        <v>37</v>
      </c>
      <c r="C9" s="151"/>
      <c r="D9" s="151"/>
      <c r="E9" s="151"/>
      <c r="F9" s="151"/>
      <c r="G9" s="69" t="s">
        <v>212</v>
      </c>
    </row>
    <row r="10" spans="1:7" ht="20.5" customHeight="1" x14ac:dyDescent="0.35">
      <c r="A10" s="68">
        <v>3</v>
      </c>
      <c r="B10" s="150" t="s">
        <v>38</v>
      </c>
      <c r="C10" s="151"/>
      <c r="D10" s="151"/>
      <c r="E10" s="151"/>
      <c r="F10" s="151"/>
      <c r="G10" s="69" t="s">
        <v>213</v>
      </c>
    </row>
    <row r="11" spans="1:7" ht="20.5" customHeight="1" x14ac:dyDescent="0.35">
      <c r="A11" s="68">
        <v>4</v>
      </c>
      <c r="B11" s="150" t="s">
        <v>39</v>
      </c>
      <c r="C11" s="151"/>
      <c r="D11" s="151"/>
      <c r="E11" s="151"/>
      <c r="F11" s="151"/>
      <c r="G11" s="69" t="s">
        <v>214</v>
      </c>
    </row>
    <row r="12" spans="1:7" ht="20.5" customHeight="1" x14ac:dyDescent="0.35">
      <c r="A12" s="68">
        <v>5</v>
      </c>
      <c r="B12" s="150" t="s">
        <v>40</v>
      </c>
      <c r="C12" s="151"/>
      <c r="D12" s="151"/>
      <c r="E12" s="151"/>
      <c r="F12" s="151"/>
      <c r="G12" s="69" t="s">
        <v>207</v>
      </c>
    </row>
    <row r="13" spans="1:7" s="11" customFormat="1" ht="16" customHeight="1" x14ac:dyDescent="0.35">
      <c r="A13" s="75"/>
      <c r="B13" s="76" t="s">
        <v>47</v>
      </c>
      <c r="C13" s="156">
        <f>'Form-1'!C9</f>
        <v>692</v>
      </c>
      <c r="D13" s="77"/>
      <c r="E13" s="135" t="s">
        <v>48</v>
      </c>
      <c r="F13" s="135"/>
      <c r="G13" s="136"/>
    </row>
    <row r="14" spans="1:7" ht="18.649999999999999" customHeight="1" x14ac:dyDescent="0.35">
      <c r="A14" s="157" t="s">
        <v>26</v>
      </c>
      <c r="B14" s="157" t="s">
        <v>27</v>
      </c>
      <c r="C14" s="158" t="s">
        <v>28</v>
      </c>
      <c r="D14" s="157" t="s">
        <v>45</v>
      </c>
      <c r="E14" s="157" t="s">
        <v>31</v>
      </c>
      <c r="F14" s="157"/>
      <c r="G14" s="157" t="s">
        <v>46</v>
      </c>
    </row>
    <row r="15" spans="1:7" ht="53.15" customHeight="1" x14ac:dyDescent="0.35">
      <c r="A15" s="157"/>
      <c r="B15" s="157"/>
      <c r="C15" s="159"/>
      <c r="D15" s="157"/>
      <c r="E15" s="160" t="s">
        <v>112</v>
      </c>
      <c r="F15" s="160" t="s">
        <v>34</v>
      </c>
      <c r="G15" s="157"/>
    </row>
    <row r="16" spans="1:7" s="11" customFormat="1" ht="16" customHeight="1" x14ac:dyDescent="0.35">
      <c r="A16" s="153">
        <v>1</v>
      </c>
      <c r="B16" s="154"/>
      <c r="C16" s="155" t="s">
        <v>199</v>
      </c>
      <c r="D16" s="153">
        <v>1</v>
      </c>
      <c r="E16" s="154"/>
      <c r="F16" s="154" t="s">
        <v>206</v>
      </c>
      <c r="G16" s="154"/>
    </row>
    <row r="17" spans="1:7" s="11" customFormat="1" ht="16" customHeight="1" x14ac:dyDescent="0.35">
      <c r="A17" s="153">
        <v>2</v>
      </c>
      <c r="B17" s="154"/>
      <c r="C17" s="155" t="s">
        <v>199</v>
      </c>
      <c r="D17" s="153">
        <v>0.8</v>
      </c>
      <c r="E17" s="154"/>
      <c r="F17" s="154" t="s">
        <v>203</v>
      </c>
      <c r="G17" s="154"/>
    </row>
    <row r="18" spans="1:7" ht="15" customHeight="1" x14ac:dyDescent="0.35">
      <c r="A18" s="138" t="s">
        <v>35</v>
      </c>
      <c r="B18" s="138"/>
      <c r="C18" s="138"/>
      <c r="D18" s="138"/>
      <c r="E18" s="138"/>
      <c r="F18" s="138"/>
      <c r="G18" s="138"/>
    </row>
    <row r="19" spans="1:7" ht="18.649999999999999" customHeight="1" x14ac:dyDescent="0.35">
      <c r="A19" s="68">
        <v>1</v>
      </c>
      <c r="B19" s="150" t="s">
        <v>36</v>
      </c>
      <c r="C19" s="151"/>
      <c r="D19" s="151"/>
      <c r="E19" s="151"/>
      <c r="F19" s="151"/>
      <c r="G19" s="69" t="s">
        <v>215</v>
      </c>
    </row>
    <row r="20" spans="1:7" ht="18.649999999999999" customHeight="1" x14ac:dyDescent="0.35">
      <c r="A20" s="68">
        <v>2</v>
      </c>
      <c r="B20" s="150" t="s">
        <v>37</v>
      </c>
      <c r="C20" s="151"/>
      <c r="D20" s="151"/>
      <c r="E20" s="151"/>
      <c r="F20" s="151"/>
      <c r="G20" s="69" t="s">
        <v>216</v>
      </c>
    </row>
    <row r="21" spans="1:7" ht="18.649999999999999" customHeight="1" x14ac:dyDescent="0.35">
      <c r="A21" s="68">
        <v>3</v>
      </c>
      <c r="B21" s="150" t="s">
        <v>38</v>
      </c>
      <c r="C21" s="151"/>
      <c r="D21" s="151"/>
      <c r="E21" s="151"/>
      <c r="F21" s="151"/>
      <c r="G21" s="69" t="s">
        <v>217</v>
      </c>
    </row>
    <row r="22" spans="1:7" ht="18.649999999999999" customHeight="1" x14ac:dyDescent="0.35">
      <c r="A22" s="68">
        <v>4</v>
      </c>
      <c r="B22" s="150" t="s">
        <v>39</v>
      </c>
      <c r="C22" s="151"/>
      <c r="D22" s="151"/>
      <c r="E22" s="151"/>
      <c r="F22" s="151"/>
      <c r="G22" s="69" t="s">
        <v>218</v>
      </c>
    </row>
    <row r="23" spans="1:7" ht="18.649999999999999" customHeight="1" x14ac:dyDescent="0.35">
      <c r="A23" s="68">
        <v>5</v>
      </c>
      <c r="B23" s="150" t="s">
        <v>40</v>
      </c>
      <c r="C23" s="151"/>
      <c r="D23" s="151"/>
      <c r="E23" s="151"/>
      <c r="F23" s="151"/>
      <c r="G23" s="69" t="s">
        <v>219</v>
      </c>
    </row>
  </sheetData>
  <mergeCells count="26">
    <mergeCell ref="B20:F20"/>
    <mergeCell ref="B21:F21"/>
    <mergeCell ref="B22:F22"/>
    <mergeCell ref="B23:F23"/>
    <mergeCell ref="B9:F9"/>
    <mergeCell ref="B10:F10"/>
    <mergeCell ref="B11:F11"/>
    <mergeCell ref="B12:F12"/>
    <mergeCell ref="B19:F19"/>
    <mergeCell ref="A18:G18"/>
    <mergeCell ref="E13:G13"/>
    <mergeCell ref="A14:A15"/>
    <mergeCell ref="B14:B15"/>
    <mergeCell ref="C14:C15"/>
    <mergeCell ref="D14:D15"/>
    <mergeCell ref="E14:F14"/>
    <mergeCell ref="G14:G15"/>
    <mergeCell ref="A7:G7"/>
    <mergeCell ref="B8:F8"/>
    <mergeCell ref="E2:G2"/>
    <mergeCell ref="A3:A4"/>
    <mergeCell ref="B3:B4"/>
    <mergeCell ref="C3:C4"/>
    <mergeCell ref="D3:D4"/>
    <mergeCell ref="E3:F3"/>
    <mergeCell ref="G3:G4"/>
  </mergeCells>
  <pageMargins left="0.7" right="0.38" top="0.44" bottom="0.45" header="0.3" footer="0.3"/>
  <pageSetup paperSize="9" orientation="portrait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view="pageLayout" topLeftCell="A7" zoomScaleNormal="85" workbookViewId="0">
      <selection activeCell="I13" sqref="I13"/>
    </sheetView>
  </sheetViews>
  <sheetFormatPr defaultColWidth="9.1796875" defaultRowHeight="15.5" x14ac:dyDescent="0.35"/>
  <cols>
    <col min="1" max="1" width="8.1796875" style="1" customWidth="1"/>
    <col min="2" max="2" width="17.453125" style="1" customWidth="1"/>
    <col min="3" max="3" width="11.54296875" style="1" customWidth="1"/>
    <col min="4" max="4" width="7.54296875" style="1" customWidth="1"/>
    <col min="5" max="5" width="9.453125" style="1" customWidth="1"/>
    <col min="6" max="6" width="13.81640625" style="1" customWidth="1"/>
    <col min="7" max="7" width="13.1796875" style="1" customWidth="1"/>
    <col min="8" max="8" width="1.453125" style="1" customWidth="1"/>
    <col min="9" max="9" width="9.453125" style="1" customWidth="1"/>
    <col min="10" max="10" width="9.1796875" style="1"/>
    <col min="11" max="11" width="11.54296875" style="1" customWidth="1"/>
    <col min="12" max="16384" width="9.1796875" style="1"/>
  </cols>
  <sheetData>
    <row r="1" spans="1:12" ht="24.75" customHeight="1" x14ac:dyDescent="0.15">
      <c r="A1" s="117" t="s">
        <v>49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4.25" x14ac:dyDescent="0.1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9.5" customHeight="1" x14ac:dyDescent="0.15">
      <c r="A3" s="117" t="s">
        <v>50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5" spans="1:12" ht="46.5" customHeight="1" x14ac:dyDescent="0.15">
      <c r="A5" s="2" t="s">
        <v>22</v>
      </c>
      <c r="B5" s="3" t="s">
        <v>51</v>
      </c>
      <c r="C5" s="3" t="s">
        <v>52</v>
      </c>
      <c r="D5" s="3" t="s">
        <v>53</v>
      </c>
      <c r="E5" s="2" t="s">
        <v>54</v>
      </c>
      <c r="F5" s="2" t="s">
        <v>55</v>
      </c>
      <c r="G5" s="3" t="s">
        <v>56</v>
      </c>
      <c r="H5" s="73"/>
      <c r="I5" s="126" t="s">
        <v>57</v>
      </c>
      <c r="J5" s="127"/>
      <c r="K5" s="128"/>
    </row>
    <row r="6" spans="1:12" ht="17.5" customHeight="1" x14ac:dyDescent="0.15">
      <c r="A6" s="66" t="s">
        <v>14</v>
      </c>
      <c r="B6" s="66" t="s">
        <v>15</v>
      </c>
      <c r="C6" s="66" t="s">
        <v>16</v>
      </c>
      <c r="D6" s="66" t="s">
        <v>17</v>
      </c>
      <c r="E6" s="66" t="s">
        <v>58</v>
      </c>
      <c r="F6" s="66" t="s">
        <v>59</v>
      </c>
      <c r="G6" s="66" t="s">
        <v>60</v>
      </c>
      <c r="H6" s="74"/>
      <c r="I6" s="70"/>
      <c r="J6" s="71"/>
      <c r="K6" s="72"/>
    </row>
    <row r="7" spans="1:12" ht="30" customHeight="1" x14ac:dyDescent="0.15">
      <c r="A7" s="7"/>
      <c r="B7" s="7">
        <v>10</v>
      </c>
      <c r="C7" s="7"/>
      <c r="D7" s="7"/>
      <c r="E7" s="7"/>
      <c r="F7" s="7"/>
      <c r="G7" s="7"/>
      <c r="H7" s="65"/>
      <c r="I7" s="129" t="s">
        <v>61</v>
      </c>
      <c r="J7" s="130"/>
      <c r="K7" s="131"/>
    </row>
    <row r="9" spans="1:12" ht="20.5" customHeight="1" x14ac:dyDescent="0.35">
      <c r="A9" s="118" t="s">
        <v>105</v>
      </c>
      <c r="B9" s="119" t="s">
        <v>62</v>
      </c>
      <c r="C9" s="119"/>
      <c r="D9" s="119"/>
      <c r="E9" s="119"/>
      <c r="F9" s="119" t="s">
        <v>63</v>
      </c>
      <c r="G9" s="119"/>
      <c r="H9" s="119"/>
      <c r="I9" s="119"/>
    </row>
    <row r="10" spans="1:12" s="13" customFormat="1" ht="49" customHeight="1" x14ac:dyDescent="0.35">
      <c r="A10" s="118"/>
      <c r="B10" s="17" t="s">
        <v>64</v>
      </c>
      <c r="C10" s="17" t="s">
        <v>109</v>
      </c>
      <c r="D10" s="17" t="s">
        <v>108</v>
      </c>
      <c r="E10" s="17" t="s">
        <v>107</v>
      </c>
      <c r="F10" s="17" t="s">
        <v>64</v>
      </c>
      <c r="G10" s="17" t="s">
        <v>106</v>
      </c>
      <c r="H10" s="63"/>
      <c r="I10" s="17" t="s">
        <v>221</v>
      </c>
    </row>
    <row r="11" spans="1:12" ht="16.5" customHeight="1" x14ac:dyDescent="0.15">
      <c r="A11" s="62" t="s">
        <v>18</v>
      </c>
      <c r="B11" s="62" t="s">
        <v>65</v>
      </c>
      <c r="C11" s="62" t="s">
        <v>23</v>
      </c>
      <c r="D11" s="62" t="s">
        <v>19</v>
      </c>
      <c r="E11" s="62" t="s">
        <v>66</v>
      </c>
      <c r="F11" s="62" t="s">
        <v>67</v>
      </c>
      <c r="G11" s="62" t="s">
        <v>68</v>
      </c>
      <c r="H11" s="62"/>
      <c r="I11" s="62" t="s">
        <v>69</v>
      </c>
    </row>
    <row r="12" spans="1:12" ht="24.75" customHeight="1" x14ac:dyDescent="0.15">
      <c r="A12" s="7"/>
      <c r="B12" s="7"/>
      <c r="C12" s="7"/>
      <c r="D12" s="7"/>
      <c r="E12" s="7"/>
      <c r="F12" s="7" t="s">
        <v>220</v>
      </c>
      <c r="G12" s="7">
        <v>70</v>
      </c>
      <c r="H12" s="64"/>
      <c r="I12" s="7">
        <v>8</v>
      </c>
    </row>
    <row r="13" spans="1:12" ht="24.75" customHeight="1" x14ac:dyDescent="0.15">
      <c r="A13" s="7"/>
      <c r="B13" s="7"/>
      <c r="C13" s="7"/>
      <c r="D13" s="7"/>
      <c r="E13" s="7"/>
      <c r="F13" s="7" t="s">
        <v>184</v>
      </c>
      <c r="G13" s="7">
        <v>62</v>
      </c>
      <c r="H13" s="64"/>
      <c r="I13" s="7">
        <v>3</v>
      </c>
    </row>
    <row r="14" spans="1:12" ht="24.75" customHeight="1" x14ac:dyDescent="0.15">
      <c r="A14" s="7"/>
      <c r="B14" s="7"/>
      <c r="C14" s="7"/>
      <c r="D14" s="7"/>
      <c r="E14" s="7"/>
      <c r="F14" s="7"/>
      <c r="G14" s="7"/>
      <c r="H14" s="64"/>
      <c r="I14" s="7"/>
    </row>
    <row r="15" spans="1:12" ht="24.75" customHeight="1" x14ac:dyDescent="0.15">
      <c r="A15" s="7"/>
      <c r="B15" s="7"/>
      <c r="C15" s="7"/>
      <c r="D15" s="7"/>
      <c r="E15" s="7"/>
      <c r="F15" s="7"/>
      <c r="G15" s="7"/>
      <c r="H15" s="64"/>
      <c r="I15" s="7"/>
    </row>
    <row r="18" spans="1:16" ht="14.25" x14ac:dyDescent="0.15">
      <c r="A18" s="14" t="s">
        <v>20</v>
      </c>
      <c r="B18" s="6"/>
      <c r="C18" s="6"/>
      <c r="D18" s="6"/>
      <c r="E18" s="6"/>
      <c r="F18" s="6"/>
      <c r="G18" s="125" t="s">
        <v>70</v>
      </c>
      <c r="H18" s="125"/>
      <c r="I18" s="125"/>
      <c r="J18" s="125"/>
      <c r="K18" s="125"/>
      <c r="L18" s="10"/>
      <c r="M18" s="10"/>
      <c r="N18" s="10"/>
      <c r="O18" s="6"/>
      <c r="P18" s="6"/>
    </row>
    <row r="19" spans="1:16" ht="14.25" x14ac:dyDescent="0.15">
      <c r="A19" s="14" t="s">
        <v>71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4.25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15">
      <c r="A21" s="15" t="s">
        <v>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33" customHeight="1" x14ac:dyDescent="0.15">
      <c r="A22" s="9" t="s">
        <v>72</v>
      </c>
      <c r="B22" s="124" t="s">
        <v>73</v>
      </c>
      <c r="C22" s="124"/>
      <c r="D22" s="124"/>
      <c r="E22" s="124"/>
      <c r="F22" s="124"/>
      <c r="G22" s="124"/>
      <c r="H22" s="124"/>
      <c r="I22" s="124"/>
      <c r="J22" s="124"/>
      <c r="K22" s="124"/>
      <c r="L22" s="86"/>
      <c r="M22" s="5"/>
      <c r="N22" s="5"/>
      <c r="O22" s="5"/>
      <c r="P22" s="5"/>
    </row>
  </sheetData>
  <mergeCells count="9">
    <mergeCell ref="B22:K22"/>
    <mergeCell ref="G18:K18"/>
    <mergeCell ref="A1:L1"/>
    <mergeCell ref="A3:L3"/>
    <mergeCell ref="A9:A10"/>
    <mergeCell ref="B9:E9"/>
    <mergeCell ref="F9:I9"/>
    <mergeCell ref="I5:K5"/>
    <mergeCell ref="I7:K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view="pageLayout" topLeftCell="A19" zoomScaleNormal="100" workbookViewId="0">
      <selection activeCell="F6" sqref="F6"/>
    </sheetView>
  </sheetViews>
  <sheetFormatPr defaultRowHeight="25.5" customHeight="1" x14ac:dyDescent="0.35"/>
  <cols>
    <col min="1" max="1" width="3.453125" customWidth="1"/>
    <col min="2" max="2" width="18.453125" customWidth="1"/>
    <col min="3" max="3" width="14.90625" customWidth="1"/>
    <col min="4" max="4" width="13.26953125" customWidth="1"/>
    <col min="5" max="5" width="14.6328125" customWidth="1"/>
    <col min="6" max="6" width="11.81640625" customWidth="1"/>
    <col min="7" max="7" width="12.36328125" customWidth="1"/>
    <col min="8" max="8" width="9.90625" customWidth="1"/>
  </cols>
  <sheetData>
    <row r="1" spans="1:8" ht="18" customHeight="1" x14ac:dyDescent="0.2">
      <c r="A1" s="122" t="s">
        <v>75</v>
      </c>
      <c r="B1" s="122"/>
      <c r="C1" s="122"/>
      <c r="D1" s="122"/>
      <c r="E1" s="122"/>
      <c r="F1" s="122"/>
      <c r="G1" s="122"/>
      <c r="H1" s="122"/>
    </row>
    <row r="2" spans="1:8" ht="27" customHeight="1" x14ac:dyDescent="0.2">
      <c r="A2" s="122" t="s">
        <v>165</v>
      </c>
      <c r="B2" s="122"/>
      <c r="C2" s="122"/>
      <c r="D2" s="122"/>
      <c r="E2" s="122"/>
      <c r="F2" s="122"/>
      <c r="G2" s="122"/>
      <c r="H2" s="122"/>
    </row>
    <row r="3" spans="1:8" ht="44.15" customHeight="1" x14ac:dyDescent="0.2">
      <c r="A3" s="84" t="s">
        <v>113</v>
      </c>
      <c r="B3" s="66" t="s">
        <v>76</v>
      </c>
      <c r="C3" s="66" t="s">
        <v>77</v>
      </c>
      <c r="D3" s="66" t="s">
        <v>78</v>
      </c>
      <c r="E3" s="66" t="s">
        <v>79</v>
      </c>
      <c r="F3" s="66" t="s">
        <v>80</v>
      </c>
      <c r="G3" s="66" t="s">
        <v>81</v>
      </c>
      <c r="H3" s="84" t="s">
        <v>164</v>
      </c>
    </row>
    <row r="4" spans="1:8" ht="25.5" customHeight="1" x14ac:dyDescent="0.2">
      <c r="A4" s="8">
        <v>1</v>
      </c>
      <c r="B4" s="8"/>
      <c r="C4" s="8"/>
      <c r="D4" s="8"/>
      <c r="E4" s="8"/>
      <c r="F4" s="8"/>
      <c r="G4" s="8"/>
      <c r="H4" s="8"/>
    </row>
    <row r="5" spans="1:8" ht="25.5" customHeight="1" x14ac:dyDescent="0.2">
      <c r="A5" s="8">
        <v>2</v>
      </c>
      <c r="B5" s="8"/>
      <c r="C5" s="8"/>
      <c r="D5" s="8"/>
      <c r="E5" s="8"/>
      <c r="F5" s="8"/>
      <c r="G5" s="8"/>
      <c r="H5" s="8"/>
    </row>
    <row r="6" spans="1:8" ht="25.5" customHeight="1" x14ac:dyDescent="0.2">
      <c r="A6" s="8">
        <v>3</v>
      </c>
      <c r="B6" s="8"/>
      <c r="C6" s="8"/>
      <c r="D6" s="8"/>
      <c r="E6" s="8"/>
      <c r="F6" s="8"/>
      <c r="G6" s="8"/>
      <c r="H6" s="8"/>
    </row>
    <row r="7" spans="1:8" ht="25.5" customHeight="1" x14ac:dyDescent="0.2">
      <c r="A7" s="8">
        <v>4</v>
      </c>
      <c r="B7" s="8"/>
      <c r="C7" s="8"/>
      <c r="D7" s="8"/>
      <c r="E7" s="8"/>
      <c r="F7" s="8"/>
      <c r="G7" s="8"/>
      <c r="H7" s="8"/>
    </row>
    <row r="8" spans="1:8" ht="25.5" customHeight="1" x14ac:dyDescent="0.2">
      <c r="A8" s="8">
        <v>5</v>
      </c>
      <c r="B8" s="8"/>
      <c r="C8" s="8"/>
      <c r="D8" s="8"/>
      <c r="E8" s="8"/>
      <c r="F8" s="8"/>
      <c r="G8" s="8"/>
      <c r="H8" s="8"/>
    </row>
    <row r="9" spans="1:8" ht="25.5" customHeight="1" x14ac:dyDescent="0.2">
      <c r="A9" s="64">
        <v>6</v>
      </c>
      <c r="B9" s="64"/>
      <c r="C9" s="64"/>
      <c r="D9" s="64"/>
      <c r="E9" s="64"/>
      <c r="F9" s="64"/>
      <c r="G9" s="64"/>
      <c r="H9" s="64"/>
    </row>
    <row r="10" spans="1:8" ht="25.5" customHeight="1" x14ac:dyDescent="0.2">
      <c r="A10" s="64">
        <v>7</v>
      </c>
      <c r="B10" s="64"/>
      <c r="C10" s="64"/>
      <c r="D10" s="64"/>
      <c r="E10" s="64"/>
      <c r="F10" s="64"/>
      <c r="G10" s="64"/>
      <c r="H10" s="64"/>
    </row>
    <row r="11" spans="1:8" ht="25.5" customHeight="1" x14ac:dyDescent="0.2">
      <c r="A11" s="64">
        <v>8</v>
      </c>
      <c r="B11" s="64"/>
      <c r="C11" s="64"/>
      <c r="D11" s="64"/>
      <c r="E11" s="64"/>
      <c r="F11" s="64"/>
      <c r="G11" s="64"/>
      <c r="H11" s="64"/>
    </row>
    <row r="12" spans="1:8" ht="25.5" customHeight="1" x14ac:dyDescent="0.2">
      <c r="A12" s="64">
        <v>9</v>
      </c>
      <c r="B12" s="64"/>
      <c r="C12" s="64"/>
      <c r="D12" s="64"/>
      <c r="E12" s="64"/>
      <c r="F12" s="64"/>
      <c r="G12" s="64"/>
      <c r="H12" s="64"/>
    </row>
    <row r="13" spans="1:8" ht="25.5" customHeight="1" x14ac:dyDescent="0.2">
      <c r="A13" s="64">
        <v>10</v>
      </c>
      <c r="B13" s="64"/>
      <c r="C13" s="64"/>
      <c r="D13" s="64"/>
      <c r="E13" s="64"/>
      <c r="F13" s="64"/>
      <c r="G13" s="64"/>
      <c r="H13" s="64"/>
    </row>
    <row r="14" spans="1:8" ht="25.5" customHeight="1" x14ac:dyDescent="0.35">
      <c r="A14" s="64">
        <v>11</v>
      </c>
      <c r="B14" s="64"/>
      <c r="C14" s="64"/>
      <c r="D14" s="64"/>
      <c r="E14" s="64"/>
      <c r="F14" s="64"/>
      <c r="G14" s="64"/>
      <c r="H14" s="64"/>
    </row>
    <row r="15" spans="1:8" ht="25.5" customHeight="1" x14ac:dyDescent="0.35">
      <c r="A15" s="64">
        <v>12</v>
      </c>
      <c r="B15" s="64"/>
      <c r="C15" s="64"/>
      <c r="D15" s="64"/>
      <c r="E15" s="64"/>
      <c r="F15" s="64"/>
      <c r="G15" s="64"/>
      <c r="H15" s="64"/>
    </row>
    <row r="16" spans="1:8" ht="25.5" customHeight="1" x14ac:dyDescent="0.35">
      <c r="A16" s="64">
        <v>13</v>
      </c>
      <c r="B16" s="64"/>
      <c r="C16" s="64"/>
      <c r="D16" s="64"/>
      <c r="E16" s="64"/>
      <c r="F16" s="64"/>
      <c r="G16" s="64"/>
      <c r="H16" s="64"/>
    </row>
    <row r="17" spans="1:8" ht="25.5" customHeight="1" x14ac:dyDescent="0.35">
      <c r="A17" s="64">
        <v>14</v>
      </c>
      <c r="B17" s="64"/>
      <c r="C17" s="64"/>
      <c r="D17" s="64"/>
      <c r="E17" s="64"/>
      <c r="F17" s="64"/>
      <c r="G17" s="64"/>
      <c r="H17" s="64"/>
    </row>
    <row r="18" spans="1:8" ht="25.5" customHeight="1" x14ac:dyDescent="0.35">
      <c r="A18" s="64">
        <v>15</v>
      </c>
      <c r="B18" s="64"/>
      <c r="C18" s="64"/>
      <c r="D18" s="64"/>
      <c r="E18" s="64"/>
      <c r="F18" s="64"/>
      <c r="G18" s="64"/>
      <c r="H18" s="64"/>
    </row>
    <row r="19" spans="1:8" ht="25.5" customHeight="1" x14ac:dyDescent="0.35">
      <c r="A19" s="64">
        <v>16</v>
      </c>
      <c r="B19" s="64"/>
      <c r="C19" s="64"/>
      <c r="D19" s="64"/>
      <c r="E19" s="64"/>
      <c r="F19" s="64"/>
      <c r="G19" s="64"/>
      <c r="H19" s="64"/>
    </row>
    <row r="20" spans="1:8" ht="25.5" customHeight="1" x14ac:dyDescent="0.35">
      <c r="A20" s="64">
        <v>17</v>
      </c>
      <c r="B20" s="64"/>
      <c r="C20" s="64"/>
      <c r="D20" s="64"/>
      <c r="E20" s="64"/>
      <c r="F20" s="64"/>
      <c r="G20" s="64"/>
      <c r="H20" s="64"/>
    </row>
    <row r="21" spans="1:8" ht="25.5" customHeight="1" x14ac:dyDescent="0.35">
      <c r="A21" s="64">
        <v>18</v>
      </c>
      <c r="B21" s="64"/>
      <c r="C21" s="64"/>
      <c r="D21" s="64"/>
      <c r="E21" s="64"/>
      <c r="F21" s="64"/>
      <c r="G21" s="64"/>
      <c r="H21" s="64"/>
    </row>
    <row r="22" spans="1:8" ht="25.5" customHeight="1" x14ac:dyDescent="0.35">
      <c r="A22" s="64">
        <v>19</v>
      </c>
      <c r="B22" s="64"/>
      <c r="C22" s="64"/>
      <c r="D22" s="64"/>
      <c r="E22" s="64"/>
      <c r="F22" s="64"/>
      <c r="G22" s="64"/>
      <c r="H22" s="64"/>
    </row>
    <row r="23" spans="1:8" ht="25.5" customHeight="1" x14ac:dyDescent="0.35">
      <c r="A23" s="64">
        <v>20</v>
      </c>
      <c r="B23" s="64"/>
      <c r="C23" s="64"/>
      <c r="D23" s="64"/>
      <c r="E23" s="64"/>
      <c r="F23" s="64"/>
      <c r="G23" s="64"/>
      <c r="H23" s="64"/>
    </row>
    <row r="24" spans="1:8" ht="25.5" customHeight="1" x14ac:dyDescent="0.35">
      <c r="A24" s="64">
        <v>21</v>
      </c>
      <c r="B24" s="64"/>
      <c r="C24" s="64"/>
      <c r="D24" s="64"/>
      <c r="E24" s="64"/>
      <c r="F24" s="64"/>
      <c r="G24" s="64"/>
      <c r="H24" s="64"/>
    </row>
    <row r="25" spans="1:8" ht="25.5" customHeight="1" x14ac:dyDescent="0.35">
      <c r="A25" s="64">
        <v>22</v>
      </c>
      <c r="B25" s="64"/>
      <c r="C25" s="64"/>
      <c r="D25" s="64"/>
      <c r="E25" s="64"/>
      <c r="F25" s="64"/>
      <c r="G25" s="64"/>
      <c r="H25" s="64"/>
    </row>
  </sheetData>
  <mergeCells count="2">
    <mergeCell ref="A1:H1"/>
    <mergeCell ref="A2:H2"/>
  </mergeCells>
  <pageMargins left="0.39370078740157483" right="0.31496062992125984" top="0.35433070866141736" bottom="0.35433070866141736" header="0.31496062992125984" footer="0.31496062992125984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WhiteSpace="0" view="pageLayout" zoomScaleNormal="100" workbookViewId="0">
      <selection activeCell="D8" sqref="D8"/>
    </sheetView>
  </sheetViews>
  <sheetFormatPr defaultRowHeight="25.5" customHeight="1" x14ac:dyDescent="0.35"/>
  <cols>
    <col min="1" max="1" width="4.26953125" customWidth="1"/>
    <col min="2" max="2" width="22.08984375" customWidth="1"/>
    <col min="3" max="3" width="25.7265625" customWidth="1"/>
    <col min="4" max="4" width="20.7265625" customWidth="1"/>
    <col min="5" max="5" width="24.453125" customWidth="1"/>
  </cols>
  <sheetData>
    <row r="1" spans="1:5" ht="18" customHeight="1" x14ac:dyDescent="0.2">
      <c r="A1" s="132" t="s">
        <v>114</v>
      </c>
      <c r="B1" s="133"/>
      <c r="C1" s="133"/>
      <c r="D1" s="133"/>
      <c r="E1" s="133"/>
    </row>
    <row r="2" spans="1:5" ht="18" customHeight="1" x14ac:dyDescent="0.2">
      <c r="A2" s="132" t="s">
        <v>166</v>
      </c>
      <c r="B2" s="133"/>
      <c r="C2" s="133"/>
      <c r="D2" s="133"/>
      <c r="E2" s="133"/>
    </row>
    <row r="3" spans="1:5" ht="29.15" customHeight="1" x14ac:dyDescent="0.2">
      <c r="A3" s="89" t="s">
        <v>118</v>
      </c>
      <c r="B3" s="89" t="s">
        <v>119</v>
      </c>
      <c r="C3" s="90" t="s">
        <v>120</v>
      </c>
      <c r="D3" s="90" t="s">
        <v>121</v>
      </c>
      <c r="E3" s="90"/>
    </row>
    <row r="4" spans="1:5" ht="32.5" customHeight="1" x14ac:dyDescent="0.35">
      <c r="A4" s="87" t="s">
        <v>116</v>
      </c>
      <c r="B4" s="88" t="s">
        <v>117</v>
      </c>
      <c r="C4" s="87" t="s">
        <v>122</v>
      </c>
      <c r="D4" s="87" t="s">
        <v>115</v>
      </c>
      <c r="E4" s="66"/>
    </row>
    <row r="5" spans="1:5" ht="25.5" customHeight="1" x14ac:dyDescent="0.2">
      <c r="A5" s="64">
        <v>1</v>
      </c>
      <c r="B5" s="64"/>
      <c r="C5" s="64"/>
      <c r="D5" s="64"/>
      <c r="E5" s="64"/>
    </row>
    <row r="6" spans="1:5" ht="25.5" customHeight="1" x14ac:dyDescent="0.2">
      <c r="A6" s="64">
        <v>2</v>
      </c>
      <c r="B6" s="64"/>
      <c r="C6" s="64"/>
      <c r="D6" s="64"/>
      <c r="E6" s="64"/>
    </row>
    <row r="7" spans="1:5" ht="25.5" customHeight="1" x14ac:dyDescent="0.2">
      <c r="A7" s="64">
        <v>3</v>
      </c>
      <c r="B7" s="64"/>
      <c r="C7" s="64"/>
      <c r="D7" s="64"/>
      <c r="E7" s="64"/>
    </row>
    <row r="8" spans="1:5" ht="25.5" customHeight="1" x14ac:dyDescent="0.2">
      <c r="A8" s="64">
        <v>4</v>
      </c>
      <c r="B8" s="64"/>
      <c r="C8" s="64"/>
      <c r="D8" s="64"/>
      <c r="E8" s="64"/>
    </row>
    <row r="9" spans="1:5" ht="25.5" customHeight="1" x14ac:dyDescent="0.2">
      <c r="A9" s="64">
        <v>5</v>
      </c>
      <c r="B9" s="64"/>
      <c r="C9" s="64"/>
      <c r="D9" s="64"/>
      <c r="E9" s="64"/>
    </row>
    <row r="10" spans="1:5" ht="25.5" customHeight="1" x14ac:dyDescent="0.2">
      <c r="A10" s="64">
        <v>6</v>
      </c>
      <c r="B10" s="64"/>
      <c r="C10" s="64"/>
      <c r="D10" s="64"/>
      <c r="E10" s="64"/>
    </row>
    <row r="11" spans="1:5" ht="25.5" customHeight="1" x14ac:dyDescent="0.2">
      <c r="A11" s="64">
        <v>7</v>
      </c>
      <c r="B11" s="64"/>
      <c r="C11" s="64"/>
      <c r="D11" s="64"/>
      <c r="E11" s="64"/>
    </row>
    <row r="12" spans="1:5" ht="25.5" customHeight="1" x14ac:dyDescent="0.2">
      <c r="A12" s="64">
        <v>8</v>
      </c>
      <c r="B12" s="64"/>
      <c r="C12" s="64"/>
      <c r="D12" s="64"/>
      <c r="E12" s="64"/>
    </row>
    <row r="13" spans="1:5" ht="25.5" customHeight="1" x14ac:dyDescent="0.2">
      <c r="A13" s="64">
        <v>9</v>
      </c>
      <c r="B13" s="64"/>
      <c r="C13" s="64"/>
      <c r="D13" s="64"/>
      <c r="E13" s="64"/>
    </row>
    <row r="14" spans="1:5" ht="25.5" customHeight="1" x14ac:dyDescent="0.35">
      <c r="A14" s="64">
        <v>10</v>
      </c>
      <c r="B14" s="64"/>
      <c r="C14" s="64"/>
      <c r="D14" s="64"/>
      <c r="E14" s="64"/>
    </row>
    <row r="15" spans="1:5" ht="25.5" customHeight="1" x14ac:dyDescent="0.35">
      <c r="A15" s="64">
        <v>11</v>
      </c>
      <c r="B15" s="64"/>
      <c r="C15" s="64"/>
      <c r="D15" s="64"/>
      <c r="E15" s="64"/>
    </row>
    <row r="16" spans="1:5" ht="25.5" customHeight="1" x14ac:dyDescent="0.35">
      <c r="A16" s="64">
        <v>12</v>
      </c>
      <c r="B16" s="64"/>
      <c r="C16" s="64"/>
      <c r="D16" s="64"/>
      <c r="E16" s="64"/>
    </row>
    <row r="17" spans="1:5" ht="25.5" customHeight="1" x14ac:dyDescent="0.35">
      <c r="A17" s="64">
        <v>13</v>
      </c>
      <c r="B17" s="64"/>
      <c r="C17" s="64"/>
      <c r="D17" s="64"/>
      <c r="E17" s="64"/>
    </row>
    <row r="18" spans="1:5" ht="25.5" customHeight="1" x14ac:dyDescent="0.35">
      <c r="A18" s="64">
        <v>14</v>
      </c>
      <c r="B18" s="64"/>
      <c r="C18" s="64"/>
      <c r="D18" s="64"/>
      <c r="E18" s="64"/>
    </row>
    <row r="19" spans="1:5" ht="25.5" customHeight="1" x14ac:dyDescent="0.35">
      <c r="A19" s="64">
        <v>15</v>
      </c>
      <c r="B19" s="64"/>
      <c r="C19" s="64"/>
      <c r="D19" s="64"/>
      <c r="E19" s="64"/>
    </row>
    <row r="20" spans="1:5" ht="25.5" customHeight="1" x14ac:dyDescent="0.35">
      <c r="A20" s="64">
        <v>16</v>
      </c>
      <c r="B20" s="64"/>
      <c r="C20" s="64"/>
      <c r="D20" s="64"/>
      <c r="E20" s="64"/>
    </row>
    <row r="21" spans="1:5" ht="25.5" customHeight="1" x14ac:dyDescent="0.35">
      <c r="A21" s="64">
        <v>17</v>
      </c>
      <c r="B21" s="64"/>
      <c r="C21" s="64"/>
      <c r="D21" s="64"/>
      <c r="E21" s="64"/>
    </row>
    <row r="22" spans="1:5" ht="25.5" customHeight="1" x14ac:dyDescent="0.35">
      <c r="A22" s="64">
        <v>18</v>
      </c>
      <c r="B22" s="64"/>
      <c r="C22" s="64"/>
      <c r="D22" s="64"/>
      <c r="E22" s="64"/>
    </row>
    <row r="23" spans="1:5" ht="25.5" customHeight="1" x14ac:dyDescent="0.35">
      <c r="A23" s="64">
        <v>19</v>
      </c>
      <c r="B23" s="64"/>
      <c r="C23" s="64"/>
      <c r="D23" s="64"/>
      <c r="E23" s="64"/>
    </row>
    <row r="24" spans="1:5" ht="25.5" customHeight="1" x14ac:dyDescent="0.35">
      <c r="A24" s="64">
        <v>20</v>
      </c>
      <c r="B24" s="64"/>
      <c r="C24" s="64"/>
      <c r="D24" s="64"/>
      <c r="E24" s="64"/>
    </row>
    <row r="25" spans="1:5" ht="25.5" customHeight="1" x14ac:dyDescent="0.35">
      <c r="A25" s="64">
        <v>21</v>
      </c>
      <c r="B25" s="64"/>
      <c r="C25" s="64"/>
      <c r="D25" s="64"/>
      <c r="E25" s="64"/>
    </row>
    <row r="26" spans="1:5" ht="25.5" customHeight="1" x14ac:dyDescent="0.35">
      <c r="A26" s="64">
        <v>22</v>
      </c>
      <c r="B26" s="64"/>
      <c r="C26" s="64"/>
      <c r="D26" s="64"/>
      <c r="E26" s="64"/>
    </row>
    <row r="27" spans="1:5" ht="25.5" customHeight="1" x14ac:dyDescent="0.35">
      <c r="A27" s="64">
        <v>23</v>
      </c>
      <c r="B27" s="64"/>
      <c r="C27" s="64"/>
      <c r="D27" s="64"/>
      <c r="E27" s="64"/>
    </row>
  </sheetData>
  <mergeCells count="2">
    <mergeCell ref="A1:E1"/>
    <mergeCell ref="A2:E2"/>
  </mergeCells>
  <pageMargins left="0.39370078740157483" right="0.31496062992125984" top="0.35433070866141736" bottom="0.35433070866141736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Form-1</vt:lpstr>
      <vt:lpstr>Form-2</vt:lpstr>
      <vt:lpstr>F-III A1</vt:lpstr>
      <vt:lpstr>FIII A2 (2)</vt:lpstr>
      <vt:lpstr>F-B</vt:lpstr>
      <vt:lpstr>Form C</vt:lpstr>
      <vt:lpstr>Form 8</vt:lpstr>
      <vt:lpstr>NTFP-Med Plant</vt:lpstr>
      <vt:lpstr>Canes</vt:lpstr>
      <vt:lpstr>'F-B'!Print_Titles</vt:lpstr>
      <vt:lpstr>'F-III A1'!Print_Titles</vt:lpstr>
      <vt:lpstr>'Form C'!Print_Titles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Ashok M R</cp:lastModifiedBy>
  <cp:lastPrinted>2024-10-30T07:31:23Z</cp:lastPrinted>
  <dcterms:created xsi:type="dcterms:W3CDTF">2023-09-21T06:16:02Z</dcterms:created>
  <dcterms:modified xsi:type="dcterms:W3CDTF">2024-10-30T08:37:26Z</dcterms:modified>
</cp:coreProperties>
</file>