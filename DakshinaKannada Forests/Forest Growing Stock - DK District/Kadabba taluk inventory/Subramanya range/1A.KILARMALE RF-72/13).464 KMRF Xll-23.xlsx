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3"/>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9" l="1"/>
  <c r="F1" i="9"/>
  <c r="C34" i="8"/>
  <c r="C26" i="8"/>
  <c r="C16" i="8"/>
  <c r="C2" i="8"/>
  <c r="K7" i="15"/>
  <c r="C5" i="15"/>
  <c r="C6" i="15"/>
  <c r="G6" i="15"/>
  <c r="K6" i="15"/>
  <c r="C7" i="15"/>
  <c r="G7" i="15"/>
  <c r="C11" i="13" l="1"/>
  <c r="C12" i="13"/>
  <c r="B16" i="8" l="1"/>
  <c r="B34" i="8"/>
  <c r="B26" i="8"/>
</calcChain>
</file>

<file path=xl/sharedStrings.xml><?xml version="1.0" encoding="utf-8"?>
<sst xmlns="http://schemas.openxmlformats.org/spreadsheetml/2006/main" count="415" uniqueCount="301">
  <si>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</si>
  <si>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</si>
  <si>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</si>
  <si>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</si>
  <si>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</si>
  <si>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</si>
  <si>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</si>
  <si>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</si>
  <si>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</si>
  <si>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</si>
  <si>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</si>
  <si>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</si>
  <si>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</si>
  <si>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</si>
  <si>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</si>
  <si>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</si>
  <si>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</si>
  <si>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</si>
  <si>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</si>
  <si>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</si>
  <si>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</si>
  <si>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</si>
  <si>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</si>
  <si>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</si>
  <si>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</si>
  <si>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</si>
  <si>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</si>
  <si>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</si>
  <si>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</si>
  <si>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</si>
  <si>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</si>
  <si>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</si>
  <si>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</si>
  <si>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</si>
  <si>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</si>
  <si>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</si>
  <si>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</si>
  <si>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</si>
  <si>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</si>
  <si>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</si>
  <si>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</si>
  <si>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</si>
  <si>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</si>
  <si>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</si>
  <si>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</si>
  <si>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</si>
  <si>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</si>
  <si>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</si>
  <si>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</si>
  <si>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</si>
  <si>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</si>
  <si>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</si>
  <si>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</si>
  <si>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</si>
  <si>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</si>
  <si>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</si>
  <si>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</si>
  <si>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</si>
  <si>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</si>
  <si>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</si>
  <si>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</si>
  <si>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</si>
  <si>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</si>
  <si>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</si>
  <si>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</si>
  <si>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</si>
  <si>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</si>
  <si>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</si>
  <si>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</si>
  <si>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</si>
  <si>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</si>
  <si>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</si>
  <si>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</si>
  <si>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</si>
  <si>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</si>
  <si>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</si>
  <si>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</si>
  <si>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</si>
  <si>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</si>
  <si>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</si>
  <si>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</si>
  <si>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</si>
  <si>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</si>
  <si>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</si>
  <si>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</si>
  <si>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</si>
  <si>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</si>
  <si>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</si>
  <si>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</si>
  <si>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</si>
  <si>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</si>
  <si>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</si>
  <si>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</si>
  <si>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</si>
  <si>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</si>
  <si>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</si>
  <si>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</si>
  <si>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</si>
  <si>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</si>
  <si>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</si>
  <si>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</si>
  <si>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</si>
  <si>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</si>
  <si>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</si>
  <si>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</si>
  <si>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</si>
  <si>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</si>
  <si>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</si>
  <si>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</si>
  <si>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</si>
  <si>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</si>
  <si>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</si>
  <si>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</si>
  <si>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</si>
  <si>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</si>
  <si>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</si>
  <si>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</si>
  <si>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</si>
  <si>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</si>
  <si>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</si>
  <si>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</si>
  <si>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</si>
  <si>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</si>
  <si>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</si>
  <si>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</si>
  <si>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</si>
  <si>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</si>
  <si>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</si>
  <si>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</si>
  <si>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</si>
  <si>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</si>
  <si>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</si>
  <si>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</si>
  <si>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</si>
  <si>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</si>
  <si>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</si>
  <si>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</si>
  <si>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</si>
  <si>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</si>
  <si>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</si>
  <si>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</si>
  <si>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</si>
  <si>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</si>
  <si>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</si>
  <si>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</si>
  <si>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</si>
  <si>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</si>
  <si>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</si>
  <si>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</si>
  <si>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</si>
  <si>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</si>
  <si>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</si>
  <si>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</si>
  <si>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</si>
  <si>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</si>
  <si>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</si>
  <si>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</si>
  <si>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</si>
  <si>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</si>
  <si>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</si>
  <si>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</si>
  <si>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</si>
  <si>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</si>
  <si>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</si>
  <si>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</si>
  <si>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</si>
  <si>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</si>
  <si>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</si>
  <si>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</si>
  <si>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</si>
  <si>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Gently roling</t>
  </si>
  <si>
    <t>4-15'</t>
  </si>
  <si>
    <t>South</t>
  </si>
  <si>
    <t>Igneous rocks</t>
  </si>
  <si>
    <t>Maralu mishritha kappu mannu</t>
  </si>
  <si>
    <t>1.3m</t>
  </si>
  <si>
    <t>High</t>
  </si>
  <si>
    <t>Maxambadi,Thaggi gida,</t>
  </si>
  <si>
    <t>Present Hebbidiru</t>
  </si>
  <si>
    <t>Medium quantity</t>
  </si>
  <si>
    <t>Present,Salle,etthu beelu,kiral bhogi,bilachi,</t>
  </si>
  <si>
    <t>Present</t>
  </si>
  <si>
    <t>Present,Salle,kiral bhogi,bhaine</t>
  </si>
  <si>
    <t>Salle,kiral bhogi,Madambadi</t>
  </si>
  <si>
    <t>Kadumenasu,Kumasanballi,</t>
  </si>
  <si>
    <t>Less</t>
  </si>
  <si>
    <t>Maddarasa,Rampathre</t>
  </si>
  <si>
    <t>Lorge quantity of salle plants,kiral bhogi,hebbidiru,Bhaine,Hebbalasu bilavary</t>
  </si>
  <si>
    <t>10-15 thale hore</t>
  </si>
  <si>
    <t>Xll-23</t>
  </si>
  <si>
    <t>Subramanya</t>
  </si>
  <si>
    <t>Kilarmale</t>
  </si>
  <si>
    <t>Reserve forest</t>
  </si>
  <si>
    <t>Dense forest</t>
  </si>
  <si>
    <t>hilly</t>
  </si>
  <si>
    <t>mild</t>
  </si>
  <si>
    <t>adequate</t>
  </si>
  <si>
    <t>moderate</t>
  </si>
  <si>
    <t>Present,</t>
  </si>
  <si>
    <t>Hebbidiru</t>
  </si>
  <si>
    <t>Medium</t>
  </si>
  <si>
    <t>scanty</t>
  </si>
  <si>
    <t>Moderate</t>
  </si>
  <si>
    <t>Absent</t>
  </si>
  <si>
    <t>Kumsanballi,</t>
  </si>
  <si>
    <t>Present Elive hole</t>
  </si>
  <si>
    <t>Damage by wild life</t>
  </si>
  <si>
    <t>Mildly degrated,</t>
  </si>
  <si>
    <t>Eliphant eating the Bhaine trees</t>
  </si>
  <si>
    <t>Eliphant foot prints</t>
  </si>
  <si>
    <t>Madambadi</t>
  </si>
  <si>
    <t>50cm</t>
  </si>
  <si>
    <t>30cm</t>
  </si>
  <si>
    <t>80gm</t>
  </si>
  <si>
    <t>3.173kg</t>
  </si>
  <si>
    <t>1.791kg</t>
  </si>
  <si>
    <t>128gm</t>
  </si>
  <si>
    <t>300gm</t>
  </si>
  <si>
    <t>Halbettha</t>
  </si>
  <si>
    <t>Kadubevu</t>
  </si>
  <si>
    <t>Jambe</t>
  </si>
  <si>
    <t>Maddarasa</t>
  </si>
  <si>
    <t>Kadumenasu</t>
  </si>
  <si>
    <t>Leaf</t>
  </si>
  <si>
    <t>30gm</t>
  </si>
  <si>
    <t>Kiralbhogi</t>
  </si>
  <si>
    <t>130gm</t>
  </si>
  <si>
    <t>160gm</t>
  </si>
  <si>
    <t>456gm</t>
  </si>
  <si>
    <t>2.475kg</t>
  </si>
  <si>
    <t>2.349kg</t>
  </si>
  <si>
    <t xml:space="preserve">Hedagalu </t>
  </si>
  <si>
    <t>Salle</t>
  </si>
  <si>
    <t>kiralbhogi</t>
  </si>
  <si>
    <t>kanagalu</t>
  </si>
  <si>
    <t xml:space="preserve">Hebbalasu </t>
  </si>
  <si>
    <t>Thare</t>
  </si>
  <si>
    <t>Bilavary</t>
  </si>
  <si>
    <t>Bende</t>
  </si>
  <si>
    <t>Muju</t>
  </si>
  <si>
    <t>Huriakki</t>
  </si>
  <si>
    <t>Hunalu</t>
  </si>
  <si>
    <t>Jomple</t>
  </si>
  <si>
    <t>4m</t>
  </si>
  <si>
    <t>Hambuhullu</t>
  </si>
  <si>
    <t xml:space="preserve"> 12.551313°</t>
  </si>
  <si>
    <t>75.554104°</t>
  </si>
  <si>
    <t>243 mts</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</si>
  <si>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3.60 Kms to reach a location with GPS Co-ordinates 12.557735°N &amp;  75.546594°E.Then turn left and traverse SouthEastwards by foot for 250 mts to reach the centre of the Plot</t>
  </si>
  <si>
    <t>Maddarasa hebbalasu bhaine,,bilavary tree, salle, kendala, hebbidiru, kiral bhogi</t>
  </si>
  <si>
    <t>Hopea parviflora</t>
  </si>
  <si>
    <t>Terminalia paniculata</t>
  </si>
  <si>
    <t>Aporousa lindleyana</t>
  </si>
  <si>
    <t>Part of the tree</t>
  </si>
  <si>
    <t>in cm</t>
  </si>
  <si>
    <t>Remarks, if any, about the tree condition</t>
  </si>
  <si>
    <t>Height of 
selected 
dominant 
trees (m)</t>
  </si>
  <si>
    <t>GBH (OB)</t>
  </si>
  <si>
    <t>GBH (OB)
(cm)</t>
  </si>
  <si>
    <t xml:space="preserve">Grid No: </t>
  </si>
  <si>
    <t xml:space="preserve">LONG: </t>
  </si>
  <si>
    <t xml:space="preserve">LAT: </t>
  </si>
  <si>
    <t xml:space="preserve">ALT: </t>
  </si>
  <si>
    <t xml:space="preserve">Division: </t>
  </si>
  <si>
    <t xml:space="preserve">Range: </t>
  </si>
  <si>
    <t xml:space="preserve">Beat: </t>
  </si>
  <si>
    <t xml:space="preserve">Block /Village: </t>
  </si>
  <si>
    <t xml:space="preserve">Compartment No: </t>
  </si>
  <si>
    <t>PLOT ENUMERATION (31.62mX 31.62m Central Plot/lateral plot)</t>
  </si>
  <si>
    <t>FORM – A1</t>
  </si>
  <si>
    <t>Form III</t>
  </si>
  <si>
    <t>Nil</t>
  </si>
  <si>
    <t>c</t>
  </si>
  <si>
    <t>b</t>
  </si>
  <si>
    <t>a</t>
  </si>
  <si>
    <t>years</t>
  </si>
  <si>
    <t>two years</t>
  </si>
  <si>
    <t>Damaged/ twisted</t>
  </si>
  <si>
    <t>Sound</t>
  </si>
  <si>
    <t>Over two</t>
  </si>
  <si>
    <t>One to</t>
  </si>
  <si>
    <t>Current</t>
  </si>
  <si>
    <t>Remarks, if any, about the clump condition</t>
  </si>
  <si>
    <t>Dry culms</t>
  </si>
  <si>
    <t>Green damaged/ twisted</t>
  </si>
  <si>
    <t>Green sound culms</t>
  </si>
  <si>
    <t>Clump dia in cm</t>
  </si>
  <si>
    <t>Local Name</t>
  </si>
  <si>
    <t>BAMBOO CLUMP ENUMERATION (31.62mX 31.62m Plot)</t>
  </si>
  <si>
    <t>FORM-A2</t>
  </si>
  <si>
    <t>Artocarpus hirsuta</t>
  </si>
  <si>
    <t>Terminalia bellarica</t>
  </si>
  <si>
    <t>Albizzia odoratissima</t>
  </si>
  <si>
    <t>Kydia calycina</t>
  </si>
  <si>
    <t>Calamus thwaitesi</t>
  </si>
  <si>
    <t>Xylia xylocarpa</t>
  </si>
  <si>
    <t>Tabernaemontana heyneyana</t>
  </si>
  <si>
    <t>Piper nigrum</t>
  </si>
  <si>
    <t>Myristica attenuata</t>
  </si>
  <si>
    <t>Bambusa bambos</t>
  </si>
  <si>
    <t>Dilenia pentagyna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</si>
</sst>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i/>
      <sz val="11"/>
      <color theme="1"/>
      <name val="Calibri"/>
      <family val="2"/>
      <scheme val="minor"/>
    </font>
    <font>
      <i/>
      <u/>
      <sz val="12"/>
      <color theme="1"/>
      <name val="Times New Roman"/>
      <family val="1"/>
    </font>
    <font>
      <i/>
      <sz val="12"/>
      <color theme="1"/>
      <name val="Times New Roman"/>
      <family val="1"/>
    </font>
    <font>
      <u/>
      <sz val="12"/>
      <color theme="1"/>
      <name val="Times New Roman"/>
      <family val="1"/>
    </font>
    <font>
      <b/>
      <sz val="12"/>
      <color theme="1"/>
      <name val="Calibri"/>
      <family val="2"/>
      <scheme val="minor"/>
    </font>
    <font>
      <b/>
      <sz val="10"/>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50">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4"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horizontal="center"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5" fillId="0" borderId="3" xfId="0" applyFont="1" applyBorder="1" applyAlignment="1">
      <alignment horizontal="right"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4" fillId="0" borderId="2" xfId="0" applyFont="1" applyBorder="1"/>
    <xf numFmtId="0" fontId="4" fillId="0" borderId="3" xfId="0" applyFont="1" applyBorder="1"/>
    <xf numFmtId="0" fontId="4" fillId="0" borderId="3" xfId="0" applyFont="1" applyBorder="1" applyAlignment="1">
      <alignment horizontal="left"/>
    </xf>
    <xf numFmtId="0" fontId="5" fillId="0" borderId="3" xfId="0" applyFont="1" applyBorder="1" applyAlignment="1">
      <alignment horizontal="left" vertical="center"/>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5"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23" fillId="0" borderId="9" xfId="2" applyFont="1" applyFill="1" applyBorder="1" applyAlignment="1">
      <alignment horizontal="left" vertical="top" wrapText="1"/>
    </xf>
    <xf numFmtId="10" fontId="8" fillId="0" borderId="14" xfId="2" applyNumberFormat="1" applyBorder="1" applyAlignment="1">
      <alignment horizontal="lef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5" xfId="2" applyFont="1" applyBorder="1" applyAlignment="1">
      <alignment horizontal="left" vertical="top"/>
    </xf>
    <xf numFmtId="9" fontId="13" fillId="0" borderId="6" xfId="2" applyNumberFormat="1" applyFont="1" applyBorder="1" applyAlignment="1">
      <alignment horizontal="left" vertical="top"/>
    </xf>
    <xf numFmtId="0" fontId="11" fillId="0" borderId="5" xfId="2" applyFont="1" applyBorder="1" applyAlignment="1">
      <alignment vertical="top"/>
    </xf>
    <xf numFmtId="0" fontId="12" fillId="0" borderId="5" xfId="2" applyFont="1" applyBorder="1" applyAlignment="1">
      <alignment horizontal="left" vertical="top" wrapText="1"/>
    </xf>
    <xf numFmtId="0" fontId="11" fillId="0" borderId="9" xfId="2" applyFont="1" applyFill="1" applyBorder="1" applyAlignment="1">
      <alignment horizontal="left" vertical="top" wrapText="1"/>
    </xf>
    <xf numFmtId="0" fontId="12" fillId="0" borderId="9" xfId="2" applyFont="1" applyFill="1" applyBorder="1" applyAlignment="1">
      <alignment horizontal="left" vertical="top" wrapText="1"/>
    </xf>
    <xf numFmtId="0" fontId="8" fillId="0" borderId="6" xfId="2" applyBorder="1" applyAlignment="1">
      <alignment vertical="center" wrapText="1"/>
    </xf>
    <xf numFmtId="0" fontId="9" fillId="0" borderId="2" xfId="2" applyFont="1" applyFill="1" applyBorder="1" applyAlignment="1">
      <alignment horizontal="left" vertical="top" wrapText="1"/>
    </xf>
    <xf numFmtId="0" fontId="12" fillId="0" borderId="1" xfId="2" applyFont="1" applyFill="1" applyBorder="1" applyAlignment="1">
      <alignment horizontal="left" vertical="top" wrapText="1"/>
    </xf>
    <xf numFmtId="10" fontId="8" fillId="0" borderId="10" xfId="2" applyNumberFormat="1" applyBorder="1" applyAlignment="1">
      <alignment horizontal="left" vertical="center"/>
    </xf>
    <xf numFmtId="0" fontId="0" fillId="0" borderId="0" xfId="0" applyAlignment="1">
      <alignment horizontal="left"/>
    </xf>
    <xf numFmtId="0" fontId="25" fillId="0" borderId="0" xfId="0" applyFont="1"/>
    <xf numFmtId="0" fontId="3" fillId="0" borderId="1" xfId="0" applyFont="1" applyBorder="1" applyAlignment="1">
      <alignment horizontal="center" vertical="center" wrapText="1"/>
    </xf>
    <xf numFmtId="0" fontId="3" fillId="0" borderId="1" xfId="0" applyFont="1" applyFill="1" applyBorder="1" applyAlignment="1">
      <alignment horizontal="left" vertical="center"/>
    </xf>
    <xf numFmtId="0" fontId="26" fillId="0" borderId="4" xfId="0" applyFont="1" applyBorder="1" applyAlignment="1">
      <alignment horizontal="left" vertical="center"/>
    </xf>
    <xf numFmtId="0" fontId="26" fillId="0" borderId="2" xfId="0" applyFont="1" applyBorder="1" applyAlignment="1">
      <alignment horizontal="left" vertical="center"/>
    </xf>
    <xf numFmtId="2" fontId="3" fillId="0" borderId="1" xfId="0" applyNumberFormat="1" applyFont="1" applyFill="1" applyBorder="1" applyAlignment="1">
      <alignment horizontal="left" vertical="center" wrapText="1"/>
    </xf>
    <xf numFmtId="0" fontId="2" fillId="0" borderId="22" xfId="0" applyFont="1" applyBorder="1" applyAlignment="1">
      <alignment horizontal="center" vertical="center" wrapText="1"/>
    </xf>
    <xf numFmtId="0" fontId="3" fillId="0" borderId="0" xfId="0" applyFont="1" applyAlignment="1">
      <alignment horizontal="left"/>
    </xf>
    <xf numFmtId="0" fontId="27" fillId="0" borderId="0" xfId="0" applyFont="1"/>
    <xf numFmtId="0" fontId="3" fillId="0" borderId="29" xfId="0" applyFont="1" applyBorder="1" applyAlignment="1">
      <alignment wrapText="1"/>
    </xf>
    <xf numFmtId="0" fontId="3" fillId="0" borderId="28"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1" xfId="0" applyFont="1" applyBorder="1" applyAlignment="1">
      <alignment wrapText="1"/>
    </xf>
    <xf numFmtId="0" fontId="29" fillId="0" borderId="40" xfId="0" applyFont="1" applyBorder="1" applyAlignment="1">
      <alignment horizontal="center" vertical="center" wrapText="1"/>
    </xf>
    <xf numFmtId="0" fontId="24" fillId="0" borderId="0" xfId="0" applyFont="1" applyAlignment="1">
      <alignment horizontal="center" vertical="center"/>
    </xf>
    <xf numFmtId="0" fontId="0" fillId="0" borderId="0" xfId="0" applyFill="1" applyAlignment="1">
      <alignment horizontal="left"/>
    </xf>
    <xf numFmtId="0" fontId="0" fillId="0" borderId="0" xfId="0" applyFill="1"/>
    <xf numFmtId="0" fontId="4" fillId="0" borderId="6" xfId="0" applyFont="1" applyBorder="1" applyAlignment="1">
      <alignment horizontal="center" vertical="center" wrapText="1"/>
    </xf>
    <xf numFmtId="0" fontId="4" fillId="0" borderId="3" xfId="0" applyFont="1" applyBorder="1" applyAlignment="1">
      <alignment horizontal="left" vertical="center"/>
    </xf>
    <xf numFmtId="0" fontId="4" fillId="0" borderId="3" xfId="0" applyFont="1" applyFill="1" applyBorder="1" applyAlignment="1">
      <alignment horizontal="left" vertical="center"/>
    </xf>
    <xf numFmtId="0" fontId="5" fillId="0" borderId="3" xfId="0" applyFont="1" applyFill="1" applyBorder="1" applyAlignment="1">
      <alignment horizontal="right"/>
    </xf>
    <xf numFmtId="0" fontId="4" fillId="0" borderId="3" xfId="0" applyFont="1" applyFill="1" applyBorder="1" applyAlignment="1">
      <alignment horizontal="left"/>
    </xf>
    <xf numFmtId="0" fontId="5" fillId="0" borderId="0" xfId="0" applyFont="1" applyBorder="1" applyAlignment="1">
      <alignment horizontal="right" vertical="center"/>
    </xf>
    <xf numFmtId="0" fontId="4" fillId="0" borderId="0" xfId="0" applyFont="1" applyBorder="1" applyAlignment="1">
      <alignment horizontal="lef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horizontal="left" vertical="center"/>
    </xf>
    <xf numFmtId="0" fontId="12" fillId="0" borderId="1" xfId="2" applyFont="1" applyBorder="1" applyAlignment="1">
      <alignment horizontal="left" vertical="top" wrapText="1"/>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2" fillId="0" borderId="2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31" xfId="0" applyFont="1" applyBorder="1" applyAlignment="1">
      <alignment wrapText="1"/>
    </xf>
    <xf numFmtId="0" fontId="3" fillId="0" borderId="28" xfId="0" applyFont="1" applyBorder="1" applyAlignment="1">
      <alignment wrapText="1"/>
    </xf>
    <xf numFmtId="0" fontId="3" fillId="0" borderId="28" xfId="0" applyFont="1" applyBorder="1" applyAlignment="1">
      <alignment horizontal="left" wrapText="1"/>
    </xf>
    <xf numFmtId="0" fontId="3" fillId="0" borderId="30" xfId="0" applyFont="1" applyBorder="1" applyAlignment="1">
      <alignment horizontal="left" wrapText="1"/>
    </xf>
    <xf numFmtId="0" fontId="2" fillId="0" borderId="21"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7" xfId="0" applyFont="1" applyBorder="1" applyAlignment="1">
      <alignment horizontal="left" wrapText="1"/>
    </xf>
    <xf numFmtId="0" fontId="7" fillId="0" borderId="0" xfId="0" applyFont="1" applyAlignment="1">
      <alignment horizontal="center" vertical="center"/>
    </xf>
    <xf numFmtId="165" fontId="28" fillId="0" borderId="0" xfId="0" applyNumberFormat="1" applyFont="1" applyAlignment="1">
      <alignment horizontal="right" vertical="center"/>
    </xf>
    <xf numFmtId="0" fontId="3" fillId="0" borderId="35" xfId="0" applyFont="1" applyBorder="1" applyAlignment="1">
      <alignment wrapText="1"/>
    </xf>
    <xf numFmtId="0" fontId="3" fillId="0" borderId="20" xfId="0" applyFont="1" applyBorder="1" applyAlignment="1">
      <alignment wrapText="1"/>
    </xf>
    <xf numFmtId="0" fontId="3" fillId="0" borderId="20" xfId="0" applyFont="1" applyBorder="1" applyAlignment="1">
      <alignment horizontal="left" wrapText="1"/>
    </xf>
    <xf numFmtId="0" fontId="3" fillId="0" borderId="19" xfId="0" applyFont="1" applyBorder="1" applyAlignment="1">
      <alignment horizontal="left" wrapText="1"/>
    </xf>
    <xf numFmtId="0" fontId="3" fillId="0" borderId="21" xfId="0" applyFont="1" applyBorder="1" applyAlignment="1">
      <alignment horizontal="left" wrapText="1"/>
    </xf>
    <xf numFmtId="0" fontId="3" fillId="0" borderId="34" xfId="0" applyFont="1" applyBorder="1" applyAlignment="1">
      <alignment wrapText="1"/>
    </xf>
    <xf numFmtId="0" fontId="3" fillId="0" borderId="33"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32" xfId="0" applyFont="1" applyBorder="1" applyAlignment="1">
      <alignment horizontal="left" wrapText="1"/>
    </xf>
    <xf numFmtId="0" fontId="2" fillId="0" borderId="38"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6" xfId="0" applyFont="1" applyBorder="1" applyAlignment="1">
      <alignment horizontal="center" vertical="center" wrapText="1"/>
    </xf>
    <xf numFmtId="0" fontId="29" fillId="0" borderId="47" xfId="0" applyFont="1" applyBorder="1" applyAlignment="1">
      <alignment horizontal="center" vertical="center" wrapText="1"/>
    </xf>
    <xf numFmtId="0" fontId="29" fillId="0" borderId="46"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44" xfId="0" applyFont="1" applyBorder="1" applyAlignment="1">
      <alignment horizontal="center" vertical="center" wrapText="1"/>
    </xf>
    <xf numFmtId="0" fontId="29" fillId="0" borderId="41" xfId="0" applyFont="1" applyBorder="1" applyAlignment="1">
      <alignment horizontal="center" vertical="center" wrapText="1"/>
    </xf>
    <xf numFmtId="0" fontId="29" fillId="0" borderId="39" xfId="0" applyFont="1" applyBorder="1" applyAlignment="1">
      <alignment horizontal="center" vertical="center" wrapText="1"/>
    </xf>
    <xf numFmtId="0" fontId="29" fillId="0" borderId="43" xfId="0" applyFont="1" applyBorder="1" applyAlignment="1">
      <alignment horizontal="center" vertical="center" wrapText="1"/>
    </xf>
    <xf numFmtId="0" fontId="29" fillId="0" borderId="42" xfId="0" applyFont="1" applyBorder="1" applyAlignment="1">
      <alignment horizontal="center" vertical="center" wrapText="1"/>
    </xf>
    <xf numFmtId="0" fontId="29" fillId="0" borderId="40" xfId="0" applyFont="1" applyBorder="1" applyAlignment="1">
      <alignment horizontal="center" vertical="center" wrapText="1"/>
    </xf>
    <xf numFmtId="0" fontId="31" fillId="0" borderId="0" xfId="0" applyFont="1" applyAlignment="1">
      <alignment horizontal="center" vertical="center"/>
    </xf>
    <xf numFmtId="0" fontId="30" fillId="0" borderId="41" xfId="0" applyFont="1" applyBorder="1" applyAlignment="1">
      <alignment horizontal="center" vertical="center" wrapText="1"/>
    </xf>
    <xf numFmtId="0" fontId="29" fillId="0" borderId="38" xfId="0" applyFont="1" applyBorder="1" applyAlignment="1">
      <alignment horizontal="center" vertical="center" wrapText="1"/>
    </xf>
    <xf numFmtId="0" fontId="29" fillId="0" borderId="37" xfId="0" applyFont="1" applyBorder="1" applyAlignment="1">
      <alignment horizontal="center" vertical="center" wrapText="1"/>
    </xf>
    <xf numFmtId="0" fontId="29" fillId="0" borderId="3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2" borderId="1"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581%20KMRFXll-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sheetData sheetId="1">
        <row r="13">
          <cell r="C13" t="str">
            <v>238 mts</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showWhiteSpace="0" view="pageLayout" topLeftCell="B7" zoomScaleNormal="107" workbookViewId="0">
      <selection activeCell="C12" sqref="C12"/>
    </sheetView>
  </sheetViews>
  <sheetFormatPr defaultColWidth="9.90625" defaultRowHeight="14.5" x14ac:dyDescent="0.35"/>
  <cols>
    <col min="1" max="1" width="6.453125" style="27" customWidth="1"/>
    <col min="2" max="2" width="35.90625" style="28" customWidth="1"/>
    <col min="3" max="3" width="56.81640625" style="28" customWidth="1"/>
    <col min="4" max="4" width="9.90625" style="28" customWidth="1"/>
    <col min="5" max="16384" width="9.90625" style="28"/>
  </cols>
  <sheetData>
    <row r="1" spans="1:3" ht="17" x14ac:dyDescent="0.4">
      <c r="B1" s="163" t="s">
        <v>0</v>
      </c>
      <c r="C1" s="163"/>
    </row>
    <row r="2" spans="1:3" ht="17" x14ac:dyDescent="0.4">
      <c r="B2" s="163" t="s">
        <v>1</v>
      </c>
      <c r="C2" s="163"/>
    </row>
    <row r="3" spans="1:3" ht="15.5" x14ac:dyDescent="0.35">
      <c r="A3" s="29" t="s">
        <v>83</v>
      </c>
      <c r="C3" s="30" t="s">
        <v>84</v>
      </c>
    </row>
    <row r="5" spans="1:3" ht="23.25" customHeight="1" x14ac:dyDescent="0.35">
      <c r="A5" s="31" t="s">
        <v>26</v>
      </c>
      <c r="B5" s="31" t="s">
        <v>2</v>
      </c>
      <c r="C5" s="31" t="s">
        <v>3</v>
      </c>
    </row>
    <row r="6" spans="1:3" ht="18.75" customHeight="1" x14ac:dyDescent="0.35">
      <c r="A6" s="32">
        <v>1</v>
      </c>
      <c r="B6" s="33" t="s">
        <v>126</v>
      </c>
      <c r="C6" s="34" t="s">
        <v>190</v>
      </c>
    </row>
    <row r="7" spans="1:3" ht="16" customHeight="1" x14ac:dyDescent="0.35">
      <c r="A7" s="32">
        <v>2</v>
      </c>
      <c r="B7" s="35" t="s">
        <v>85</v>
      </c>
      <c r="C7" s="122" t="s">
        <v>191</v>
      </c>
    </row>
    <row r="8" spans="1:3" ht="16.5" customHeight="1" x14ac:dyDescent="0.35">
      <c r="A8" s="32">
        <v>3</v>
      </c>
      <c r="B8" s="35" t="s">
        <v>86</v>
      </c>
      <c r="C8" s="122" t="s">
        <v>189</v>
      </c>
    </row>
    <row r="9" spans="1:3" ht="19.5" customHeight="1" x14ac:dyDescent="0.35">
      <c r="A9" s="38">
        <v>4</v>
      </c>
      <c r="B9" s="62" t="s">
        <v>127</v>
      </c>
      <c r="C9" s="39">
        <v>464</v>
      </c>
    </row>
    <row r="10" spans="1:3" ht="18" customHeight="1" x14ac:dyDescent="0.35">
      <c r="A10" s="38">
        <v>5</v>
      </c>
      <c r="B10" s="62" t="s">
        <v>128</v>
      </c>
      <c r="C10" s="39" t="s">
        <v>245</v>
      </c>
    </row>
    <row r="11" spans="1:3" ht="19.5" customHeight="1" x14ac:dyDescent="0.35">
      <c r="A11" s="38">
        <v>6</v>
      </c>
      <c r="B11" s="62" t="s">
        <v>129</v>
      </c>
      <c r="C11" s="39" t="s">
        <v>246</v>
      </c>
    </row>
    <row r="12" spans="1:3" ht="155" customHeight="1" x14ac:dyDescent="0.35">
      <c r="A12" s="32">
        <v>7</v>
      </c>
      <c r="B12" s="124" t="s">
        <v>4</v>
      </c>
      <c r="C12" s="125" t="s">
        <v>248</v>
      </c>
    </row>
    <row r="13" spans="1:3" ht="31" customHeight="1" x14ac:dyDescent="0.35">
      <c r="A13" s="32">
        <v>8</v>
      </c>
      <c r="B13" s="112" t="s">
        <v>87</v>
      </c>
      <c r="C13" s="162" t="s">
        <v>249</v>
      </c>
    </row>
    <row r="14" spans="1:3" ht="19.5" customHeight="1" x14ac:dyDescent="0.35">
      <c r="A14" s="42">
        <v>9</v>
      </c>
      <c r="B14" s="113" t="s">
        <v>5</v>
      </c>
      <c r="C14" s="43"/>
    </row>
    <row r="15" spans="1:3" ht="29" customHeight="1" x14ac:dyDescent="0.35">
      <c r="A15" s="44"/>
      <c r="B15" s="45" t="s">
        <v>131</v>
      </c>
      <c r="C15" s="46" t="s">
        <v>170</v>
      </c>
    </row>
    <row r="16" spans="1:3" ht="29.15" customHeight="1" x14ac:dyDescent="0.35">
      <c r="A16" s="47"/>
      <c r="B16" s="45" t="s">
        <v>130</v>
      </c>
      <c r="C16" s="48" t="s">
        <v>171</v>
      </c>
    </row>
    <row r="17" spans="1:3" ht="44.15" customHeight="1" x14ac:dyDescent="0.35">
      <c r="A17" s="42"/>
      <c r="B17" s="71" t="s">
        <v>88</v>
      </c>
      <c r="C17" s="43" t="s">
        <v>172</v>
      </c>
    </row>
    <row r="18" spans="1:3" ht="18.649999999999999" customHeight="1" x14ac:dyDescent="0.35">
      <c r="A18" s="42"/>
      <c r="B18" s="115" t="s">
        <v>89</v>
      </c>
      <c r="C18" s="43"/>
    </row>
    <row r="19" spans="1:3" ht="13.5" customHeight="1" x14ac:dyDescent="0.35">
      <c r="A19" s="47"/>
      <c r="B19" s="59" t="s">
        <v>132</v>
      </c>
      <c r="C19" s="119">
        <v>0.90290000000000004</v>
      </c>
    </row>
    <row r="20" spans="1:3" ht="65.5" customHeight="1" x14ac:dyDescent="0.35">
      <c r="A20" s="44"/>
      <c r="B20" s="117" t="s">
        <v>133</v>
      </c>
      <c r="C20" s="43" t="s">
        <v>173</v>
      </c>
    </row>
    <row r="21" spans="1:3" ht="96" customHeight="1" x14ac:dyDescent="0.35">
      <c r="A21" s="44"/>
      <c r="B21" s="45" t="s">
        <v>134</v>
      </c>
      <c r="C21" s="116" t="s">
        <v>174</v>
      </c>
    </row>
    <row r="22" spans="1:3" ht="32" customHeight="1" x14ac:dyDescent="0.35">
      <c r="A22" s="44"/>
      <c r="B22" s="45" t="s">
        <v>155</v>
      </c>
      <c r="C22" s="116" t="s">
        <v>175</v>
      </c>
    </row>
    <row r="23" spans="1:3" ht="33" customHeight="1" x14ac:dyDescent="0.35">
      <c r="A23" s="44"/>
      <c r="B23" s="45" t="s">
        <v>156</v>
      </c>
      <c r="C23" s="116" t="s">
        <v>176</v>
      </c>
    </row>
    <row r="24" spans="1:3" ht="30.65" customHeight="1" x14ac:dyDescent="0.35">
      <c r="A24" s="44"/>
      <c r="B24" s="49" t="s">
        <v>135</v>
      </c>
      <c r="C24" s="43" t="s">
        <v>181</v>
      </c>
    </row>
    <row r="25" spans="1:3" ht="30.65" customHeight="1" x14ac:dyDescent="0.35">
      <c r="A25" s="44"/>
      <c r="B25" s="49" t="s">
        <v>137</v>
      </c>
      <c r="C25" s="43" t="s">
        <v>244</v>
      </c>
    </row>
    <row r="26" spans="1:3" ht="33.65" customHeight="1" x14ac:dyDescent="0.35">
      <c r="A26" s="44"/>
      <c r="B26" s="49" t="s">
        <v>136</v>
      </c>
      <c r="C26" s="43" t="s">
        <v>177</v>
      </c>
    </row>
    <row r="27" spans="1:3" ht="16.5" customHeight="1" x14ac:dyDescent="0.35">
      <c r="A27" s="44"/>
      <c r="B27" s="49" t="s">
        <v>138</v>
      </c>
      <c r="C27" s="50"/>
    </row>
    <row r="28" spans="1:3" ht="16.5" customHeight="1" x14ac:dyDescent="0.35">
      <c r="A28" s="44"/>
      <c r="B28" s="49" t="s">
        <v>140</v>
      </c>
      <c r="C28" s="43" t="s">
        <v>178</v>
      </c>
    </row>
    <row r="29" spans="1:3" ht="33.5" customHeight="1" x14ac:dyDescent="0.35">
      <c r="A29" s="44"/>
      <c r="B29" s="45" t="s">
        <v>139</v>
      </c>
      <c r="C29" s="116" t="s">
        <v>181</v>
      </c>
    </row>
    <row r="30" spans="1:3" ht="34" customHeight="1" x14ac:dyDescent="0.35">
      <c r="A30" s="44"/>
      <c r="B30" s="45" t="s">
        <v>141</v>
      </c>
      <c r="C30" s="50" t="s">
        <v>179</v>
      </c>
    </row>
    <row r="31" spans="1:3" ht="22.5" customHeight="1" x14ac:dyDescent="0.35">
      <c r="A31" s="44"/>
      <c r="B31" s="49" t="s">
        <v>142</v>
      </c>
      <c r="C31" s="43" t="s">
        <v>180</v>
      </c>
    </row>
    <row r="32" spans="1:3" ht="30.5" customHeight="1" x14ac:dyDescent="0.35">
      <c r="A32" s="44"/>
      <c r="B32" s="115" t="s">
        <v>148</v>
      </c>
      <c r="C32" s="43" t="s">
        <v>182</v>
      </c>
    </row>
    <row r="33" spans="1:3" ht="47.5" customHeight="1" x14ac:dyDescent="0.35">
      <c r="A33" s="44"/>
      <c r="B33" s="49" t="s">
        <v>143</v>
      </c>
      <c r="C33" s="43" t="s">
        <v>183</v>
      </c>
    </row>
    <row r="34" spans="1:3" ht="47.5" customHeight="1" x14ac:dyDescent="0.35">
      <c r="A34" s="44"/>
      <c r="B34" s="49" t="s">
        <v>144</v>
      </c>
      <c r="C34" s="43" t="s">
        <v>184</v>
      </c>
    </row>
    <row r="35" spans="1:3" ht="51" customHeight="1" x14ac:dyDescent="0.35">
      <c r="A35" s="44"/>
      <c r="B35" s="49" t="s">
        <v>147</v>
      </c>
      <c r="C35" s="43" t="s">
        <v>181</v>
      </c>
    </row>
    <row r="36" spans="1:3" ht="22.5" customHeight="1" x14ac:dyDescent="0.35">
      <c r="A36" s="44"/>
      <c r="B36" s="114" t="s">
        <v>145</v>
      </c>
      <c r="C36" s="50" t="s">
        <v>185</v>
      </c>
    </row>
    <row r="37" spans="1:3" ht="79" customHeight="1" x14ac:dyDescent="0.35">
      <c r="A37" s="44"/>
      <c r="B37" s="49" t="s">
        <v>146</v>
      </c>
      <c r="C37" s="28" t="s">
        <v>186</v>
      </c>
    </row>
    <row r="38" spans="1:3" ht="15" customHeight="1" x14ac:dyDescent="0.35">
      <c r="A38" s="42">
        <v>10</v>
      </c>
      <c r="B38" s="126" t="s">
        <v>6</v>
      </c>
      <c r="C38" s="72"/>
    </row>
    <row r="39" spans="1:3" ht="30.65" customHeight="1" x14ac:dyDescent="0.35">
      <c r="A39" s="44"/>
      <c r="B39" s="127" t="s">
        <v>149</v>
      </c>
      <c r="C39" s="128" t="s">
        <v>187</v>
      </c>
    </row>
    <row r="40" spans="1:3" ht="15.65" customHeight="1" x14ac:dyDescent="0.35">
      <c r="A40" s="69">
        <v>11</v>
      </c>
      <c r="B40" s="118" t="s">
        <v>7</v>
      </c>
      <c r="C40" s="45" t="s">
        <v>188</v>
      </c>
    </row>
    <row r="41" spans="1:3" ht="48.65" customHeight="1" x14ac:dyDescent="0.35">
      <c r="A41" s="70"/>
      <c r="B41" s="49" t="s">
        <v>150</v>
      </c>
      <c r="C41" s="40"/>
    </row>
    <row r="42" spans="1:3" ht="14.5" customHeight="1" x14ac:dyDescent="0.35">
      <c r="A42" s="69">
        <v>12</v>
      </c>
      <c r="B42" s="68" t="s">
        <v>90</v>
      </c>
      <c r="C42" s="49">
        <v>1</v>
      </c>
    </row>
    <row r="43" spans="1:3" ht="29" x14ac:dyDescent="0.35">
      <c r="A43" s="69">
        <v>13</v>
      </c>
      <c r="B43" s="129" t="s">
        <v>74</v>
      </c>
      <c r="C43" s="130" t="s">
        <v>243</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1" zoomScaleNormal="95" workbookViewId="0">
      <selection activeCell="B10" sqref="B10"/>
    </sheetView>
  </sheetViews>
  <sheetFormatPr defaultColWidth="9.90625" defaultRowHeight="14.5" x14ac:dyDescent="0.35"/>
  <cols>
    <col min="1" max="1" width="4" style="28" customWidth="1"/>
    <col min="2" max="2" width="50" style="28" customWidth="1"/>
    <col min="3" max="3" width="34.7265625" style="28" customWidth="1"/>
    <col min="4" max="4" width="9.90625" style="28" customWidth="1"/>
    <col min="5" max="16384" width="9.90625" style="28"/>
  </cols>
  <sheetData>
    <row r="1" spans="1:3" ht="18" x14ac:dyDescent="0.25">
      <c r="A1" s="163" t="s">
        <v>8</v>
      </c>
      <c r="B1" s="163"/>
      <c r="C1" s="163"/>
    </row>
    <row r="2" spans="1:3" ht="18" x14ac:dyDescent="0.25">
      <c r="A2" s="163" t="s">
        <v>9</v>
      </c>
      <c r="B2" s="163"/>
      <c r="C2" s="163"/>
    </row>
    <row r="3" spans="1:3" ht="15" x14ac:dyDescent="0.2">
      <c r="C3" s="51"/>
    </row>
    <row r="4" spans="1:3" ht="15" x14ac:dyDescent="0.2">
      <c r="A4" s="29" t="s">
        <v>91</v>
      </c>
      <c r="B4" s="52"/>
      <c r="C4" s="30" t="s">
        <v>84</v>
      </c>
    </row>
    <row r="5" spans="1:3" ht="15" x14ac:dyDescent="0.2">
      <c r="A5" s="52"/>
      <c r="B5" s="52"/>
      <c r="C5" s="52"/>
    </row>
    <row r="6" spans="1:3" s="54" customFormat="1" ht="14" customHeight="1" x14ac:dyDescent="0.2">
      <c r="A6" s="53" t="s">
        <v>92</v>
      </c>
      <c r="B6" s="53" t="s">
        <v>3</v>
      </c>
      <c r="C6" s="53" t="s">
        <v>10</v>
      </c>
    </row>
    <row r="7" spans="1:3" ht="18" customHeight="1" x14ac:dyDescent="0.2">
      <c r="A7" s="38">
        <v>1</v>
      </c>
      <c r="B7" s="60" t="s">
        <v>126</v>
      </c>
      <c r="C7" s="34" t="s">
        <v>190</v>
      </c>
    </row>
    <row r="8" spans="1:3" ht="17" customHeight="1" x14ac:dyDescent="0.2">
      <c r="A8" s="38">
        <v>2</v>
      </c>
      <c r="B8" s="61" t="s">
        <v>152</v>
      </c>
      <c r="C8" s="39" t="s">
        <v>191</v>
      </c>
    </row>
    <row r="9" spans="1:3" ht="22" customHeight="1" x14ac:dyDescent="0.2">
      <c r="A9" s="38">
        <v>3</v>
      </c>
      <c r="B9" s="61" t="s">
        <v>86</v>
      </c>
      <c r="C9" s="39" t="s">
        <v>189</v>
      </c>
    </row>
    <row r="10" spans="1:3" ht="18" customHeight="1" x14ac:dyDescent="0.35">
      <c r="A10" s="38">
        <v>4</v>
      </c>
      <c r="B10" s="62" t="s">
        <v>151</v>
      </c>
      <c r="C10" s="39">
        <v>464</v>
      </c>
    </row>
    <row r="11" spans="1:3" ht="21.75" customHeight="1" x14ac:dyDescent="0.35">
      <c r="A11" s="38">
        <v>5</v>
      </c>
      <c r="B11" s="62" t="s">
        <v>128</v>
      </c>
      <c r="C11" s="55" t="str">
        <f>'Form-1'!C10</f>
        <v xml:space="preserve"> 12.551313°</v>
      </c>
    </row>
    <row r="12" spans="1:3" ht="18" customHeight="1" x14ac:dyDescent="0.35">
      <c r="A12" s="38">
        <v>6</v>
      </c>
      <c r="B12" s="62" t="s">
        <v>129</v>
      </c>
      <c r="C12" s="55" t="str">
        <f>'Form-1'!C11</f>
        <v>75.554104°</v>
      </c>
    </row>
    <row r="13" spans="1:3" ht="18.75" customHeight="1" x14ac:dyDescent="0.2">
      <c r="A13" s="38">
        <v>7</v>
      </c>
      <c r="B13" s="62" t="s">
        <v>153</v>
      </c>
      <c r="C13" s="39" t="s">
        <v>247</v>
      </c>
    </row>
    <row r="14" spans="1:3" ht="29.15" customHeight="1" x14ac:dyDescent="0.2">
      <c r="A14" s="32">
        <v>8</v>
      </c>
      <c r="B14" s="63" t="s">
        <v>93</v>
      </c>
      <c r="C14" s="35" t="s">
        <v>192</v>
      </c>
    </row>
    <row r="15" spans="1:3" ht="33" customHeight="1" x14ac:dyDescent="0.2">
      <c r="A15" s="32">
        <v>9</v>
      </c>
      <c r="B15" s="63" t="s">
        <v>94</v>
      </c>
      <c r="C15" s="24" t="s">
        <v>193</v>
      </c>
    </row>
    <row r="16" spans="1:3" ht="29.15" customHeight="1" x14ac:dyDescent="0.2">
      <c r="A16" s="32">
        <v>10</v>
      </c>
      <c r="B16" s="63" t="s">
        <v>95</v>
      </c>
      <c r="C16" s="35" t="s">
        <v>194</v>
      </c>
    </row>
    <row r="17" spans="1:3" ht="17.25" customHeight="1" x14ac:dyDescent="0.35">
      <c r="A17" s="32">
        <v>11</v>
      </c>
      <c r="B17" s="63" t="s">
        <v>96</v>
      </c>
      <c r="C17" s="35" t="s">
        <v>171</v>
      </c>
    </row>
    <row r="18" spans="1:3" ht="29.15" customHeight="1" x14ac:dyDescent="0.35">
      <c r="A18" s="32">
        <v>12</v>
      </c>
      <c r="B18" s="63" t="s">
        <v>97</v>
      </c>
      <c r="C18" s="35" t="s">
        <v>172</v>
      </c>
    </row>
    <row r="19" spans="1:3" ht="49" customHeight="1" x14ac:dyDescent="0.35">
      <c r="A19" s="32">
        <v>13</v>
      </c>
      <c r="B19" s="63" t="s">
        <v>154</v>
      </c>
      <c r="C19" s="35" t="s">
        <v>173</v>
      </c>
    </row>
    <row r="20" spans="1:3" ht="16" customHeight="1" x14ac:dyDescent="0.35">
      <c r="A20" s="32">
        <v>14</v>
      </c>
      <c r="B20" s="64" t="s">
        <v>11</v>
      </c>
    </row>
    <row r="21" spans="1:3" ht="77.5" customHeight="1" x14ac:dyDescent="0.35">
      <c r="A21" s="41"/>
      <c r="B21" s="45" t="s">
        <v>134</v>
      </c>
      <c r="C21" s="58" t="s">
        <v>174</v>
      </c>
    </row>
    <row r="22" spans="1:3" ht="34" customHeight="1" x14ac:dyDescent="0.35">
      <c r="A22" s="41"/>
      <c r="B22" s="45" t="s">
        <v>155</v>
      </c>
      <c r="C22" s="58" t="s">
        <v>175</v>
      </c>
    </row>
    <row r="23" spans="1:3" ht="19" customHeight="1" x14ac:dyDescent="0.35">
      <c r="A23" s="41"/>
      <c r="B23" s="45" t="s">
        <v>156</v>
      </c>
      <c r="C23" s="58" t="s">
        <v>176</v>
      </c>
    </row>
    <row r="24" spans="1:3" ht="17.149999999999999" customHeight="1" x14ac:dyDescent="0.35">
      <c r="A24" s="32">
        <v>15</v>
      </c>
      <c r="B24" s="65" t="s">
        <v>98</v>
      </c>
      <c r="C24" s="35" t="s">
        <v>195</v>
      </c>
    </row>
    <row r="25" spans="1:3" ht="16" customHeight="1" x14ac:dyDescent="0.35">
      <c r="A25" s="32">
        <v>16</v>
      </c>
      <c r="B25" s="63" t="s">
        <v>99</v>
      </c>
      <c r="C25" s="35"/>
    </row>
    <row r="26" spans="1:3" ht="34" customHeight="1" x14ac:dyDescent="0.35">
      <c r="A26" s="36"/>
      <c r="B26" s="63" t="s">
        <v>157</v>
      </c>
      <c r="C26" s="123">
        <v>0.65</v>
      </c>
    </row>
    <row r="27" spans="1:3" ht="18.649999999999999" customHeight="1" x14ac:dyDescent="0.35">
      <c r="A27" s="32">
        <v>17</v>
      </c>
      <c r="B27" s="63" t="s">
        <v>100</v>
      </c>
      <c r="C27" s="35" t="s">
        <v>196</v>
      </c>
    </row>
    <row r="28" spans="1:3" ht="59.5" customHeight="1" x14ac:dyDescent="0.35">
      <c r="A28" s="32">
        <v>18</v>
      </c>
      <c r="B28" s="63" t="s">
        <v>101</v>
      </c>
      <c r="C28" s="35" t="s">
        <v>206</v>
      </c>
    </row>
    <row r="29" spans="1:3" ht="18" customHeight="1" x14ac:dyDescent="0.35">
      <c r="A29" s="32">
        <v>19</v>
      </c>
      <c r="B29" s="65" t="s">
        <v>102</v>
      </c>
      <c r="C29" s="35" t="s">
        <v>197</v>
      </c>
    </row>
    <row r="30" spans="1:3" ht="18" customHeight="1" x14ac:dyDescent="0.35">
      <c r="A30" s="32">
        <v>20</v>
      </c>
      <c r="B30" s="49" t="s">
        <v>158</v>
      </c>
      <c r="C30" s="35" t="s">
        <v>198</v>
      </c>
    </row>
    <row r="31" spans="1:3" ht="33" customHeight="1" x14ac:dyDescent="0.35">
      <c r="A31" s="41"/>
      <c r="B31" s="45" t="s">
        <v>159</v>
      </c>
      <c r="C31" s="35" t="s">
        <v>199</v>
      </c>
    </row>
    <row r="32" spans="1:3" ht="18" customHeight="1" x14ac:dyDescent="0.35">
      <c r="A32" s="36"/>
      <c r="B32" s="45" t="s">
        <v>141</v>
      </c>
      <c r="C32" s="35" t="s">
        <v>200</v>
      </c>
    </row>
    <row r="33" spans="1:3" ht="30" customHeight="1" x14ac:dyDescent="0.35">
      <c r="A33" s="32">
        <v>21</v>
      </c>
      <c r="B33" s="66" t="s">
        <v>103</v>
      </c>
      <c r="C33" s="35" t="s">
        <v>201</v>
      </c>
    </row>
    <row r="34" spans="1:3" ht="33" customHeight="1" x14ac:dyDescent="0.35">
      <c r="A34" s="32">
        <v>22</v>
      </c>
      <c r="B34" s="63" t="s">
        <v>104</v>
      </c>
      <c r="C34" s="35" t="s">
        <v>202</v>
      </c>
    </row>
    <row r="35" spans="1:3" ht="34" customHeight="1" x14ac:dyDescent="0.35">
      <c r="A35" s="32">
        <v>23</v>
      </c>
      <c r="B35" s="66" t="s">
        <v>160</v>
      </c>
      <c r="C35" s="35" t="s">
        <v>203</v>
      </c>
    </row>
    <row r="36" spans="1:3" ht="53.15" customHeight="1" x14ac:dyDescent="0.35">
      <c r="A36" s="32">
        <v>24</v>
      </c>
      <c r="B36" s="66" t="s">
        <v>161</v>
      </c>
      <c r="C36" s="35" t="s">
        <v>204</v>
      </c>
    </row>
    <row r="37" spans="1:3" ht="30.65" customHeight="1" x14ac:dyDescent="0.35">
      <c r="A37" s="32">
        <v>25</v>
      </c>
      <c r="B37" s="66" t="s">
        <v>162</v>
      </c>
      <c r="C37" s="35" t="s">
        <v>205</v>
      </c>
    </row>
    <row r="38" spans="1:3" ht="15.65" customHeight="1" x14ac:dyDescent="0.35">
      <c r="A38" s="32">
        <v>26</v>
      </c>
      <c r="B38" s="63" t="s">
        <v>107</v>
      </c>
      <c r="C38" s="35"/>
    </row>
    <row r="39" spans="1:3" ht="30.65" customHeight="1" x14ac:dyDescent="0.35">
      <c r="A39" s="41"/>
      <c r="B39" s="67" t="s">
        <v>105</v>
      </c>
      <c r="C39" s="57" t="s">
        <v>207</v>
      </c>
    </row>
    <row r="40" spans="1:3" ht="119.15" customHeight="1" x14ac:dyDescent="0.35">
      <c r="A40" s="41"/>
      <c r="B40" s="67" t="s">
        <v>163</v>
      </c>
      <c r="C40" s="57" t="s">
        <v>208</v>
      </c>
    </row>
    <row r="41" spans="1:3" ht="14.5" customHeight="1" x14ac:dyDescent="0.35">
      <c r="A41" s="32">
        <v>27</v>
      </c>
      <c r="B41" s="65" t="s">
        <v>12</v>
      </c>
      <c r="C41" s="35" t="s">
        <v>203</v>
      </c>
    </row>
    <row r="42" spans="1:3" ht="18" customHeight="1" x14ac:dyDescent="0.35">
      <c r="A42" s="36"/>
      <c r="B42" s="65" t="s">
        <v>164</v>
      </c>
      <c r="C42" s="37"/>
    </row>
    <row r="43" spans="1:3" ht="18.649999999999999" customHeight="1" x14ac:dyDescent="0.35">
      <c r="A43" s="32">
        <v>28</v>
      </c>
      <c r="B43" s="63" t="s">
        <v>13</v>
      </c>
      <c r="C43" s="35" t="s">
        <v>181</v>
      </c>
    </row>
    <row r="44" spans="1:3" ht="43.5" x14ac:dyDescent="0.35">
      <c r="A44" s="36"/>
      <c r="B44" s="63" t="s">
        <v>166</v>
      </c>
      <c r="C44" s="35" t="s">
        <v>209</v>
      </c>
    </row>
    <row r="45" spans="1:3" ht="15.5" x14ac:dyDescent="0.35">
      <c r="A45" s="72">
        <v>29</v>
      </c>
      <c r="B45" s="49" t="s">
        <v>106</v>
      </c>
      <c r="C45" s="131">
        <v>0.90300000000000002</v>
      </c>
    </row>
    <row r="46" spans="1:3" ht="17.5" x14ac:dyDescent="0.35">
      <c r="A46" s="56"/>
      <c r="B46" s="59" t="s">
        <v>165</v>
      </c>
      <c r="C46" s="50"/>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abSelected="1" topLeftCell="A2" workbookViewId="0">
      <selection activeCell="C15" sqref="C15"/>
    </sheetView>
  </sheetViews>
  <sheetFormatPr defaultRowHeight="14.5" x14ac:dyDescent="0.35"/>
  <cols>
    <col min="1" max="1" width="4.54296875" customWidth="1"/>
    <col min="2" max="2" width="12.26953125" customWidth="1"/>
    <col min="3" max="3" width="18.26953125" style="133" customWidth="1"/>
    <col min="4" max="4" width="14.7265625" style="132"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89" t="s">
        <v>270</v>
      </c>
      <c r="B1" s="189"/>
      <c r="C1" s="189"/>
      <c r="D1" s="189"/>
      <c r="E1" s="189"/>
      <c r="F1" s="189"/>
      <c r="G1" s="189"/>
      <c r="H1" s="189"/>
      <c r="I1" s="189"/>
      <c r="J1" s="189"/>
      <c r="K1" s="189"/>
      <c r="L1" s="189"/>
    </row>
    <row r="2" spans="1:12" ht="15.65" customHeight="1" x14ac:dyDescent="0.35">
      <c r="A2" s="189" t="s">
        <v>269</v>
      </c>
      <c r="B2" s="189"/>
      <c r="C2" s="189"/>
      <c r="D2" s="189"/>
      <c r="E2" s="189"/>
      <c r="F2" s="189"/>
      <c r="G2" s="189"/>
      <c r="H2" s="189"/>
      <c r="I2" s="189"/>
      <c r="J2" s="189"/>
      <c r="K2" s="189"/>
      <c r="L2" s="189"/>
    </row>
    <row r="3" spans="1:12" ht="15.65" customHeight="1" x14ac:dyDescent="0.35">
      <c r="A3" s="189" t="s">
        <v>268</v>
      </c>
      <c r="B3" s="189"/>
      <c r="C3" s="189"/>
      <c r="D3" s="189"/>
      <c r="E3" s="189"/>
      <c r="F3" s="189"/>
      <c r="G3" s="189"/>
      <c r="H3" s="189"/>
      <c r="I3" s="189"/>
      <c r="J3" s="189"/>
      <c r="K3" s="189"/>
      <c r="L3" s="189"/>
    </row>
    <row r="4" spans="1:12" ht="15.65" customHeight="1" thickBot="1" x14ac:dyDescent="0.4">
      <c r="A4" s="190"/>
      <c r="B4" s="190"/>
      <c r="C4" s="190"/>
      <c r="D4" s="190"/>
      <c r="E4" s="190"/>
      <c r="F4" s="190"/>
      <c r="G4" s="190"/>
      <c r="H4" s="190"/>
      <c r="I4" s="190"/>
      <c r="J4" s="190"/>
      <c r="K4" s="190"/>
      <c r="L4" s="190"/>
    </row>
    <row r="5" spans="1:12" ht="15.65" customHeight="1" x14ac:dyDescent="0.35">
      <c r="A5" s="191" t="s">
        <v>267</v>
      </c>
      <c r="B5" s="192"/>
      <c r="C5" s="193" t="str">
        <f>'[1]Form II'!C10</f>
        <v>XII-23</v>
      </c>
      <c r="D5" s="194"/>
      <c r="E5" s="195" t="s">
        <v>266</v>
      </c>
      <c r="F5" s="193"/>
      <c r="G5" s="193"/>
      <c r="H5" s="193"/>
      <c r="I5" s="194"/>
      <c r="J5" s="146" t="s">
        <v>265</v>
      </c>
      <c r="K5" s="192"/>
      <c r="L5" s="196"/>
    </row>
    <row r="6" spans="1:12" ht="15.65" customHeight="1" x14ac:dyDescent="0.35">
      <c r="A6" s="197" t="s">
        <v>264</v>
      </c>
      <c r="B6" s="198"/>
      <c r="C6" s="199" t="str">
        <f>'[1]Form 1'!C6</f>
        <v>Subramanya</v>
      </c>
      <c r="D6" s="200"/>
      <c r="E6" s="144" t="s">
        <v>263</v>
      </c>
      <c r="F6" s="145"/>
      <c r="G6" s="199" t="str">
        <f>'[1]Form 1'!C3</f>
        <v>Mangalore</v>
      </c>
      <c r="H6" s="199"/>
      <c r="I6" s="200"/>
      <c r="J6" s="144" t="s">
        <v>262</v>
      </c>
      <c r="K6" s="199" t="str">
        <f>'[2]Form-2'!C13</f>
        <v>238 mts</v>
      </c>
      <c r="L6" s="201"/>
    </row>
    <row r="7" spans="1:12" ht="15.65" customHeight="1" thickBot="1" x14ac:dyDescent="0.4">
      <c r="A7" s="177" t="s">
        <v>261</v>
      </c>
      <c r="B7" s="178"/>
      <c r="C7" s="179" t="str">
        <f>'[1]Form 1'!C10</f>
        <v>12.571659°</v>
      </c>
      <c r="D7" s="180"/>
      <c r="E7" s="142" t="s">
        <v>260</v>
      </c>
      <c r="F7" s="143"/>
      <c r="G7" s="179" t="str">
        <f>'[1]Form 1'!C11</f>
        <v xml:space="preserve"> 75.554147°</v>
      </c>
      <c r="H7" s="179"/>
      <c r="I7" s="180"/>
      <c r="J7" s="142" t="s">
        <v>259</v>
      </c>
      <c r="K7" s="179">
        <f>'Form-1'!C9</f>
        <v>464</v>
      </c>
      <c r="L7" s="188"/>
    </row>
    <row r="8" spans="1:12" ht="15.65" customHeight="1" thickBot="1" x14ac:dyDescent="0.4">
      <c r="A8" s="7"/>
      <c r="B8" s="7"/>
      <c r="C8" s="141"/>
      <c r="D8" s="140"/>
      <c r="E8" s="1"/>
      <c r="F8" s="1"/>
      <c r="G8" s="1"/>
      <c r="H8" s="1"/>
      <c r="I8" s="1"/>
      <c r="J8" s="1"/>
      <c r="K8" s="1"/>
      <c r="L8" s="1"/>
    </row>
    <row r="9" spans="1:12" ht="18.649999999999999" customHeight="1" x14ac:dyDescent="0.35">
      <c r="A9" s="167" t="s">
        <v>26</v>
      </c>
      <c r="B9" s="169" t="s">
        <v>27</v>
      </c>
      <c r="C9" s="170"/>
      <c r="D9" s="173" t="s">
        <v>28</v>
      </c>
      <c r="E9" s="175" t="s">
        <v>258</v>
      </c>
      <c r="F9" s="139" t="s">
        <v>257</v>
      </c>
      <c r="G9" s="175" t="s">
        <v>256</v>
      </c>
      <c r="H9" s="181" t="s">
        <v>31</v>
      </c>
      <c r="I9" s="182"/>
      <c r="J9" s="182"/>
      <c r="K9" s="183"/>
      <c r="L9" s="184" t="s">
        <v>255</v>
      </c>
    </row>
    <row r="10" spans="1:12" ht="49" customHeight="1" x14ac:dyDescent="0.35">
      <c r="A10" s="168"/>
      <c r="B10" s="171"/>
      <c r="C10" s="172"/>
      <c r="D10" s="174"/>
      <c r="E10" s="176"/>
      <c r="F10" s="120" t="s">
        <v>254</v>
      </c>
      <c r="G10" s="176"/>
      <c r="H10" s="186" t="s">
        <v>253</v>
      </c>
      <c r="I10" s="187"/>
      <c r="J10" s="186" t="s">
        <v>34</v>
      </c>
      <c r="K10" s="187"/>
      <c r="L10" s="185"/>
    </row>
    <row r="11" spans="1:12" ht="15.65" customHeight="1" x14ac:dyDescent="0.35">
      <c r="A11" s="121">
        <v>1</v>
      </c>
      <c r="B11" s="137" t="s">
        <v>290</v>
      </c>
      <c r="C11" s="136"/>
      <c r="D11" s="135" t="s">
        <v>235</v>
      </c>
      <c r="E11" s="106">
        <v>160</v>
      </c>
      <c r="F11" s="138"/>
      <c r="G11" s="106">
        <v>20</v>
      </c>
      <c r="H11" s="166"/>
      <c r="I11" s="166"/>
      <c r="J11" s="165"/>
      <c r="K11" s="165"/>
      <c r="L11" s="134"/>
    </row>
    <row r="12" spans="1:12" ht="15.65" customHeight="1" x14ac:dyDescent="0.35">
      <c r="A12" s="134">
        <v>2</v>
      </c>
      <c r="B12" s="137" t="s">
        <v>291</v>
      </c>
      <c r="C12" s="136"/>
      <c r="D12" s="135" t="s">
        <v>236</v>
      </c>
      <c r="E12" s="106">
        <v>246</v>
      </c>
      <c r="F12" s="138"/>
      <c r="G12" s="106">
        <v>20</v>
      </c>
      <c r="H12" s="166"/>
      <c r="I12" s="166"/>
      <c r="J12" s="165"/>
      <c r="K12" s="165"/>
      <c r="L12" s="134"/>
    </row>
    <row r="13" spans="1:12" ht="15.65" customHeight="1" x14ac:dyDescent="0.35">
      <c r="A13" s="134">
        <v>3</v>
      </c>
      <c r="B13" s="137" t="s">
        <v>292</v>
      </c>
      <c r="C13" s="136"/>
      <c r="D13" s="135" t="s">
        <v>237</v>
      </c>
      <c r="E13" s="106">
        <v>115</v>
      </c>
      <c r="F13" s="138"/>
      <c r="G13" s="106">
        <v>20</v>
      </c>
      <c r="H13" s="166"/>
      <c r="I13" s="166"/>
      <c r="J13" s="165"/>
      <c r="K13" s="165"/>
      <c r="L13" s="134"/>
    </row>
    <row r="14" spans="1:12" ht="15.65" customHeight="1" x14ac:dyDescent="0.35">
      <c r="A14" s="134">
        <v>4</v>
      </c>
      <c r="B14" s="137" t="s">
        <v>293</v>
      </c>
      <c r="C14" s="136"/>
      <c r="D14" s="135" t="s">
        <v>238</v>
      </c>
      <c r="E14" s="106">
        <v>47</v>
      </c>
      <c r="F14" s="138"/>
      <c r="G14" s="106">
        <v>6</v>
      </c>
      <c r="H14" s="166"/>
      <c r="I14" s="166"/>
      <c r="J14" s="165"/>
      <c r="K14" s="165"/>
      <c r="L14" s="134"/>
    </row>
    <row r="15" spans="1:12" ht="15.65" customHeight="1" x14ac:dyDescent="0.35">
      <c r="A15" s="134">
        <v>5</v>
      </c>
      <c r="B15" s="137" t="s">
        <v>293</v>
      </c>
      <c r="C15" s="136"/>
      <c r="D15" s="135" t="s">
        <v>238</v>
      </c>
      <c r="E15" s="106">
        <v>118</v>
      </c>
      <c r="F15" s="138"/>
      <c r="G15" s="106">
        <v>18</v>
      </c>
      <c r="H15" s="166"/>
      <c r="I15" s="166"/>
      <c r="J15" s="165"/>
      <c r="K15" s="165"/>
      <c r="L15" s="134"/>
    </row>
    <row r="16" spans="1:12" ht="15.65" customHeight="1" x14ac:dyDescent="0.35">
      <c r="A16" s="134">
        <v>6</v>
      </c>
      <c r="B16" s="137"/>
      <c r="C16" s="136"/>
      <c r="D16" s="135" t="s">
        <v>239</v>
      </c>
      <c r="E16" s="106">
        <v>61</v>
      </c>
      <c r="F16" s="138"/>
      <c r="G16" s="106">
        <v>8</v>
      </c>
      <c r="H16" s="164"/>
      <c r="I16" s="164"/>
      <c r="J16" s="165"/>
      <c r="K16" s="165"/>
      <c r="L16" s="134"/>
    </row>
    <row r="17" spans="1:12" ht="15.65" customHeight="1" x14ac:dyDescent="0.35">
      <c r="A17" s="134">
        <v>7</v>
      </c>
      <c r="B17" s="137"/>
      <c r="C17" s="136"/>
      <c r="D17" s="135" t="s">
        <v>240</v>
      </c>
      <c r="E17" s="106">
        <v>166</v>
      </c>
      <c r="F17" s="138"/>
      <c r="G17" s="106">
        <v>12</v>
      </c>
      <c r="H17" s="164"/>
      <c r="I17" s="164"/>
      <c r="J17" s="165"/>
      <c r="K17" s="165"/>
      <c r="L17" s="134"/>
    </row>
    <row r="18" spans="1:12" ht="15.65" customHeight="1" x14ac:dyDescent="0.35">
      <c r="A18" s="134">
        <v>8</v>
      </c>
      <c r="B18" s="137" t="s">
        <v>293</v>
      </c>
      <c r="C18" s="136"/>
      <c r="D18" s="135" t="s">
        <v>238</v>
      </c>
      <c r="E18" s="106">
        <v>105</v>
      </c>
      <c r="F18" s="138"/>
      <c r="G18" s="106">
        <v>15</v>
      </c>
      <c r="H18" s="164"/>
      <c r="I18" s="164"/>
      <c r="J18" s="165"/>
      <c r="K18" s="165"/>
      <c r="L18" s="134"/>
    </row>
    <row r="19" spans="1:12" ht="15.5" x14ac:dyDescent="0.35">
      <c r="A19" s="134">
        <v>9</v>
      </c>
      <c r="B19" s="137"/>
      <c r="C19" s="136"/>
      <c r="D19" s="135" t="s">
        <v>240</v>
      </c>
      <c r="E19" s="106">
        <v>60</v>
      </c>
      <c r="F19" s="138"/>
      <c r="G19" s="106">
        <v>10</v>
      </c>
      <c r="H19" s="164"/>
      <c r="I19" s="164"/>
      <c r="J19" s="165"/>
      <c r="K19" s="165"/>
      <c r="L19" s="134"/>
    </row>
    <row r="20" spans="1:12" ht="15.65" customHeight="1" x14ac:dyDescent="0.35">
      <c r="A20" s="134">
        <v>10</v>
      </c>
      <c r="B20" s="137" t="s">
        <v>251</v>
      </c>
      <c r="C20" s="136"/>
      <c r="D20" s="135" t="s">
        <v>241</v>
      </c>
      <c r="E20" s="106">
        <v>41</v>
      </c>
      <c r="F20" s="138"/>
      <c r="G20" s="106">
        <v>6</v>
      </c>
      <c r="H20" s="164"/>
      <c r="I20" s="164"/>
      <c r="J20" s="165"/>
      <c r="K20" s="165"/>
      <c r="L20" s="134"/>
    </row>
    <row r="21" spans="1:12" ht="15.65" customHeight="1" x14ac:dyDescent="0.35">
      <c r="A21" s="134">
        <v>11</v>
      </c>
      <c r="B21" s="137" t="s">
        <v>290</v>
      </c>
      <c r="C21" s="136"/>
      <c r="D21" s="135" t="s">
        <v>235</v>
      </c>
      <c r="E21" s="106">
        <v>38</v>
      </c>
      <c r="F21" s="138"/>
      <c r="G21" s="106">
        <v>8</v>
      </c>
      <c r="H21" s="164"/>
      <c r="I21" s="164"/>
      <c r="J21" s="165"/>
      <c r="K21" s="165"/>
      <c r="L21" s="134"/>
    </row>
    <row r="22" spans="1:12" ht="15.65" customHeight="1" x14ac:dyDescent="0.35">
      <c r="A22" s="134">
        <v>12</v>
      </c>
      <c r="B22" s="137"/>
      <c r="C22" s="136"/>
      <c r="D22" s="135" t="s">
        <v>242</v>
      </c>
      <c r="E22" s="106">
        <v>81</v>
      </c>
      <c r="F22" s="138"/>
      <c r="G22" s="106">
        <v>10</v>
      </c>
      <c r="H22" s="164"/>
      <c r="I22" s="164"/>
      <c r="J22" s="165"/>
      <c r="K22" s="165"/>
      <c r="L22" s="134"/>
    </row>
    <row r="23" spans="1:12" x14ac:dyDescent="0.35">
      <c r="D23" s="149"/>
      <c r="E23" s="150"/>
      <c r="F23" s="150"/>
      <c r="G23" s="150"/>
    </row>
  </sheetData>
  <mergeCells count="49">
    <mergeCell ref="A6:B6"/>
    <mergeCell ref="C6:D6"/>
    <mergeCell ref="G6:I6"/>
    <mergeCell ref="K6:L6"/>
    <mergeCell ref="A1:L1"/>
    <mergeCell ref="A2:L2"/>
    <mergeCell ref="A3:L3"/>
    <mergeCell ref="A4:L4"/>
    <mergeCell ref="A5:B5"/>
    <mergeCell ref="C5:D5"/>
    <mergeCell ref="E5:I5"/>
    <mergeCell ref="K5:L5"/>
    <mergeCell ref="A7:B7"/>
    <mergeCell ref="C7:D7"/>
    <mergeCell ref="H9:K9"/>
    <mergeCell ref="L9:L10"/>
    <mergeCell ref="H10:I10"/>
    <mergeCell ref="J10:K10"/>
    <mergeCell ref="G7:I7"/>
    <mergeCell ref="K7:L7"/>
    <mergeCell ref="H19:I19"/>
    <mergeCell ref="J19:K19"/>
    <mergeCell ref="H11:I11"/>
    <mergeCell ref="J11:K11"/>
    <mergeCell ref="A9:A10"/>
    <mergeCell ref="B9:C10"/>
    <mergeCell ref="D9:D10"/>
    <mergeCell ref="E9:E10"/>
    <mergeCell ref="G9:G10"/>
    <mergeCell ref="H12:I12"/>
    <mergeCell ref="J12:K12"/>
    <mergeCell ref="H16:I16"/>
    <mergeCell ref="J16:K16"/>
    <mergeCell ref="H17:I17"/>
    <mergeCell ref="J17:K17"/>
    <mergeCell ref="H18:I18"/>
    <mergeCell ref="J18:K18"/>
    <mergeCell ref="H13:I13"/>
    <mergeCell ref="J13:K13"/>
    <mergeCell ref="H14:I14"/>
    <mergeCell ref="J14:K14"/>
    <mergeCell ref="H15:I15"/>
    <mergeCell ref="J15:K15"/>
    <mergeCell ref="H20:I20"/>
    <mergeCell ref="J20:K20"/>
    <mergeCell ref="H21:I21"/>
    <mergeCell ref="J21:K21"/>
    <mergeCell ref="H22:I22"/>
    <mergeCell ref="J22:K2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tabSelected="1" view="pageLayout" zoomScaleNormal="100" workbookViewId="0">
      <selection activeCell="C15" sqref="C15"/>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14" t="s">
        <v>289</v>
      </c>
      <c r="B1" s="214"/>
      <c r="C1" s="214"/>
      <c r="D1" s="214"/>
      <c r="E1" s="214"/>
      <c r="F1" s="214"/>
      <c r="G1" s="214"/>
      <c r="H1" s="214"/>
      <c r="I1" s="214"/>
      <c r="J1" s="214"/>
      <c r="K1" s="214"/>
      <c r="L1" s="214"/>
      <c r="M1" s="214"/>
      <c r="N1" s="214"/>
      <c r="O1" s="214"/>
      <c r="P1" s="214"/>
      <c r="Q1" s="214"/>
    </row>
    <row r="2" spans="1:17" ht="21" x14ac:dyDescent="0.35">
      <c r="A2" s="214" t="s">
        <v>288</v>
      </c>
      <c r="B2" s="214"/>
      <c r="C2" s="214"/>
      <c r="D2" s="214"/>
      <c r="E2" s="214"/>
      <c r="F2" s="214"/>
      <c r="G2" s="214"/>
      <c r="H2" s="214"/>
      <c r="I2" s="214"/>
      <c r="J2" s="214"/>
      <c r="K2" s="214"/>
      <c r="L2" s="214"/>
      <c r="M2" s="214"/>
      <c r="N2" s="214"/>
      <c r="O2" s="214"/>
      <c r="P2" s="214"/>
      <c r="Q2" s="214"/>
    </row>
    <row r="3" spans="1:17" x14ac:dyDescent="0.35">
      <c r="A3" s="148"/>
    </row>
    <row r="4" spans="1:17" ht="15" thickBot="1" x14ac:dyDescent="0.4">
      <c r="A4" s="148"/>
    </row>
    <row r="5" spans="1:17" ht="16" thickBot="1" x14ac:dyDescent="0.4">
      <c r="A5" s="208" t="s">
        <v>26</v>
      </c>
      <c r="B5" s="208" t="s">
        <v>27</v>
      </c>
      <c r="C5" s="208" t="s">
        <v>287</v>
      </c>
      <c r="D5" s="208" t="s">
        <v>286</v>
      </c>
      <c r="E5" s="216" t="s">
        <v>285</v>
      </c>
      <c r="F5" s="217"/>
      <c r="G5" s="217"/>
      <c r="H5" s="217"/>
      <c r="I5" s="217"/>
      <c r="J5" s="217"/>
      <c r="K5" s="217"/>
      <c r="L5" s="217"/>
      <c r="M5" s="218"/>
      <c r="N5" s="208" t="s">
        <v>284</v>
      </c>
      <c r="O5" s="216" t="s">
        <v>283</v>
      </c>
      <c r="P5" s="218"/>
      <c r="Q5" s="208" t="s">
        <v>282</v>
      </c>
    </row>
    <row r="6" spans="1:17" ht="15.5" x14ac:dyDescent="0.35">
      <c r="A6" s="209"/>
      <c r="B6" s="209"/>
      <c r="C6" s="209"/>
      <c r="D6" s="209"/>
      <c r="E6" s="205" t="s">
        <v>281</v>
      </c>
      <c r="F6" s="206"/>
      <c r="G6" s="207"/>
      <c r="H6" s="205" t="s">
        <v>280</v>
      </c>
      <c r="I6" s="206"/>
      <c r="J6" s="207"/>
      <c r="K6" s="205" t="s">
        <v>279</v>
      </c>
      <c r="L6" s="206"/>
      <c r="M6" s="207"/>
      <c r="N6" s="209"/>
      <c r="O6" s="208" t="s">
        <v>278</v>
      </c>
      <c r="P6" s="208" t="s">
        <v>277</v>
      </c>
      <c r="Q6" s="209"/>
    </row>
    <row r="7" spans="1:17" ht="16" thickBot="1" x14ac:dyDescent="0.4">
      <c r="A7" s="209"/>
      <c r="B7" s="209"/>
      <c r="C7" s="215"/>
      <c r="D7" s="209"/>
      <c r="E7" s="211" t="s">
        <v>275</v>
      </c>
      <c r="F7" s="212"/>
      <c r="G7" s="213"/>
      <c r="H7" s="211" t="s">
        <v>276</v>
      </c>
      <c r="I7" s="212"/>
      <c r="J7" s="213"/>
      <c r="K7" s="211" t="s">
        <v>275</v>
      </c>
      <c r="L7" s="212"/>
      <c r="M7" s="213"/>
      <c r="N7" s="209"/>
      <c r="O7" s="209"/>
      <c r="P7" s="209"/>
      <c r="Q7" s="209"/>
    </row>
    <row r="8" spans="1:17" ht="16" thickBot="1" x14ac:dyDescent="0.4">
      <c r="A8" s="210"/>
      <c r="B8" s="210"/>
      <c r="C8" s="210"/>
      <c r="D8" s="210"/>
      <c r="E8" s="147" t="s">
        <v>274</v>
      </c>
      <c r="F8" s="147" t="s">
        <v>273</v>
      </c>
      <c r="G8" s="147" t="s">
        <v>272</v>
      </c>
      <c r="H8" s="147" t="s">
        <v>274</v>
      </c>
      <c r="I8" s="147" t="s">
        <v>273</v>
      </c>
      <c r="J8" s="147" t="s">
        <v>272</v>
      </c>
      <c r="K8" s="147" t="s">
        <v>274</v>
      </c>
      <c r="L8" s="147" t="s">
        <v>273</v>
      </c>
      <c r="M8" s="147" t="s">
        <v>272</v>
      </c>
      <c r="N8" s="210"/>
      <c r="O8" s="210"/>
      <c r="P8" s="210"/>
      <c r="Q8" s="210"/>
    </row>
    <row r="9" spans="1:17" ht="24.65" customHeight="1" thickBot="1" x14ac:dyDescent="0.4">
      <c r="A9" s="202" t="s">
        <v>271</v>
      </c>
      <c r="B9" s="203"/>
      <c r="C9" s="203"/>
      <c r="D9" s="203"/>
      <c r="E9" s="203"/>
      <c r="F9" s="203"/>
      <c r="G9" s="203"/>
      <c r="H9" s="203"/>
      <c r="I9" s="203"/>
      <c r="J9" s="203"/>
      <c r="K9" s="203"/>
      <c r="L9" s="203"/>
      <c r="M9" s="203"/>
      <c r="N9" s="203"/>
      <c r="O9" s="203"/>
      <c r="P9" s="203"/>
      <c r="Q9" s="204"/>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view="pageLayout" topLeftCell="B4" zoomScaleNormal="100" workbookViewId="0">
      <selection activeCell="C34" sqref="C34"/>
    </sheetView>
  </sheetViews>
  <sheetFormatPr defaultColWidth="9.1796875" defaultRowHeight="15.5" x14ac:dyDescent="0.35"/>
  <cols>
    <col min="1" max="1" width="3.90625" style="6" customWidth="1"/>
    <col min="2" max="2" width="27.7265625" style="6" customWidth="1"/>
    <col min="3" max="3" width="13.54296875" style="6" customWidth="1"/>
    <col min="4" max="4" width="9.26953125" style="6" customWidth="1"/>
    <col min="5" max="5" width="7.6328125" style="6" customWidth="1"/>
    <col min="6" max="6" width="9.1796875" style="6"/>
    <col min="7" max="7" width="10.36328125" style="6" customWidth="1"/>
    <col min="8" max="8" width="19" style="6" customWidth="1"/>
    <col min="9" max="10" width="9.1796875" style="6"/>
    <col min="11" max="11" width="10.1796875" style="6" bestFit="1" customWidth="1"/>
    <col min="12" max="16384" width="9.1796875" style="6"/>
  </cols>
  <sheetData>
    <row r="1" spans="1:8" ht="18" customHeight="1" x14ac:dyDescent="0.35">
      <c r="A1" s="227" t="s">
        <v>113</v>
      </c>
      <c r="B1" s="228"/>
      <c r="C1" s="228"/>
      <c r="D1" s="228"/>
      <c r="E1" s="228"/>
      <c r="F1" s="228"/>
      <c r="G1" s="228"/>
      <c r="H1" s="229"/>
    </row>
    <row r="2" spans="1:8" s="15" customFormat="1" ht="17.5" customHeight="1" x14ac:dyDescent="0.35">
      <c r="A2" s="79"/>
      <c r="B2" s="81" t="s">
        <v>24</v>
      </c>
      <c r="C2" s="152">
        <f>'Form-2'!C10</f>
        <v>464</v>
      </c>
      <c r="D2" s="80"/>
      <c r="E2" s="80"/>
      <c r="F2" s="230" t="s">
        <v>25</v>
      </c>
      <c r="G2" s="230"/>
      <c r="H2" s="231"/>
    </row>
    <row r="3" spans="1:8" ht="17.5" customHeight="1" x14ac:dyDescent="0.35">
      <c r="A3" s="225" t="s">
        <v>26</v>
      </c>
      <c r="B3" s="225" t="s">
        <v>27</v>
      </c>
      <c r="C3" s="225" t="s">
        <v>28</v>
      </c>
      <c r="D3" s="225" t="s">
        <v>29</v>
      </c>
      <c r="E3" s="225" t="s">
        <v>30</v>
      </c>
      <c r="F3" s="219" t="s">
        <v>31</v>
      </c>
      <c r="G3" s="219"/>
      <c r="H3" s="225" t="s">
        <v>32</v>
      </c>
    </row>
    <row r="4" spans="1:8" ht="42" customHeight="1" x14ac:dyDescent="0.35">
      <c r="A4" s="226"/>
      <c r="B4" s="226"/>
      <c r="C4" s="226"/>
      <c r="D4" s="226"/>
      <c r="E4" s="226"/>
      <c r="F4" s="95" t="s">
        <v>33</v>
      </c>
      <c r="G4" s="95" t="s">
        <v>34</v>
      </c>
      <c r="H4" s="226"/>
    </row>
    <row r="5" spans="1:8" ht="14" customHeight="1" x14ac:dyDescent="0.35">
      <c r="A5" s="4">
        <v>1</v>
      </c>
      <c r="B5" s="5" t="s">
        <v>294</v>
      </c>
      <c r="C5" s="5" t="s">
        <v>218</v>
      </c>
      <c r="D5" s="5">
        <v>4.3</v>
      </c>
      <c r="E5" s="5">
        <v>4</v>
      </c>
      <c r="F5" s="5"/>
      <c r="G5" s="5"/>
      <c r="H5" s="5"/>
    </row>
    <row r="6" spans="1:8" ht="14" customHeight="1" x14ac:dyDescent="0.15">
      <c r="A6" s="23">
        <v>2</v>
      </c>
      <c r="B6" s="5"/>
      <c r="C6" s="5" t="s">
        <v>210</v>
      </c>
      <c r="D6" s="5">
        <v>1.2</v>
      </c>
      <c r="E6" s="5">
        <v>1</v>
      </c>
      <c r="F6" s="5"/>
      <c r="G6" s="5"/>
      <c r="H6" s="5"/>
    </row>
    <row r="7" spans="1:8" ht="14" customHeight="1" x14ac:dyDescent="0.15">
      <c r="A7" s="23">
        <v>3</v>
      </c>
      <c r="B7" s="5"/>
      <c r="C7" s="5" t="s">
        <v>210</v>
      </c>
      <c r="D7" s="5">
        <v>0.6</v>
      </c>
      <c r="E7" s="5">
        <v>0.5</v>
      </c>
      <c r="F7" s="5"/>
      <c r="G7" s="5"/>
      <c r="H7" s="5"/>
    </row>
    <row r="8" spans="1:8" ht="14" customHeight="1" x14ac:dyDescent="0.15">
      <c r="A8" s="23">
        <v>4</v>
      </c>
      <c r="B8" s="5"/>
      <c r="C8" s="5" t="s">
        <v>210</v>
      </c>
      <c r="D8" s="5">
        <v>1.1000000000000001</v>
      </c>
      <c r="E8" s="5">
        <v>1</v>
      </c>
      <c r="F8" s="5"/>
      <c r="G8" s="5"/>
      <c r="H8" s="5"/>
    </row>
    <row r="9" spans="1:8" ht="14" customHeight="1" x14ac:dyDescent="0.15">
      <c r="A9" s="23">
        <v>5</v>
      </c>
      <c r="B9" s="5"/>
      <c r="C9" s="5" t="s">
        <v>210</v>
      </c>
      <c r="D9" s="5">
        <v>0.9</v>
      </c>
      <c r="E9" s="5">
        <v>1</v>
      </c>
      <c r="F9" s="5"/>
      <c r="G9" s="5"/>
      <c r="H9" s="5"/>
    </row>
    <row r="10" spans="1:8" ht="14" customHeight="1" x14ac:dyDescent="0.15">
      <c r="A10" s="23">
        <v>6</v>
      </c>
      <c r="B10" s="5"/>
      <c r="C10" s="5" t="s">
        <v>210</v>
      </c>
      <c r="D10" s="5">
        <v>1.3</v>
      </c>
      <c r="E10" s="5">
        <v>1.2</v>
      </c>
      <c r="F10" s="5"/>
      <c r="G10" s="5"/>
      <c r="H10" s="5"/>
    </row>
    <row r="11" spans="1:8" ht="14" customHeight="1" x14ac:dyDescent="0.15">
      <c r="A11" s="23">
        <v>7</v>
      </c>
      <c r="B11" s="5"/>
      <c r="C11" s="5" t="s">
        <v>219</v>
      </c>
      <c r="D11" s="5">
        <v>0.9</v>
      </c>
      <c r="E11" s="5">
        <v>0.7</v>
      </c>
      <c r="F11" s="5" t="s">
        <v>223</v>
      </c>
      <c r="G11" s="5" t="s">
        <v>224</v>
      </c>
      <c r="H11" s="5"/>
    </row>
    <row r="12" spans="1:8" ht="14" customHeight="1" x14ac:dyDescent="0.35">
      <c r="A12" s="23">
        <v>8</v>
      </c>
      <c r="B12" s="5" t="s">
        <v>295</v>
      </c>
      <c r="C12" s="5" t="s">
        <v>220</v>
      </c>
      <c r="D12" s="5">
        <v>0.8</v>
      </c>
      <c r="E12" s="5">
        <v>0.7</v>
      </c>
      <c r="F12" s="5"/>
      <c r="G12" s="5"/>
      <c r="H12" s="5"/>
    </row>
    <row r="13" spans="1:8" ht="14" customHeight="1" x14ac:dyDescent="0.35">
      <c r="A13" s="23">
        <v>9</v>
      </c>
      <c r="B13" s="5" t="s">
        <v>296</v>
      </c>
      <c r="C13" s="5" t="s">
        <v>221</v>
      </c>
      <c r="D13" s="5">
        <v>0.3</v>
      </c>
      <c r="E13" s="5">
        <v>0.3</v>
      </c>
      <c r="F13" s="5"/>
      <c r="G13" s="5"/>
      <c r="H13" s="5"/>
    </row>
    <row r="14" spans="1:8" ht="14" customHeight="1" x14ac:dyDescent="0.35">
      <c r="A14" s="23">
        <v>10</v>
      </c>
      <c r="B14" s="5" t="s">
        <v>297</v>
      </c>
      <c r="C14" s="5" t="s">
        <v>222</v>
      </c>
      <c r="D14" s="5">
        <v>0.8</v>
      </c>
      <c r="E14" s="5">
        <v>0.3</v>
      </c>
      <c r="F14" s="5"/>
      <c r="G14" s="5"/>
      <c r="H14" s="5"/>
    </row>
    <row r="15" spans="1:8" ht="14" customHeight="1" x14ac:dyDescent="0.35">
      <c r="A15" s="23">
        <v>11</v>
      </c>
      <c r="B15" s="5" t="s">
        <v>250</v>
      </c>
      <c r="C15" s="5" t="s">
        <v>225</v>
      </c>
      <c r="D15" s="5">
        <v>1.7</v>
      </c>
      <c r="E15" s="5">
        <v>1.5</v>
      </c>
      <c r="F15" s="5"/>
      <c r="G15" s="5"/>
      <c r="H15" s="5"/>
    </row>
    <row r="16" spans="1:8" s="15" customFormat="1" ht="15" customHeight="1" x14ac:dyDescent="0.35">
      <c r="A16" s="97"/>
      <c r="B16" s="98" t="str">
        <f>B2</f>
        <v xml:space="preserve">    Grid No:  </v>
      </c>
      <c r="C16" s="153">
        <f>C2</f>
        <v>464</v>
      </c>
      <c r="D16" s="99"/>
      <c r="E16" s="99"/>
      <c r="F16" s="100" t="s">
        <v>41</v>
      </c>
      <c r="G16" s="100"/>
      <c r="H16" s="101"/>
    </row>
    <row r="17" spans="1:8" ht="13.5" customHeight="1" x14ac:dyDescent="0.35">
      <c r="A17" s="219" t="s">
        <v>26</v>
      </c>
      <c r="B17" s="219" t="s">
        <v>27</v>
      </c>
      <c r="C17" s="219" t="s">
        <v>28</v>
      </c>
      <c r="D17" s="225" t="s">
        <v>29</v>
      </c>
      <c r="E17" s="219" t="s">
        <v>30</v>
      </c>
      <c r="F17" s="219" t="s">
        <v>31</v>
      </c>
      <c r="G17" s="219"/>
      <c r="H17" s="219" t="s">
        <v>32</v>
      </c>
    </row>
    <row r="18" spans="1:8" ht="45" customHeight="1" x14ac:dyDescent="0.35">
      <c r="A18" s="219"/>
      <c r="B18" s="219"/>
      <c r="C18" s="219"/>
      <c r="D18" s="226"/>
      <c r="E18" s="219"/>
      <c r="F18" s="95" t="s">
        <v>33</v>
      </c>
      <c r="G18" s="95" t="s">
        <v>34</v>
      </c>
      <c r="H18" s="219"/>
    </row>
    <row r="19" spans="1:8" ht="14.5" customHeight="1" x14ac:dyDescent="0.35">
      <c r="A19" s="4">
        <v>1</v>
      </c>
      <c r="B19" s="8"/>
      <c r="C19" s="24" t="s">
        <v>210</v>
      </c>
      <c r="D19" s="23">
        <v>1.3</v>
      </c>
      <c r="E19" s="23">
        <v>1</v>
      </c>
      <c r="F19" s="8"/>
      <c r="G19" s="8"/>
      <c r="H19" s="8"/>
    </row>
    <row r="20" spans="1:8" ht="14.5" customHeight="1" x14ac:dyDescent="0.35">
      <c r="A20" s="23">
        <v>2</v>
      </c>
      <c r="B20" s="77"/>
      <c r="C20" s="24" t="s">
        <v>210</v>
      </c>
      <c r="D20" s="23">
        <v>0.8</v>
      </c>
      <c r="E20" s="23">
        <v>1</v>
      </c>
      <c r="F20" s="77"/>
      <c r="G20" s="77"/>
      <c r="H20" s="77"/>
    </row>
    <row r="21" spans="1:8" ht="14.5" customHeight="1" x14ac:dyDescent="0.35">
      <c r="A21" s="23">
        <v>3</v>
      </c>
      <c r="B21" s="77"/>
      <c r="C21" s="24" t="s">
        <v>210</v>
      </c>
      <c r="D21" s="23">
        <v>0.3</v>
      </c>
      <c r="E21" s="23">
        <v>0.2</v>
      </c>
      <c r="F21" s="77"/>
      <c r="G21" s="77"/>
      <c r="H21" s="77"/>
    </row>
    <row r="22" spans="1:8" ht="14.5" customHeight="1" x14ac:dyDescent="0.35">
      <c r="A22" s="23">
        <v>4</v>
      </c>
      <c r="B22" s="24" t="s">
        <v>298</v>
      </c>
      <c r="C22" s="24" t="s">
        <v>231</v>
      </c>
      <c r="D22" s="23">
        <v>21</v>
      </c>
      <c r="E22" s="23">
        <v>5</v>
      </c>
      <c r="F22" s="77"/>
      <c r="G22" s="77"/>
      <c r="H22" s="77"/>
    </row>
    <row r="23" spans="1:8" ht="14.5" customHeight="1" x14ac:dyDescent="0.35">
      <c r="A23" s="23">
        <v>5</v>
      </c>
      <c r="B23" s="24" t="s">
        <v>252</v>
      </c>
      <c r="C23" s="24" t="s">
        <v>232</v>
      </c>
      <c r="D23" s="23">
        <v>5.8</v>
      </c>
      <c r="E23" s="23">
        <v>3</v>
      </c>
      <c r="F23" s="77"/>
      <c r="G23" s="77"/>
      <c r="H23" s="77"/>
    </row>
    <row r="24" spans="1:8" ht="14.5" customHeight="1" x14ac:dyDescent="0.35">
      <c r="A24" s="23">
        <v>6</v>
      </c>
      <c r="B24" s="5" t="s">
        <v>250</v>
      </c>
      <c r="C24" s="24" t="s">
        <v>233</v>
      </c>
      <c r="D24" s="23">
        <v>1.4</v>
      </c>
      <c r="E24" s="23">
        <v>1.5</v>
      </c>
      <c r="F24" s="77"/>
      <c r="G24" s="77"/>
      <c r="H24" s="77"/>
    </row>
    <row r="25" spans="1:8" ht="14.5" customHeight="1" x14ac:dyDescent="0.35">
      <c r="A25" s="23">
        <v>7</v>
      </c>
      <c r="B25" s="5" t="s">
        <v>299</v>
      </c>
      <c r="C25" s="24" t="s">
        <v>199</v>
      </c>
      <c r="D25" s="23">
        <v>1</v>
      </c>
      <c r="E25" s="23">
        <v>2</v>
      </c>
      <c r="F25" s="77"/>
      <c r="G25" s="77"/>
      <c r="H25" s="77"/>
    </row>
    <row r="26" spans="1:8" ht="16.5" customHeight="1" x14ac:dyDescent="0.35">
      <c r="A26" s="104"/>
      <c r="B26" s="154" t="str">
        <f>B2</f>
        <v xml:space="preserve">    Grid No:  </v>
      </c>
      <c r="C26" s="155">
        <f>C16</f>
        <v>464</v>
      </c>
      <c r="D26" s="102"/>
      <c r="E26" s="102"/>
      <c r="F26" s="100" t="s">
        <v>42</v>
      </c>
      <c r="G26" s="100"/>
      <c r="H26" s="103"/>
    </row>
    <row r="27" spans="1:8" ht="17.5" customHeight="1" x14ac:dyDescent="0.35">
      <c r="A27" s="219" t="s">
        <v>26</v>
      </c>
      <c r="B27" s="219" t="s">
        <v>27</v>
      </c>
      <c r="C27" s="219" t="s">
        <v>28</v>
      </c>
      <c r="D27" s="225" t="s">
        <v>29</v>
      </c>
      <c r="E27" s="219" t="s">
        <v>30</v>
      </c>
      <c r="F27" s="219" t="s">
        <v>31</v>
      </c>
      <c r="G27" s="219"/>
      <c r="H27" s="219" t="s">
        <v>32</v>
      </c>
    </row>
    <row r="28" spans="1:8" ht="39.5" customHeight="1" x14ac:dyDescent="0.35">
      <c r="A28" s="219"/>
      <c r="B28" s="219"/>
      <c r="C28" s="219"/>
      <c r="D28" s="226"/>
      <c r="E28" s="219"/>
      <c r="F28" s="95" t="s">
        <v>33</v>
      </c>
      <c r="G28" s="95" t="s">
        <v>34</v>
      </c>
      <c r="H28" s="219"/>
    </row>
    <row r="29" spans="1:8" ht="15.5" customHeight="1" x14ac:dyDescent="0.35">
      <c r="A29" s="23">
        <v>1</v>
      </c>
      <c r="B29" s="77"/>
      <c r="C29" s="24" t="s">
        <v>210</v>
      </c>
      <c r="D29" s="151">
        <v>1.1000000000000001</v>
      </c>
      <c r="E29" s="23">
        <v>1</v>
      </c>
      <c r="F29" s="77"/>
      <c r="G29" s="77"/>
      <c r="H29" s="77"/>
    </row>
    <row r="30" spans="1:8" ht="15.5" customHeight="1" x14ac:dyDescent="0.35">
      <c r="A30" s="23">
        <v>2</v>
      </c>
      <c r="B30" s="77"/>
      <c r="C30" s="24" t="s">
        <v>210</v>
      </c>
      <c r="D30" s="151">
        <v>0.7</v>
      </c>
      <c r="E30" s="23">
        <v>0.8</v>
      </c>
      <c r="F30" s="77"/>
      <c r="G30" s="77"/>
      <c r="H30" s="77"/>
    </row>
    <row r="31" spans="1:8" ht="15.5" customHeight="1" x14ac:dyDescent="0.35">
      <c r="A31" s="23">
        <v>3</v>
      </c>
      <c r="B31" s="77"/>
      <c r="C31" s="24" t="s">
        <v>210</v>
      </c>
      <c r="D31" s="151">
        <v>0.6</v>
      </c>
      <c r="E31" s="23">
        <v>0.5</v>
      </c>
      <c r="F31" s="77"/>
      <c r="G31" s="77"/>
      <c r="H31" s="77"/>
    </row>
    <row r="32" spans="1:8" ht="15.5" customHeight="1" x14ac:dyDescent="0.35">
      <c r="A32" s="23">
        <v>4</v>
      </c>
      <c r="B32" s="24" t="s">
        <v>300</v>
      </c>
      <c r="C32" s="24" t="s">
        <v>234</v>
      </c>
      <c r="D32" s="151">
        <v>2.1</v>
      </c>
      <c r="E32" s="23">
        <v>0.5</v>
      </c>
      <c r="F32" s="77"/>
      <c r="G32" s="77"/>
      <c r="H32" s="77"/>
    </row>
    <row r="33" spans="1:9" ht="15.5" customHeight="1" x14ac:dyDescent="0.35">
      <c r="A33" s="23">
        <v>5</v>
      </c>
      <c r="B33" s="24" t="s">
        <v>297</v>
      </c>
      <c r="C33" s="24" t="s">
        <v>222</v>
      </c>
      <c r="D33" s="151">
        <v>0.5</v>
      </c>
      <c r="E33" s="23">
        <v>0.2</v>
      </c>
      <c r="F33" s="77"/>
      <c r="G33" s="77"/>
      <c r="H33" s="77"/>
    </row>
    <row r="34" spans="1:9" s="15" customFormat="1" ht="16.5" customHeight="1" x14ac:dyDescent="0.35">
      <c r="A34" s="82"/>
      <c r="B34" s="156" t="str">
        <f>B2</f>
        <v xml:space="preserve">    Grid No:  </v>
      </c>
      <c r="C34" s="157">
        <f>C26</f>
        <v>464</v>
      </c>
      <c r="D34" s="82"/>
      <c r="E34" s="82"/>
      <c r="F34" s="220" t="s">
        <v>43</v>
      </c>
      <c r="G34" s="220"/>
      <c r="H34" s="220"/>
      <c r="I34" s="82"/>
    </row>
    <row r="35" spans="1:9" ht="24" customHeight="1" x14ac:dyDescent="0.35">
      <c r="A35" s="221" t="s">
        <v>26</v>
      </c>
      <c r="B35" s="221" t="s">
        <v>27</v>
      </c>
      <c r="C35" s="221" t="s">
        <v>28</v>
      </c>
      <c r="D35" s="221" t="s">
        <v>29</v>
      </c>
      <c r="E35" s="221" t="s">
        <v>30</v>
      </c>
      <c r="F35" s="223" t="s">
        <v>31</v>
      </c>
      <c r="G35" s="224"/>
      <c r="H35" s="221" t="s">
        <v>32</v>
      </c>
    </row>
    <row r="36" spans="1:9" ht="42.5" customHeight="1" x14ac:dyDescent="0.35">
      <c r="A36" s="222"/>
      <c r="B36" s="222"/>
      <c r="C36" s="222"/>
      <c r="D36" s="222"/>
      <c r="E36" s="222"/>
      <c r="F36" s="8" t="s">
        <v>33</v>
      </c>
      <c r="G36" s="8" t="s">
        <v>34</v>
      </c>
      <c r="H36" s="222"/>
    </row>
    <row r="37" spans="1:9" s="15" customFormat="1" ht="16" customHeight="1" x14ac:dyDescent="0.35">
      <c r="A37" s="23">
        <v>1</v>
      </c>
      <c r="B37" s="23"/>
      <c r="C37" s="23" t="s">
        <v>210</v>
      </c>
      <c r="D37" s="151">
        <v>0.3</v>
      </c>
      <c r="E37" s="23">
        <v>0.2</v>
      </c>
      <c r="F37" s="23"/>
      <c r="G37" s="23"/>
      <c r="H37" s="23"/>
    </row>
    <row r="38" spans="1:9" s="15" customFormat="1" ht="16" customHeight="1" x14ac:dyDescent="0.35">
      <c r="A38" s="23">
        <v>2</v>
      </c>
      <c r="B38" s="23"/>
      <c r="C38" s="23" t="s">
        <v>210</v>
      </c>
      <c r="D38" s="151">
        <v>0.8</v>
      </c>
      <c r="E38" s="23">
        <v>0.5</v>
      </c>
      <c r="F38" s="23"/>
      <c r="G38" s="23"/>
      <c r="H38" s="23"/>
    </row>
    <row r="39" spans="1:9" s="15" customFormat="1" ht="16" customHeight="1" x14ac:dyDescent="0.35">
      <c r="A39" s="23">
        <v>3</v>
      </c>
      <c r="B39" s="23"/>
      <c r="C39" s="23" t="s">
        <v>210</v>
      </c>
      <c r="D39" s="151">
        <v>1.2</v>
      </c>
      <c r="E39" s="23">
        <v>1</v>
      </c>
      <c r="F39" s="23"/>
      <c r="G39" s="23"/>
      <c r="H39" s="23"/>
    </row>
    <row r="40" spans="1:9" ht="16" customHeight="1" x14ac:dyDescent="0.35">
      <c r="A40" s="23">
        <v>4</v>
      </c>
      <c r="B40" s="77"/>
      <c r="C40" s="23" t="s">
        <v>210</v>
      </c>
      <c r="D40" s="151">
        <v>1</v>
      </c>
      <c r="E40" s="23">
        <v>1</v>
      </c>
      <c r="F40" s="77"/>
      <c r="G40" s="77"/>
      <c r="H40" s="77"/>
    </row>
  </sheetData>
  <mergeCells count="31">
    <mergeCell ref="A1:H1"/>
    <mergeCell ref="F2:H2"/>
    <mergeCell ref="A3:A4"/>
    <mergeCell ref="B3:B4"/>
    <mergeCell ref="C3:C4"/>
    <mergeCell ref="D3:D4"/>
    <mergeCell ref="E3:E4"/>
    <mergeCell ref="F3:G3"/>
    <mergeCell ref="H3:H4"/>
    <mergeCell ref="H17:H18"/>
    <mergeCell ref="A17:A18"/>
    <mergeCell ref="B17:B18"/>
    <mergeCell ref="C17:C18"/>
    <mergeCell ref="D17:D18"/>
    <mergeCell ref="E17:E18"/>
    <mergeCell ref="F17:G17"/>
    <mergeCell ref="H27:H28"/>
    <mergeCell ref="F34:H34"/>
    <mergeCell ref="A35:A36"/>
    <mergeCell ref="B35:B36"/>
    <mergeCell ref="C35:C36"/>
    <mergeCell ref="D35:D36"/>
    <mergeCell ref="E35:E36"/>
    <mergeCell ref="F35:G35"/>
    <mergeCell ref="H35:H36"/>
    <mergeCell ref="A27:A28"/>
    <mergeCell ref="B27:B28"/>
    <mergeCell ref="C27:C28"/>
    <mergeCell ref="D27:D28"/>
    <mergeCell ref="E27:E28"/>
    <mergeCell ref="F27:G27"/>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view="pageLayout" zoomScaleNormal="100" workbookViewId="0">
      <selection activeCell="B16" sqref="B16"/>
    </sheetView>
  </sheetViews>
  <sheetFormatPr defaultColWidth="9.1796875" defaultRowHeight="15.5" x14ac:dyDescent="0.35"/>
  <cols>
    <col min="1" max="1" width="3.90625" style="6" customWidth="1"/>
    <col min="2" max="2" width="21.90625" style="6" customWidth="1"/>
    <col min="3" max="3" width="21.36328125" style="21" customWidth="1"/>
    <col min="4" max="4" width="9.1796875" style="6"/>
    <col min="5" max="6" width="10.1796875" style="6" customWidth="1"/>
    <col min="7" max="7" width="14.36328125" style="6" customWidth="1"/>
    <col min="8" max="16384" width="9.1796875" style="6"/>
  </cols>
  <sheetData>
    <row r="1" spans="1:7" ht="17.149999999999999" customHeight="1" x14ac:dyDescent="0.35">
      <c r="A1" s="158" t="s">
        <v>44</v>
      </c>
      <c r="B1" s="159"/>
      <c r="C1" s="159"/>
      <c r="D1" s="159"/>
      <c r="E1" s="159"/>
      <c r="F1" s="161">
        <f>'Form-1'!C9</f>
        <v>464</v>
      </c>
      <c r="G1" s="160"/>
    </row>
    <row r="2" spans="1:7" ht="15" customHeight="1" x14ac:dyDescent="0.35">
      <c r="A2" s="86"/>
      <c r="B2" s="87"/>
      <c r="C2" s="88"/>
      <c r="D2" s="87"/>
      <c r="E2" s="230" t="s">
        <v>25</v>
      </c>
      <c r="F2" s="230"/>
      <c r="G2" s="231"/>
    </row>
    <row r="3" spans="1:7" ht="16" customHeight="1" x14ac:dyDescent="0.35">
      <c r="A3" s="219" t="s">
        <v>26</v>
      </c>
      <c r="B3" s="219" t="s">
        <v>27</v>
      </c>
      <c r="C3" s="219" t="s">
        <v>28</v>
      </c>
      <c r="D3" s="219" t="s">
        <v>45</v>
      </c>
      <c r="E3" s="219" t="s">
        <v>31</v>
      </c>
      <c r="F3" s="219"/>
      <c r="G3" s="219" t="s">
        <v>46</v>
      </c>
    </row>
    <row r="4" spans="1:7" ht="59.15" customHeight="1" x14ac:dyDescent="0.35">
      <c r="A4" s="219"/>
      <c r="B4" s="219"/>
      <c r="C4" s="219"/>
      <c r="D4" s="219"/>
      <c r="E4" s="95" t="s">
        <v>33</v>
      </c>
      <c r="F4" s="95" t="s">
        <v>114</v>
      </c>
      <c r="G4" s="219"/>
    </row>
    <row r="5" spans="1:7" ht="16" customHeight="1" x14ac:dyDescent="0.35">
      <c r="A5" s="4">
        <v>1</v>
      </c>
      <c r="B5" s="8"/>
      <c r="C5" s="24" t="s">
        <v>210</v>
      </c>
      <c r="D5" s="23" t="s">
        <v>211</v>
      </c>
      <c r="E5" s="8"/>
      <c r="F5" s="8"/>
      <c r="G5" s="8"/>
    </row>
    <row r="6" spans="1:7" ht="16" customHeight="1" x14ac:dyDescent="0.35">
      <c r="A6" s="23">
        <v>2</v>
      </c>
      <c r="B6" s="26"/>
      <c r="C6" s="24" t="s">
        <v>210</v>
      </c>
      <c r="D6" s="23" t="s">
        <v>212</v>
      </c>
      <c r="E6" s="26"/>
      <c r="F6" s="26"/>
      <c r="G6" s="26"/>
    </row>
    <row r="7" spans="1:7" ht="15" customHeight="1" x14ac:dyDescent="0.35">
      <c r="A7" s="219" t="s">
        <v>35</v>
      </c>
      <c r="B7" s="219"/>
      <c r="C7" s="219"/>
      <c r="D7" s="219"/>
      <c r="E7" s="219"/>
      <c r="F7" s="219"/>
      <c r="G7" s="219"/>
    </row>
    <row r="8" spans="1:7" ht="20.5" customHeight="1" x14ac:dyDescent="0.35">
      <c r="A8" s="4">
        <v>1</v>
      </c>
      <c r="B8" s="232" t="s">
        <v>36</v>
      </c>
      <c r="C8" s="233"/>
      <c r="D8" s="233"/>
      <c r="E8" s="233"/>
      <c r="F8" s="233"/>
      <c r="G8" s="84" t="s">
        <v>213</v>
      </c>
    </row>
    <row r="9" spans="1:7" ht="20.5" customHeight="1" x14ac:dyDescent="0.35">
      <c r="A9" s="4">
        <v>2</v>
      </c>
      <c r="B9" s="232" t="s">
        <v>37</v>
      </c>
      <c r="C9" s="233"/>
      <c r="D9" s="233"/>
      <c r="E9" s="233"/>
      <c r="F9" s="233"/>
      <c r="G9" s="84" t="s">
        <v>214</v>
      </c>
    </row>
    <row r="10" spans="1:7" ht="20.5" customHeight="1" x14ac:dyDescent="0.35">
      <c r="A10" s="4">
        <v>3</v>
      </c>
      <c r="B10" s="232" t="s">
        <v>38</v>
      </c>
      <c r="C10" s="233"/>
      <c r="D10" s="233"/>
      <c r="E10" s="233"/>
      <c r="F10" s="233"/>
      <c r="G10" s="84" t="s">
        <v>215</v>
      </c>
    </row>
    <row r="11" spans="1:7" ht="20.5" customHeight="1" x14ac:dyDescent="0.35">
      <c r="A11" s="4">
        <v>4</v>
      </c>
      <c r="B11" s="232" t="s">
        <v>39</v>
      </c>
      <c r="C11" s="233"/>
      <c r="D11" s="233"/>
      <c r="E11" s="233"/>
      <c r="F11" s="233"/>
      <c r="G11" s="84" t="s">
        <v>216</v>
      </c>
    </row>
    <row r="12" spans="1:7" ht="20.5" customHeight="1" x14ac:dyDescent="0.35">
      <c r="A12" s="83">
        <v>5</v>
      </c>
      <c r="B12" s="232" t="s">
        <v>40</v>
      </c>
      <c r="C12" s="233"/>
      <c r="D12" s="233"/>
      <c r="E12" s="233"/>
      <c r="F12" s="233"/>
      <c r="G12" s="85" t="s">
        <v>217</v>
      </c>
    </row>
    <row r="13" spans="1:7" s="15" customFormat="1" ht="16" customHeight="1" x14ac:dyDescent="0.35">
      <c r="A13" s="79"/>
      <c r="B13" s="81" t="s">
        <v>47</v>
      </c>
      <c r="C13" s="89">
        <f>F1</f>
        <v>464</v>
      </c>
      <c r="D13" s="80"/>
      <c r="E13" s="230" t="s">
        <v>48</v>
      </c>
      <c r="F13" s="230"/>
      <c r="G13" s="231"/>
    </row>
    <row r="14" spans="1:7" ht="18.649999999999999" customHeight="1" x14ac:dyDescent="0.35">
      <c r="A14" s="234" t="s">
        <v>26</v>
      </c>
      <c r="B14" s="234" t="s">
        <v>27</v>
      </c>
      <c r="C14" s="235" t="s">
        <v>28</v>
      </c>
      <c r="D14" s="234" t="s">
        <v>45</v>
      </c>
      <c r="E14" s="234" t="s">
        <v>31</v>
      </c>
      <c r="F14" s="234"/>
      <c r="G14" s="234" t="s">
        <v>46</v>
      </c>
    </row>
    <row r="15" spans="1:7" ht="53.15" customHeight="1" x14ac:dyDescent="0.35">
      <c r="A15" s="234"/>
      <c r="B15" s="234"/>
      <c r="C15" s="236"/>
      <c r="D15" s="234"/>
      <c r="E15" s="96" t="s">
        <v>115</v>
      </c>
      <c r="F15" s="96" t="s">
        <v>34</v>
      </c>
      <c r="G15" s="234"/>
    </row>
    <row r="16" spans="1:7" s="15" customFormat="1" ht="16" customHeight="1" x14ac:dyDescent="0.35">
      <c r="A16" s="16">
        <v>1</v>
      </c>
      <c r="B16" s="10"/>
      <c r="C16" s="22" t="s">
        <v>210</v>
      </c>
      <c r="D16" s="16">
        <v>60</v>
      </c>
      <c r="E16" s="10"/>
      <c r="F16" s="10"/>
      <c r="G16" s="10"/>
    </row>
    <row r="17" spans="1:7" s="15" customFormat="1" ht="16" customHeight="1" x14ac:dyDescent="0.35">
      <c r="A17" s="16">
        <v>2</v>
      </c>
      <c r="B17" s="10"/>
      <c r="C17" s="22" t="s">
        <v>210</v>
      </c>
      <c r="D17" s="16">
        <v>30</v>
      </c>
      <c r="E17" s="10"/>
      <c r="F17" s="10"/>
      <c r="G17" s="10"/>
    </row>
    <row r="18" spans="1:7" ht="15" customHeight="1" x14ac:dyDescent="0.35">
      <c r="A18" s="219" t="s">
        <v>35</v>
      </c>
      <c r="B18" s="219"/>
      <c r="C18" s="219"/>
      <c r="D18" s="219"/>
      <c r="E18" s="219"/>
      <c r="F18" s="219"/>
      <c r="G18" s="219"/>
    </row>
    <row r="19" spans="1:7" ht="18.649999999999999" customHeight="1" x14ac:dyDescent="0.35">
      <c r="A19" s="23">
        <v>1</v>
      </c>
      <c r="B19" s="232" t="s">
        <v>36</v>
      </c>
      <c r="C19" s="233"/>
      <c r="D19" s="233"/>
      <c r="E19" s="233"/>
      <c r="F19" s="233"/>
      <c r="G19" s="84" t="s">
        <v>226</v>
      </c>
    </row>
    <row r="20" spans="1:7" ht="18.649999999999999" customHeight="1" x14ac:dyDescent="0.35">
      <c r="A20" s="23">
        <v>2</v>
      </c>
      <c r="B20" s="232" t="s">
        <v>37</v>
      </c>
      <c r="C20" s="233"/>
      <c r="D20" s="233"/>
      <c r="E20" s="233"/>
      <c r="F20" s="233"/>
      <c r="G20" s="84" t="s">
        <v>229</v>
      </c>
    </row>
    <row r="21" spans="1:7" ht="18.649999999999999" customHeight="1" x14ac:dyDescent="0.35">
      <c r="A21" s="23">
        <v>3</v>
      </c>
      <c r="B21" s="232" t="s">
        <v>38</v>
      </c>
      <c r="C21" s="233"/>
      <c r="D21" s="233"/>
      <c r="E21" s="233"/>
      <c r="F21" s="233"/>
      <c r="G21" s="84" t="s">
        <v>230</v>
      </c>
    </row>
    <row r="22" spans="1:7" ht="18.649999999999999" customHeight="1" x14ac:dyDescent="0.35">
      <c r="A22" s="23">
        <v>4</v>
      </c>
      <c r="B22" s="232" t="s">
        <v>39</v>
      </c>
      <c r="C22" s="233"/>
      <c r="D22" s="233"/>
      <c r="E22" s="233"/>
      <c r="F22" s="233"/>
      <c r="G22" s="84" t="s">
        <v>227</v>
      </c>
    </row>
    <row r="23" spans="1:7" ht="18.649999999999999" customHeight="1" x14ac:dyDescent="0.35">
      <c r="A23" s="83">
        <v>5</v>
      </c>
      <c r="B23" s="232" t="s">
        <v>40</v>
      </c>
      <c r="C23" s="233"/>
      <c r="D23" s="233"/>
      <c r="E23" s="233"/>
      <c r="F23" s="233"/>
      <c r="G23" s="85" t="s">
        <v>228</v>
      </c>
    </row>
  </sheetData>
  <mergeCells count="26">
    <mergeCell ref="G14:G15"/>
    <mergeCell ref="A7:G7"/>
    <mergeCell ref="B8:F8"/>
    <mergeCell ref="E2:G2"/>
    <mergeCell ref="A3:A4"/>
    <mergeCell ref="B3:B4"/>
    <mergeCell ref="C3:C4"/>
    <mergeCell ref="D3:D4"/>
    <mergeCell ref="E3:F3"/>
    <mergeCell ref="G3:G4"/>
    <mergeCell ref="B20:F20"/>
    <mergeCell ref="B21:F21"/>
    <mergeCell ref="B22:F22"/>
    <mergeCell ref="B23:F23"/>
    <mergeCell ref="B9:F9"/>
    <mergeCell ref="B10:F10"/>
    <mergeCell ref="B11:F11"/>
    <mergeCell ref="B12:F12"/>
    <mergeCell ref="B19:F19"/>
    <mergeCell ref="A18:G18"/>
    <mergeCell ref="E13:G13"/>
    <mergeCell ref="A14:A15"/>
    <mergeCell ref="B14:B15"/>
    <mergeCell ref="C14:C15"/>
    <mergeCell ref="D14:D15"/>
    <mergeCell ref="E14:F1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3"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39" t="s">
        <v>49</v>
      </c>
      <c r="B1" s="239"/>
      <c r="C1" s="239"/>
      <c r="D1" s="239"/>
      <c r="E1" s="239"/>
      <c r="F1" s="239"/>
      <c r="G1" s="239"/>
      <c r="H1" s="239"/>
      <c r="I1" s="239"/>
      <c r="J1" s="239"/>
      <c r="K1" s="239"/>
      <c r="L1" s="239"/>
    </row>
    <row r="2" spans="1:12" ht="14.25" x14ac:dyDescent="0.15">
      <c r="A2" s="17"/>
      <c r="B2" s="17"/>
      <c r="C2" s="17"/>
      <c r="D2" s="17"/>
      <c r="E2" s="17"/>
      <c r="F2" s="17"/>
      <c r="G2" s="17"/>
      <c r="H2" s="17"/>
      <c r="I2" s="17"/>
      <c r="J2" s="17"/>
      <c r="K2" s="17"/>
      <c r="L2" s="17"/>
    </row>
    <row r="3" spans="1:12" ht="19.5" customHeight="1" x14ac:dyDescent="0.15">
      <c r="A3" s="239" t="s">
        <v>50</v>
      </c>
      <c r="B3" s="239"/>
      <c r="C3" s="239"/>
      <c r="D3" s="239"/>
      <c r="E3" s="239"/>
      <c r="F3" s="239"/>
      <c r="G3" s="239"/>
      <c r="H3" s="239"/>
      <c r="I3" s="239"/>
      <c r="J3" s="239"/>
      <c r="K3" s="239"/>
      <c r="L3" s="239"/>
    </row>
    <row r="5" spans="1:12" ht="46.5" customHeight="1" x14ac:dyDescent="0.15">
      <c r="A5" s="2" t="s">
        <v>22</v>
      </c>
      <c r="B5" s="3" t="s">
        <v>51</v>
      </c>
      <c r="C5" s="3" t="s">
        <v>52</v>
      </c>
      <c r="D5" s="3" t="s">
        <v>53</v>
      </c>
      <c r="E5" s="2" t="s">
        <v>54</v>
      </c>
      <c r="F5" s="2" t="s">
        <v>55</v>
      </c>
      <c r="G5" s="3" t="s">
        <v>56</v>
      </c>
      <c r="H5" s="93"/>
      <c r="I5" s="241" t="s">
        <v>57</v>
      </c>
      <c r="J5" s="242"/>
      <c r="K5" s="243"/>
    </row>
    <row r="6" spans="1:12" ht="17.5" customHeight="1" x14ac:dyDescent="0.15">
      <c r="A6" s="78" t="s">
        <v>14</v>
      </c>
      <c r="B6" s="78" t="s">
        <v>15</v>
      </c>
      <c r="C6" s="78" t="s">
        <v>16</v>
      </c>
      <c r="D6" s="78" t="s">
        <v>17</v>
      </c>
      <c r="E6" s="78" t="s">
        <v>58</v>
      </c>
      <c r="F6" s="78" t="s">
        <v>59</v>
      </c>
      <c r="G6" s="78" t="s">
        <v>60</v>
      </c>
      <c r="H6" s="94"/>
      <c r="I6" s="90"/>
      <c r="J6" s="91"/>
      <c r="K6" s="92"/>
    </row>
    <row r="7" spans="1:12" ht="30" customHeight="1" x14ac:dyDescent="0.15">
      <c r="A7" s="11"/>
      <c r="B7" s="11">
        <v>10</v>
      </c>
      <c r="C7" s="11"/>
      <c r="D7" s="11"/>
      <c r="E7" s="11"/>
      <c r="F7" s="11"/>
      <c r="G7" s="11"/>
      <c r="H7" s="76"/>
      <c r="I7" s="244" t="s">
        <v>61</v>
      </c>
      <c r="J7" s="245"/>
      <c r="K7" s="246"/>
    </row>
    <row r="9" spans="1:12" ht="20.5" customHeight="1" x14ac:dyDescent="0.35">
      <c r="A9" s="176" t="s">
        <v>108</v>
      </c>
      <c r="B9" s="240" t="s">
        <v>62</v>
      </c>
      <c r="C9" s="240"/>
      <c r="D9" s="240"/>
      <c r="E9" s="240"/>
      <c r="F9" s="240" t="s">
        <v>63</v>
      </c>
      <c r="G9" s="240"/>
      <c r="H9" s="240"/>
      <c r="I9" s="240"/>
    </row>
    <row r="10" spans="1:12" s="18" customFormat="1" ht="49" customHeight="1" x14ac:dyDescent="0.35">
      <c r="A10" s="176"/>
      <c r="B10" s="25" t="s">
        <v>64</v>
      </c>
      <c r="C10" s="25" t="s">
        <v>112</v>
      </c>
      <c r="D10" s="25" t="s">
        <v>111</v>
      </c>
      <c r="E10" s="25" t="s">
        <v>110</v>
      </c>
      <c r="F10" s="25" t="s">
        <v>64</v>
      </c>
      <c r="G10" s="25" t="s">
        <v>109</v>
      </c>
      <c r="H10" s="74"/>
      <c r="I10" s="25" t="s">
        <v>75</v>
      </c>
    </row>
    <row r="11" spans="1:12" ht="16.5" customHeight="1" x14ac:dyDescent="0.15">
      <c r="A11" s="73" t="s">
        <v>18</v>
      </c>
      <c r="B11" s="73" t="s">
        <v>65</v>
      </c>
      <c r="C11" s="73" t="s">
        <v>23</v>
      </c>
      <c r="D11" s="73" t="s">
        <v>19</v>
      </c>
      <c r="E11" s="73" t="s">
        <v>66</v>
      </c>
      <c r="F11" s="73" t="s">
        <v>67</v>
      </c>
      <c r="G11" s="73" t="s">
        <v>68</v>
      </c>
      <c r="H11" s="73"/>
      <c r="I11" s="73" t="s">
        <v>69</v>
      </c>
    </row>
    <row r="12" spans="1:12" ht="24.75" customHeight="1" x14ac:dyDescent="0.15">
      <c r="A12" s="11"/>
      <c r="B12" s="11"/>
      <c r="C12" s="11"/>
      <c r="D12" s="11"/>
      <c r="E12" s="11"/>
      <c r="F12" s="11"/>
      <c r="G12" s="11"/>
      <c r="H12" s="75"/>
      <c r="I12" s="11"/>
    </row>
    <row r="13" spans="1:12" ht="24.75" customHeight="1" x14ac:dyDescent="0.15">
      <c r="A13" s="11"/>
      <c r="B13" s="11"/>
      <c r="C13" s="11"/>
      <c r="D13" s="11"/>
      <c r="E13" s="11"/>
      <c r="F13" s="11"/>
      <c r="G13" s="11"/>
      <c r="H13" s="75"/>
      <c r="I13" s="11"/>
    </row>
    <row r="14" spans="1:12" ht="24.75" customHeight="1" x14ac:dyDescent="0.15">
      <c r="A14" s="11"/>
      <c r="B14" s="11"/>
      <c r="C14" s="11"/>
      <c r="D14" s="11"/>
      <c r="E14" s="11"/>
      <c r="F14" s="11"/>
      <c r="G14" s="11"/>
      <c r="H14" s="75"/>
      <c r="I14" s="11"/>
    </row>
    <row r="15" spans="1:12" ht="24.75" customHeight="1" x14ac:dyDescent="0.15">
      <c r="A15" s="11"/>
      <c r="B15" s="11"/>
      <c r="C15" s="11"/>
      <c r="D15" s="11"/>
      <c r="E15" s="11"/>
      <c r="F15" s="11"/>
      <c r="G15" s="11"/>
      <c r="H15" s="75"/>
      <c r="I15" s="11"/>
    </row>
    <row r="18" spans="1:16" x14ac:dyDescent="0.35">
      <c r="A18" s="19" t="s">
        <v>20</v>
      </c>
      <c r="B18" s="9"/>
      <c r="C18" s="9"/>
      <c r="D18" s="9"/>
      <c r="E18" s="9"/>
      <c r="F18" s="9"/>
      <c r="G18" s="238" t="s">
        <v>70</v>
      </c>
      <c r="H18" s="238"/>
      <c r="I18" s="238"/>
      <c r="J18" s="238"/>
      <c r="K18" s="238"/>
      <c r="L18" s="14"/>
      <c r="M18" s="14"/>
      <c r="N18" s="14"/>
      <c r="O18" s="9"/>
      <c r="P18" s="9"/>
    </row>
    <row r="19" spans="1:16" x14ac:dyDescent="0.35">
      <c r="A19" s="19" t="s">
        <v>71</v>
      </c>
      <c r="B19" s="9"/>
      <c r="C19" s="9"/>
      <c r="D19" s="9"/>
      <c r="E19" s="9"/>
      <c r="F19" s="9"/>
      <c r="G19" s="9"/>
      <c r="H19" s="9"/>
      <c r="I19" s="9"/>
      <c r="J19" s="9"/>
      <c r="K19" s="9"/>
      <c r="L19" s="9"/>
      <c r="M19" s="9"/>
      <c r="N19" s="9"/>
      <c r="O19" s="9"/>
      <c r="P19" s="9"/>
    </row>
    <row r="20" spans="1:16" x14ac:dyDescent="0.35">
      <c r="A20" s="9"/>
      <c r="B20" s="9"/>
      <c r="C20" s="9"/>
      <c r="D20" s="9"/>
      <c r="E20" s="9"/>
      <c r="F20" s="9"/>
      <c r="G20" s="9"/>
      <c r="H20" s="9"/>
      <c r="I20" s="9"/>
      <c r="J20" s="9"/>
      <c r="K20" s="9"/>
      <c r="L20" s="9"/>
      <c r="M20" s="9"/>
      <c r="N20" s="9"/>
      <c r="O20" s="9"/>
      <c r="P20" s="9"/>
    </row>
    <row r="21" spans="1:16" ht="15.75" customHeight="1" x14ac:dyDescent="0.35">
      <c r="A21" s="20" t="s">
        <v>21</v>
      </c>
      <c r="B21" s="9"/>
      <c r="C21" s="9"/>
      <c r="D21" s="9"/>
      <c r="E21" s="9"/>
      <c r="F21" s="9"/>
      <c r="G21" s="9"/>
      <c r="H21" s="9"/>
      <c r="I21" s="9"/>
      <c r="J21" s="9"/>
      <c r="K21" s="9"/>
      <c r="L21" s="9"/>
      <c r="M21" s="9"/>
      <c r="N21" s="9"/>
      <c r="O21" s="9"/>
      <c r="P21" s="9"/>
    </row>
    <row r="22" spans="1:16" ht="33" customHeight="1" x14ac:dyDescent="0.35">
      <c r="A22" s="13" t="s">
        <v>72</v>
      </c>
      <c r="B22" s="237" t="s">
        <v>73</v>
      </c>
      <c r="C22" s="237"/>
      <c r="D22" s="237"/>
      <c r="E22" s="237"/>
      <c r="F22" s="237"/>
      <c r="G22" s="237"/>
      <c r="H22" s="237"/>
      <c r="I22" s="237"/>
      <c r="J22" s="237"/>
      <c r="K22" s="237"/>
      <c r="L22" s="107"/>
      <c r="M22" s="7"/>
      <c r="N22" s="7"/>
      <c r="O22" s="7"/>
      <c r="P22" s="7"/>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47" t="s">
        <v>76</v>
      </c>
      <c r="B1" s="247"/>
      <c r="C1" s="247"/>
      <c r="D1" s="247"/>
      <c r="E1" s="247"/>
      <c r="F1" s="247"/>
      <c r="G1" s="247"/>
      <c r="H1" s="247"/>
    </row>
    <row r="2" spans="1:8" ht="27" customHeight="1" x14ac:dyDescent="0.2">
      <c r="A2" s="247" t="s">
        <v>168</v>
      </c>
      <c r="B2" s="247"/>
      <c r="C2" s="247"/>
      <c r="D2" s="247"/>
      <c r="E2" s="247"/>
      <c r="F2" s="247"/>
      <c r="G2" s="247"/>
      <c r="H2" s="247"/>
    </row>
    <row r="3" spans="1:8" ht="44.15" customHeight="1" x14ac:dyDescent="0.2">
      <c r="A3" s="105" t="s">
        <v>116</v>
      </c>
      <c r="B3" s="78" t="s">
        <v>77</v>
      </c>
      <c r="C3" s="78" t="s">
        <v>78</v>
      </c>
      <c r="D3" s="78" t="s">
        <v>79</v>
      </c>
      <c r="E3" s="78" t="s">
        <v>80</v>
      </c>
      <c r="F3" s="78" t="s">
        <v>81</v>
      </c>
      <c r="G3" s="78" t="s">
        <v>82</v>
      </c>
      <c r="H3" s="105" t="s">
        <v>167</v>
      </c>
    </row>
    <row r="4" spans="1:8" ht="25.5" customHeight="1" x14ac:dyDescent="0.2">
      <c r="A4" s="12">
        <v>1</v>
      </c>
      <c r="B4" s="12"/>
      <c r="C4" s="12"/>
      <c r="D4" s="12"/>
      <c r="E4" s="12"/>
      <c r="F4" s="12"/>
      <c r="G4" s="12"/>
      <c r="H4" s="12"/>
    </row>
    <row r="5" spans="1:8" ht="25.5" customHeight="1" x14ac:dyDescent="0.2">
      <c r="A5" s="12">
        <v>2</v>
      </c>
      <c r="B5" s="12"/>
      <c r="C5" s="12"/>
      <c r="D5" s="12"/>
      <c r="E5" s="12"/>
      <c r="F5" s="12"/>
      <c r="G5" s="12"/>
      <c r="H5" s="12"/>
    </row>
    <row r="6" spans="1:8" ht="25.5" customHeight="1" x14ac:dyDescent="0.2">
      <c r="A6" s="12">
        <v>3</v>
      </c>
      <c r="B6" s="12"/>
      <c r="C6" s="12"/>
      <c r="D6" s="12"/>
      <c r="E6" s="12"/>
      <c r="F6" s="12"/>
      <c r="G6" s="12"/>
      <c r="H6" s="12"/>
    </row>
    <row r="7" spans="1:8" ht="25.5" customHeight="1" x14ac:dyDescent="0.2">
      <c r="A7" s="12">
        <v>4</v>
      </c>
      <c r="B7" s="12"/>
      <c r="C7" s="12"/>
      <c r="D7" s="12"/>
      <c r="E7" s="12"/>
      <c r="F7" s="12"/>
      <c r="G7" s="12"/>
      <c r="H7" s="12"/>
    </row>
    <row r="8" spans="1:8" ht="25.5" customHeight="1" x14ac:dyDescent="0.2">
      <c r="A8" s="12">
        <v>5</v>
      </c>
      <c r="B8" s="12"/>
      <c r="C8" s="12"/>
      <c r="D8" s="12"/>
      <c r="E8" s="12"/>
      <c r="F8" s="12"/>
      <c r="G8" s="12"/>
      <c r="H8" s="12"/>
    </row>
    <row r="9" spans="1:8" ht="25.5" customHeight="1" x14ac:dyDescent="0.2">
      <c r="A9" s="75">
        <v>6</v>
      </c>
      <c r="B9" s="75"/>
      <c r="C9" s="75"/>
      <c r="D9" s="75"/>
      <c r="E9" s="75"/>
      <c r="F9" s="75"/>
      <c r="G9" s="75"/>
      <c r="H9" s="75"/>
    </row>
    <row r="10" spans="1:8" ht="25.5" customHeight="1" x14ac:dyDescent="0.2">
      <c r="A10" s="75">
        <v>7</v>
      </c>
      <c r="B10" s="75"/>
      <c r="C10" s="75"/>
      <c r="D10" s="75"/>
      <c r="E10" s="75"/>
      <c r="F10" s="75"/>
      <c r="G10" s="75"/>
      <c r="H10" s="75"/>
    </row>
    <row r="11" spans="1:8" ht="25.5" customHeight="1" x14ac:dyDescent="0.2">
      <c r="A11" s="75">
        <v>8</v>
      </c>
      <c r="B11" s="75"/>
      <c r="C11" s="75"/>
      <c r="D11" s="75"/>
      <c r="E11" s="75"/>
      <c r="F11" s="75"/>
      <c r="G11" s="75"/>
      <c r="H11" s="75"/>
    </row>
    <row r="12" spans="1:8" ht="25.5" customHeight="1" x14ac:dyDescent="0.2">
      <c r="A12" s="75">
        <v>9</v>
      </c>
      <c r="B12" s="75"/>
      <c r="C12" s="75"/>
      <c r="D12" s="75"/>
      <c r="E12" s="75"/>
      <c r="F12" s="75"/>
      <c r="G12" s="75"/>
      <c r="H12" s="75"/>
    </row>
    <row r="13" spans="1:8" ht="25.5" customHeight="1" x14ac:dyDescent="0.2">
      <c r="A13" s="75">
        <v>10</v>
      </c>
      <c r="B13" s="75"/>
      <c r="C13" s="75"/>
      <c r="D13" s="75"/>
      <c r="E13" s="75"/>
      <c r="F13" s="75"/>
      <c r="G13" s="75"/>
      <c r="H13" s="75"/>
    </row>
    <row r="14" spans="1:8" ht="25.5" customHeight="1" x14ac:dyDescent="0.35">
      <c r="A14" s="75">
        <v>11</v>
      </c>
      <c r="B14" s="75"/>
      <c r="C14" s="75"/>
      <c r="D14" s="75"/>
      <c r="E14" s="75"/>
      <c r="F14" s="75"/>
      <c r="G14" s="75"/>
      <c r="H14" s="75"/>
    </row>
    <row r="15" spans="1:8" ht="25.5" customHeight="1" x14ac:dyDescent="0.35">
      <c r="A15" s="75">
        <v>12</v>
      </c>
      <c r="B15" s="75"/>
      <c r="C15" s="75"/>
      <c r="D15" s="75"/>
      <c r="E15" s="75"/>
      <c r="F15" s="75"/>
      <c r="G15" s="75"/>
      <c r="H15" s="75"/>
    </row>
    <row r="16" spans="1:8" ht="25.5" customHeight="1" x14ac:dyDescent="0.35">
      <c r="A16" s="75">
        <v>13</v>
      </c>
      <c r="B16" s="75"/>
      <c r="C16" s="75"/>
      <c r="D16" s="75"/>
      <c r="E16" s="75"/>
      <c r="F16" s="75"/>
      <c r="G16" s="75"/>
      <c r="H16" s="75"/>
    </row>
    <row r="17" spans="1:8" ht="25.5" customHeight="1" x14ac:dyDescent="0.35">
      <c r="A17" s="75">
        <v>14</v>
      </c>
      <c r="B17" s="75"/>
      <c r="C17" s="75"/>
      <c r="D17" s="75"/>
      <c r="E17" s="75"/>
      <c r="F17" s="75"/>
      <c r="G17" s="75"/>
      <c r="H17" s="75"/>
    </row>
    <row r="18" spans="1:8" ht="25.5" customHeight="1" x14ac:dyDescent="0.35">
      <c r="A18" s="75">
        <v>15</v>
      </c>
      <c r="B18" s="75"/>
      <c r="C18" s="75"/>
      <c r="D18" s="75"/>
      <c r="E18" s="75"/>
      <c r="F18" s="75"/>
      <c r="G18" s="75"/>
      <c r="H18" s="75"/>
    </row>
    <row r="19" spans="1:8" ht="25.5" customHeight="1" x14ac:dyDescent="0.35">
      <c r="A19" s="75">
        <v>16</v>
      </c>
      <c r="B19" s="75"/>
      <c r="C19" s="75"/>
      <c r="D19" s="75"/>
      <c r="E19" s="75"/>
      <c r="F19" s="75"/>
      <c r="G19" s="75"/>
      <c r="H19" s="75"/>
    </row>
    <row r="20" spans="1:8" ht="25.5" customHeight="1" x14ac:dyDescent="0.35">
      <c r="A20" s="75">
        <v>17</v>
      </c>
      <c r="B20" s="75"/>
      <c r="C20" s="75"/>
      <c r="D20" s="75"/>
      <c r="E20" s="75"/>
      <c r="F20" s="75"/>
      <c r="G20" s="75"/>
      <c r="H20" s="75"/>
    </row>
    <row r="21" spans="1:8" ht="25.5" customHeight="1" x14ac:dyDescent="0.35">
      <c r="A21" s="75">
        <v>18</v>
      </c>
      <c r="B21" s="75"/>
      <c r="C21" s="75"/>
      <c r="D21" s="75"/>
      <c r="E21" s="75"/>
      <c r="F21" s="75"/>
      <c r="G21" s="75"/>
      <c r="H21" s="75"/>
    </row>
    <row r="22" spans="1:8" ht="25.5" customHeight="1" x14ac:dyDescent="0.35">
      <c r="A22" s="75">
        <v>19</v>
      </c>
      <c r="B22" s="75"/>
      <c r="C22" s="75"/>
      <c r="D22" s="75"/>
      <c r="E22" s="75"/>
      <c r="F22" s="75"/>
      <c r="G22" s="75"/>
      <c r="H22" s="75"/>
    </row>
    <row r="23" spans="1:8" ht="25.5" customHeight="1" x14ac:dyDescent="0.35">
      <c r="A23" s="75">
        <v>20</v>
      </c>
      <c r="B23" s="75"/>
      <c r="C23" s="75"/>
      <c r="D23" s="75"/>
      <c r="E23" s="75"/>
      <c r="F23" s="75"/>
      <c r="G23" s="75"/>
      <c r="H23" s="75"/>
    </row>
    <row r="24" spans="1:8" ht="25.5" customHeight="1" x14ac:dyDescent="0.35">
      <c r="A24" s="75">
        <v>21</v>
      </c>
      <c r="B24" s="75"/>
      <c r="C24" s="75"/>
      <c r="D24" s="75"/>
      <c r="E24" s="75"/>
      <c r="F24" s="75"/>
      <c r="G24" s="75"/>
      <c r="H24" s="75"/>
    </row>
    <row r="25" spans="1:8" ht="25.5" customHeight="1" x14ac:dyDescent="0.35">
      <c r="A25" s="75">
        <v>22</v>
      </c>
      <c r="B25" s="75"/>
      <c r="C25" s="75"/>
      <c r="D25" s="75"/>
      <c r="E25" s="75"/>
      <c r="F25" s="75"/>
      <c r="G25" s="75"/>
      <c r="H25" s="75"/>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48" t="s">
        <v>117</v>
      </c>
      <c r="B1" s="249"/>
      <c r="C1" s="249"/>
      <c r="D1" s="249"/>
      <c r="E1" s="249"/>
    </row>
    <row r="2" spans="1:5" ht="18" customHeight="1" x14ac:dyDescent="0.2">
      <c r="A2" s="248" t="s">
        <v>169</v>
      </c>
      <c r="B2" s="249"/>
      <c r="C2" s="249"/>
      <c r="D2" s="249"/>
      <c r="E2" s="249"/>
    </row>
    <row r="3" spans="1:5" ht="29.15" customHeight="1" x14ac:dyDescent="0.2">
      <c r="A3" s="110" t="s">
        <v>121</v>
      </c>
      <c r="B3" s="110" t="s">
        <v>122</v>
      </c>
      <c r="C3" s="111" t="s">
        <v>123</v>
      </c>
      <c r="D3" s="111" t="s">
        <v>124</v>
      </c>
      <c r="E3" s="111"/>
    </row>
    <row r="4" spans="1:5" ht="32.5" customHeight="1" x14ac:dyDescent="0.35">
      <c r="A4" s="108" t="s">
        <v>119</v>
      </c>
      <c r="B4" s="109" t="s">
        <v>120</v>
      </c>
      <c r="C4" s="108" t="s">
        <v>125</v>
      </c>
      <c r="D4" s="108" t="s">
        <v>118</v>
      </c>
      <c r="E4" s="78"/>
    </row>
    <row r="5" spans="1:5" ht="25.5" customHeight="1" x14ac:dyDescent="0.2">
      <c r="A5" s="75">
        <v>1</v>
      </c>
      <c r="B5" s="75"/>
      <c r="C5" s="75"/>
      <c r="D5" s="75"/>
      <c r="E5" s="75"/>
    </row>
    <row r="6" spans="1:5" ht="25.5" customHeight="1" x14ac:dyDescent="0.2">
      <c r="A6" s="75">
        <v>2</v>
      </c>
      <c r="B6" s="75"/>
      <c r="C6" s="75"/>
      <c r="D6" s="75"/>
      <c r="E6" s="75"/>
    </row>
    <row r="7" spans="1:5" ht="25.5" customHeight="1" x14ac:dyDescent="0.2">
      <c r="A7" s="75">
        <v>3</v>
      </c>
      <c r="B7" s="75"/>
      <c r="C7" s="75"/>
      <c r="D7" s="75"/>
      <c r="E7" s="75"/>
    </row>
    <row r="8" spans="1:5" ht="25.5" customHeight="1" x14ac:dyDescent="0.2">
      <c r="A8" s="75">
        <v>4</v>
      </c>
      <c r="B8" s="75"/>
      <c r="C8" s="75"/>
      <c r="D8" s="75"/>
      <c r="E8" s="75"/>
    </row>
    <row r="9" spans="1:5" ht="25.5" customHeight="1" x14ac:dyDescent="0.2">
      <c r="A9" s="75">
        <v>5</v>
      </c>
      <c r="B9" s="75"/>
      <c r="C9" s="75"/>
      <c r="D9" s="75"/>
      <c r="E9" s="75"/>
    </row>
    <row r="10" spans="1:5" ht="25.5" customHeight="1" x14ac:dyDescent="0.2">
      <c r="A10" s="75">
        <v>6</v>
      </c>
      <c r="B10" s="75"/>
      <c r="C10" s="75"/>
      <c r="D10" s="75"/>
      <c r="E10" s="75"/>
    </row>
    <row r="11" spans="1:5" ht="25.5" customHeight="1" x14ac:dyDescent="0.2">
      <c r="A11" s="75">
        <v>7</v>
      </c>
      <c r="B11" s="75"/>
      <c r="C11" s="75"/>
      <c r="D11" s="75"/>
      <c r="E11" s="75"/>
    </row>
    <row r="12" spans="1:5" ht="25.5" customHeight="1" x14ac:dyDescent="0.2">
      <c r="A12" s="75">
        <v>8</v>
      </c>
      <c r="B12" s="75"/>
      <c r="C12" s="75"/>
      <c r="D12" s="75"/>
      <c r="E12" s="75"/>
    </row>
    <row r="13" spans="1:5" ht="25.5" customHeight="1" x14ac:dyDescent="0.2">
      <c r="A13" s="75">
        <v>9</v>
      </c>
      <c r="B13" s="75"/>
      <c r="C13" s="75"/>
      <c r="D13" s="75"/>
      <c r="E13" s="75"/>
    </row>
    <row r="14" spans="1:5" ht="25.5" customHeight="1" x14ac:dyDescent="0.35">
      <c r="A14" s="75">
        <v>10</v>
      </c>
      <c r="B14" s="75"/>
      <c r="C14" s="75"/>
      <c r="D14" s="75"/>
      <c r="E14" s="75"/>
    </row>
    <row r="15" spans="1:5" ht="25.5" customHeight="1" x14ac:dyDescent="0.35">
      <c r="A15" s="75">
        <v>11</v>
      </c>
      <c r="B15" s="75"/>
      <c r="C15" s="75"/>
      <c r="D15" s="75"/>
      <c r="E15" s="75"/>
    </row>
    <row r="16" spans="1:5" ht="25.5" customHeight="1" x14ac:dyDescent="0.35">
      <c r="A16" s="75">
        <v>12</v>
      </c>
      <c r="B16" s="75"/>
      <c r="C16" s="75"/>
      <c r="D16" s="75"/>
      <c r="E16" s="75"/>
    </row>
    <row r="17" spans="1:5" ht="25.5" customHeight="1" x14ac:dyDescent="0.35">
      <c r="A17" s="75">
        <v>13</v>
      </c>
      <c r="B17" s="75"/>
      <c r="C17" s="75"/>
      <c r="D17" s="75"/>
      <c r="E17" s="75"/>
    </row>
    <row r="18" spans="1:5" ht="25.5" customHeight="1" x14ac:dyDescent="0.35">
      <c r="A18" s="75">
        <v>14</v>
      </c>
      <c r="B18" s="75"/>
      <c r="C18" s="75"/>
      <c r="D18" s="75"/>
      <c r="E18" s="75"/>
    </row>
    <row r="19" spans="1:5" ht="25.5" customHeight="1" x14ac:dyDescent="0.35">
      <c r="A19" s="75">
        <v>15</v>
      </c>
      <c r="B19" s="75"/>
      <c r="C19" s="75"/>
      <c r="D19" s="75"/>
      <c r="E19" s="75"/>
    </row>
    <row r="20" spans="1:5" ht="25.5" customHeight="1" x14ac:dyDescent="0.35">
      <c r="A20" s="75">
        <v>16</v>
      </c>
      <c r="B20" s="75"/>
      <c r="C20" s="75"/>
      <c r="D20" s="75"/>
      <c r="E20" s="75"/>
    </row>
    <row r="21" spans="1:5" ht="25.5" customHeight="1" x14ac:dyDescent="0.35">
      <c r="A21" s="75">
        <v>17</v>
      </c>
      <c r="B21" s="75"/>
      <c r="C21" s="75"/>
      <c r="D21" s="75"/>
      <c r="E21" s="75"/>
    </row>
    <row r="22" spans="1:5" ht="25.5" customHeight="1" x14ac:dyDescent="0.35">
      <c r="A22" s="75">
        <v>18</v>
      </c>
      <c r="B22" s="75"/>
      <c r="C22" s="75"/>
      <c r="D22" s="75"/>
      <c r="E22" s="75"/>
    </row>
    <row r="23" spans="1:5" ht="25.5" customHeight="1" x14ac:dyDescent="0.35">
      <c r="A23" s="75">
        <v>19</v>
      </c>
      <c r="B23" s="75"/>
      <c r="C23" s="75"/>
      <c r="D23" s="75"/>
      <c r="E23" s="75"/>
    </row>
    <row r="24" spans="1:5" ht="25.5" customHeight="1" x14ac:dyDescent="0.35">
      <c r="A24" s="75">
        <v>20</v>
      </c>
      <c r="B24" s="75"/>
      <c r="C24" s="75"/>
      <c r="D24" s="75"/>
      <c r="E24" s="75"/>
    </row>
    <row r="25" spans="1:5" ht="25.5" customHeight="1" x14ac:dyDescent="0.35">
      <c r="A25" s="75">
        <v>21</v>
      </c>
      <c r="B25" s="75"/>
      <c r="C25" s="75"/>
      <c r="D25" s="75"/>
      <c r="E25" s="75"/>
    </row>
    <row r="26" spans="1:5" ht="25.5" customHeight="1" x14ac:dyDescent="0.35">
      <c r="A26" s="75">
        <v>22</v>
      </c>
      <c r="B26" s="75"/>
      <c r="C26" s="75"/>
      <c r="D26" s="75"/>
      <c r="E26" s="75"/>
    </row>
    <row r="27" spans="1:5" ht="25.5" customHeight="1" x14ac:dyDescent="0.35">
      <c r="A27" s="75">
        <v>23</v>
      </c>
      <c r="B27" s="75"/>
      <c r="C27" s="75"/>
      <c r="D27" s="75"/>
      <c r="E27" s="75"/>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2024-10-29T11:39:54Z</cp:lastPrinted>
  <dcterms:created xsi:type="dcterms:W3CDTF">2023-09-21T06:16:02Z</dcterms:created>
  <dcterms:modified xsi:type="dcterms:W3CDTF">2024-10-29T14:51:57Z</dcterms:modified>
</cp:coreProperties>
</file>