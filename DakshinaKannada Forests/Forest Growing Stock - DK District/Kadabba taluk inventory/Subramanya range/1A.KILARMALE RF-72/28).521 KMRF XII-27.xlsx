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7" i="11"/>
  <c r="I18" i="11"/>
  <c r="I9" i="11"/>
  <c r="I2" i="11"/>
  <c r="C13" i="8"/>
  <c r="C12" i="8"/>
  <c r="C11" i="8"/>
  <c r="C10" i="8"/>
  <c r="C5" i="6" s="1"/>
  <c r="C9" i="8"/>
</calcChain>
</file>

<file path=xl/sharedStrings.xml><?xml version="1.0" encoding="utf-8"?>
<sst xmlns="http://schemas.openxmlformats.org/spreadsheetml/2006/main" count="370" uniqueCount="191">
  <si>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</si>
  <si>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</si>
  <si>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</si>
  <si>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</si>
  <si>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</si>
  <si>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</si>
  <si>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</si>
  <si>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</si>
  <si>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</si>
  <si>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</si>
  <si>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</si>
  <si>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</si>
  <si>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</si>
  <si>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</si>
  <si>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</si>
  <si>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</si>
  <si>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</si>
  <si>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</si>
  <si>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</si>
  <si>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</si>
  <si>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</si>
  <si>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</si>
  <si>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</si>
  <si>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</si>
  <si>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</si>
  <si>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</si>
  <si>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</si>
  <si>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</si>
  <si>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</si>
  <si>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</si>
  <si>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</si>
  <si>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</si>
  <si>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</si>
  <si>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</si>
  <si>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</si>
  <si>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</si>
  <si>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</si>
  <si>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</si>
  <si>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</si>
  <si>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</si>
  <si>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</si>
  <si>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</si>
  <si>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</si>
  <si>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</si>
  <si>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</si>
  <si>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</si>
  <si>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</si>
  <si>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</si>
  <si>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</si>
  <si>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</si>
  <si>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</si>
  <si>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</si>
  <si>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</si>
  <si>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</si>
  <si>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</si>
  <si>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</si>
  <si>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</si>
  <si>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</si>
  <si>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</si>
  <si>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</si>
  <si>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</si>
  <si>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</si>
  <si>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</si>
  <si>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</si>
  <si>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</si>
  <si>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</si>
  <si>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</si>
  <si>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</si>
  <si>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</si>
  <si>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</si>
  <si>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</si>
  <si>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</si>
  <si>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</si>
  <si>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</si>
  <si>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</si>
  <si>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</si>
  <si>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</si>
  <si>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</si>
  <si>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</si>
  <si>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</si>
  <si>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</si>
  <si>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</si>
  <si>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</si>
  <si>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</si>
  <si>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</si>
  <si>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</si>
  <si>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</si>
  <si>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</si>
  <si>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</si>
  <si>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</si>
  <si>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</si>
  <si>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</si>
  <si>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</si>
  <si>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</si>
  <si>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</si>
  <si>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</si>
  <si>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</si>
  <si>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</si>
  <si>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</si>
  <si>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</si>
  <si>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</si>
  <si>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</si>
  <si>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</si>
  <si>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</si>
  <si>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</si>
  <si>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</si>
  <si>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</si>
  <si>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</si>
  <si>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</si>
  <si>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</si>
  <si>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</si>
  <si>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</si>
  <si>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</si>
  <si>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</si>
  <si>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</si>
  <si>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</si>
  <si>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</si>
  <si>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</si>
  <si>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t>5. Grass - Scanty - Cynodon dactylon (Hambuhullu)</t>
  </si>
  <si>
    <t>6. Weeds - Scanty - Malastoma offine</t>
  </si>
  <si>
    <t>7. Bamboo - Absent</t>
  </si>
  <si>
    <r>
      <t xml:space="preserve">8. Herbs - </t>
    </r>
    <r>
      <rPr>
        <i/>
        <sz val="12"/>
        <color theme="1"/>
        <rFont val="Calibri"/>
        <family val="2"/>
        <scheme val="minor"/>
      </rPr>
      <t xml:space="preserve"> Tinospora sinensis </t>
    </r>
    <r>
      <rPr>
        <sz val="12"/>
        <color theme="1"/>
        <rFont val="Calibri"/>
        <family val="2"/>
        <scheme val="minor"/>
      </rPr>
      <t>(Thergida),</t>
    </r>
    <r>
      <rPr>
        <i/>
        <sz val="12"/>
        <color theme="1"/>
        <rFont val="Calibri"/>
        <family val="2"/>
        <scheme val="minor"/>
      </rPr>
      <t xml:space="preserve"> 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</si>
  <si>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10. Underwood species </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</si>
  <si>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Strychonos wallichiana</t>
    </r>
    <r>
      <rPr>
        <sz val="12"/>
        <color theme="1"/>
        <rFont val="Calibri"/>
        <family val="2"/>
        <scheme val="minor"/>
      </rPr>
      <t xml:space="preserve">  (Balli kasarka). </t>
    </r>
    <r>
      <rPr>
        <i/>
        <sz val="12"/>
        <color theme="1"/>
        <rFont val="Calibri"/>
        <family val="2"/>
        <scheme val="minor"/>
      </rPr>
      <t>Pothos</t>
    </r>
    <r>
      <rPr>
        <sz val="12"/>
        <color theme="1"/>
        <rFont val="Calibri"/>
        <family val="2"/>
        <scheme val="minor"/>
      </rPr>
      <t xml:space="preserve"> </t>
    </r>
    <r>
      <rPr>
        <i/>
        <sz val="12"/>
        <color theme="1"/>
        <rFont val="Calibri"/>
        <family val="2"/>
        <scheme val="minor"/>
      </rPr>
      <t>scandens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r>
  </si>
  <si>
    <r>
      <t xml:space="preserve">12. Rattans - </t>
    </r>
    <r>
      <rPr>
        <i/>
        <sz val="12"/>
        <color theme="1"/>
        <rFont val="Calibri"/>
        <family val="2"/>
        <scheme val="minor"/>
      </rPr>
      <t>Hebiscus aculeatus</t>
    </r>
    <r>
      <rPr>
        <sz val="12"/>
        <color theme="1"/>
        <rFont val="Calibri"/>
        <family val="2"/>
        <scheme val="minor"/>
      </rPr>
      <t xml:space="preserve"> (Betta)</t>
    </r>
  </si>
  <si>
    <t>CLosed forest, Canopy 80% closed</t>
  </si>
  <si>
    <t>Hilly</t>
  </si>
  <si>
    <t>Upto 16 - 40</t>
  </si>
  <si>
    <t>Latarite soil, Texture - Hard, Depth - 30cm, Permiability - Good.</t>
  </si>
  <si>
    <t>Mild Erosion</t>
  </si>
  <si>
    <t>Absent</t>
  </si>
  <si>
    <t>Scanty - Cynodon dactylon (Hambuhullu)</t>
  </si>
  <si>
    <t>Natural forest</t>
  </si>
  <si>
    <t>Start from Nettana Timber Dipo to towards Sullya road to  Halemajalu road for 20.9 km N - 12.631929, E- 75.547094. Then left turn to Nalkuru RF for 2.6 km N- 12.617057, E- 75.564980 (By jeep). Then walked towards left for 585 mtr to reached center of the plot.</t>
  </si>
  <si>
    <r>
      <t>Evergreen Densed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</si>
  <si>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Eastern</t>
  </si>
  <si>
    <t>3.Canopy density - Closed forest and 85% canopy closed.</t>
  </si>
  <si>
    <r>
      <t xml:space="preserve">9. Shrubs -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</si>
  <si>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</si>
  <si>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Eastern</t>
  </si>
  <si>
    <r>
      <t xml:space="preserve">Aparosa lindlyana (Salle) -10%, </t>
    </r>
    <r>
      <rPr>
        <i/>
        <sz val="12"/>
        <color theme="1"/>
        <rFont val="Calibri"/>
        <family val="2"/>
        <scheme val="minor"/>
      </rPr>
      <t>Hopea parvifolea</t>
    </r>
    <r>
      <rPr>
        <sz val="12"/>
        <color theme="1"/>
        <rFont val="Calibri"/>
        <family val="2"/>
        <scheme val="minor"/>
      </rPr>
      <t xml:space="preserve"> (Bogi) - 20%,</t>
    </r>
    <r>
      <rPr>
        <i/>
        <sz val="12"/>
        <color theme="1"/>
        <rFont val="Calibri"/>
        <family val="2"/>
        <scheme val="minor"/>
      </rPr>
      <t xml:space="preserve"> Lophopetalum wightianum</t>
    </r>
    <r>
      <rPr>
        <sz val="12"/>
        <color theme="1"/>
        <rFont val="Calibri"/>
        <family val="2"/>
        <scheme val="minor"/>
      </rPr>
      <t xml:space="preserve"> (Bannate) - 20%.</t>
    </r>
  </si>
  <si>
    <t>Elephant traces and dung</t>
  </si>
  <si>
    <t>Block /Village: Nalkuru</t>
  </si>
  <si>
    <t>Basari</t>
  </si>
  <si>
    <t>Bannasampige</t>
  </si>
  <si>
    <t>Marva</t>
  </si>
  <si>
    <t>Bannate</t>
  </si>
  <si>
    <t>Kaansurgi</t>
  </si>
  <si>
    <t>Agasalle</t>
  </si>
  <si>
    <t>Dipthiocarpus indica</t>
  </si>
  <si>
    <t>Kendala</t>
  </si>
  <si>
    <t>Jambe</t>
  </si>
  <si>
    <t>Naviladi</t>
  </si>
  <si>
    <t>Sirihonne</t>
  </si>
  <si>
    <t>Salle</t>
  </si>
  <si>
    <t>Bogi</t>
  </si>
  <si>
    <t>Karivala</t>
  </si>
  <si>
    <t>Dalchinni</t>
  </si>
  <si>
    <t>Ficus infectorea</t>
  </si>
  <si>
    <t>Knema attiunata</t>
  </si>
  <si>
    <t>Terminalea paniculata</t>
  </si>
  <si>
    <t>Ixora brachiata</t>
  </si>
  <si>
    <t>Olea dioca</t>
  </si>
  <si>
    <t>Xylea xylocarpa</t>
  </si>
  <si>
    <t>Vitexa altissima</t>
  </si>
  <si>
    <t>Aparosa lindlyana</t>
  </si>
  <si>
    <t>Hopea parvifolea</t>
  </si>
  <si>
    <t>Cinnamomum zalenicum</t>
  </si>
  <si>
    <t>Lophopetalum wightianum</t>
  </si>
  <si>
    <t>Diospyros edenum</t>
  </si>
  <si>
    <t>Callophylum tomentosum</t>
  </si>
  <si>
    <t xml:space="preserve"> Dimocarpus longan</t>
  </si>
  <si>
    <t>Nill</t>
  </si>
  <si>
    <t>360 gm</t>
  </si>
  <si>
    <t>1.3 kg</t>
  </si>
  <si>
    <t>3.7 kg</t>
  </si>
  <si>
    <t>180 gm</t>
  </si>
  <si>
    <t>435 gm</t>
  </si>
  <si>
    <t>5.9 kg</t>
  </si>
  <si>
    <t>145 g m</t>
  </si>
  <si>
    <t>Maddarsa</t>
  </si>
  <si>
    <t>Vaatmadike</t>
  </si>
  <si>
    <t>KaanSurgi</t>
  </si>
  <si>
    <t>Phycotrea dalzelli</t>
  </si>
  <si>
    <t>Tabernaentana montana</t>
  </si>
  <si>
    <t>Kilarmale RF</t>
  </si>
  <si>
    <t>XII-27</t>
  </si>
  <si>
    <t>12.558123°</t>
  </si>
  <si>
    <t xml:space="preserve"> 75.540310°</t>
  </si>
  <si>
    <t xml:space="preserve"> reserve forest</t>
  </si>
  <si>
    <t>284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</si>
</sst>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C13" sqref="C13"/>
    </sheetView>
  </sheetViews>
  <sheetFormatPr defaultColWidth="9.1796875" defaultRowHeight="15.5" x14ac:dyDescent="0.35"/>
  <cols>
    <col min="1" max="1" width="5" style="52" bestFit="1" customWidth="1"/>
    <col min="2" max="2" width="15.7265625" style="52" customWidth="1"/>
    <col min="3" max="3" width="55"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116</v>
      </c>
    </row>
    <row r="7" spans="1:3" ht="31" x14ac:dyDescent="0.35">
      <c r="A7" s="59">
        <v>2</v>
      </c>
      <c r="B7" s="60" t="s">
        <v>27</v>
      </c>
      <c r="C7" s="64" t="s">
        <v>185</v>
      </c>
    </row>
    <row r="8" spans="1:3" x14ac:dyDescent="0.35">
      <c r="A8" s="59">
        <v>3</v>
      </c>
      <c r="B8" s="60" t="s">
        <v>28</v>
      </c>
      <c r="C8" s="64" t="s">
        <v>186</v>
      </c>
    </row>
    <row r="9" spans="1:3" x14ac:dyDescent="0.35">
      <c r="A9" s="59">
        <v>4</v>
      </c>
      <c r="B9" s="60" t="s">
        <v>29</v>
      </c>
      <c r="C9" s="47">
        <v>521</v>
      </c>
    </row>
    <row r="10" spans="1:3" ht="20.25" customHeight="1" x14ac:dyDescent="0.35">
      <c r="A10" s="59">
        <v>5</v>
      </c>
      <c r="B10" s="60" t="s">
        <v>30</v>
      </c>
      <c r="C10" s="65" t="s">
        <v>187</v>
      </c>
    </row>
    <row r="11" spans="1:3" ht="23.25" customHeight="1" x14ac:dyDescent="0.35">
      <c r="A11" s="59"/>
      <c r="B11" s="60" t="s">
        <v>31</v>
      </c>
      <c r="C11" s="65" t="s">
        <v>188</v>
      </c>
    </row>
    <row r="12" spans="1:3" ht="80.25" customHeight="1" x14ac:dyDescent="0.35">
      <c r="A12" s="59">
        <v>7</v>
      </c>
      <c r="B12" s="60" t="s">
        <v>32</v>
      </c>
      <c r="C12" s="47" t="s">
        <v>133</v>
      </c>
    </row>
    <row r="13" spans="1:3" ht="84.75" customHeight="1" x14ac:dyDescent="0.35">
      <c r="A13" s="59">
        <v>8</v>
      </c>
      <c r="B13" s="60" t="s">
        <v>33</v>
      </c>
      <c r="C13" s="66" t="s">
        <v>134</v>
      </c>
    </row>
    <row r="14" spans="1:3" ht="15.75" customHeight="1" x14ac:dyDescent="0.35">
      <c r="A14" s="71">
        <v>9</v>
      </c>
      <c r="B14" s="75" t="s">
        <v>34</v>
      </c>
      <c r="C14" s="66" t="s">
        <v>117</v>
      </c>
    </row>
    <row r="15" spans="1:3" x14ac:dyDescent="0.35">
      <c r="A15" s="72"/>
      <c r="B15" s="76"/>
      <c r="C15" s="66" t="s">
        <v>135</v>
      </c>
    </row>
    <row r="16" spans="1:3" x14ac:dyDescent="0.35">
      <c r="A16" s="72"/>
      <c r="B16" s="76"/>
      <c r="C16" s="66" t="s">
        <v>136</v>
      </c>
    </row>
    <row r="17" spans="1:3" x14ac:dyDescent="0.35">
      <c r="A17" s="72"/>
      <c r="B17" s="76"/>
      <c r="C17" s="66" t="s">
        <v>111</v>
      </c>
    </row>
    <row r="18" spans="1:3" x14ac:dyDescent="0.35">
      <c r="A18" s="72"/>
      <c r="B18" s="76"/>
      <c r="C18" s="68" t="s">
        <v>118</v>
      </c>
    </row>
    <row r="19" spans="1:3" x14ac:dyDescent="0.35">
      <c r="A19" s="72"/>
      <c r="B19" s="76"/>
      <c r="C19" s="66" t="s">
        <v>119</v>
      </c>
    </row>
    <row r="20" spans="1:3" x14ac:dyDescent="0.35">
      <c r="A20" s="72"/>
      <c r="B20" s="76"/>
      <c r="C20" s="66" t="s">
        <v>120</v>
      </c>
    </row>
    <row r="21" spans="1:3" ht="46.5" x14ac:dyDescent="0.35">
      <c r="A21" s="72"/>
      <c r="B21" s="76"/>
      <c r="C21" s="66" t="s">
        <v>121</v>
      </c>
    </row>
    <row r="22" spans="1:3" ht="31" x14ac:dyDescent="0.35">
      <c r="A22" s="72"/>
      <c r="B22" s="76"/>
      <c r="C22" s="66" t="s">
        <v>137</v>
      </c>
    </row>
    <row r="23" spans="1:3" ht="46.5" x14ac:dyDescent="0.35">
      <c r="A23" s="72"/>
      <c r="B23" s="76"/>
      <c r="C23" s="66" t="s">
        <v>122</v>
      </c>
    </row>
    <row r="24" spans="1:3" ht="50.25" customHeight="1" x14ac:dyDescent="0.35">
      <c r="A24" s="72"/>
      <c r="B24" s="76"/>
      <c r="C24" s="66" t="s">
        <v>123</v>
      </c>
    </row>
    <row r="25" spans="1:3" x14ac:dyDescent="0.35">
      <c r="A25" s="72"/>
      <c r="B25" s="76"/>
      <c r="C25" s="66" t="s">
        <v>124</v>
      </c>
    </row>
    <row r="26" spans="1:3" ht="31" x14ac:dyDescent="0.35">
      <c r="A26" s="72"/>
      <c r="B26" s="76"/>
      <c r="C26" s="66" t="s">
        <v>138</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B22" sqref="B22"/>
    </sheetView>
  </sheetViews>
  <sheetFormatPr defaultColWidth="9.1796875" defaultRowHeight="15.5" x14ac:dyDescent="0.35"/>
  <cols>
    <col min="1" max="1" width="4.7265625" style="52" bestFit="1" customWidth="1"/>
    <col min="2" max="2" width="16.453125" style="52" customWidth="1"/>
    <col min="3" max="3" width="50.632812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7" t="s">
        <v>39</v>
      </c>
      <c r="B4" s="77"/>
      <c r="C4" s="77"/>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XII-27</v>
      </c>
    </row>
    <row r="11" spans="1:3" x14ac:dyDescent="0.35">
      <c r="A11" s="59">
        <v>4</v>
      </c>
      <c r="B11" s="60" t="s">
        <v>29</v>
      </c>
      <c r="C11" s="61">
        <f>'Form 1'!C9</f>
        <v>521</v>
      </c>
    </row>
    <row r="12" spans="1:3" x14ac:dyDescent="0.35">
      <c r="A12" s="59">
        <v>5</v>
      </c>
      <c r="B12" s="60" t="s">
        <v>42</v>
      </c>
      <c r="C12" s="61" t="str">
        <f>'Form 1'!C10</f>
        <v>12.558123°</v>
      </c>
    </row>
    <row r="13" spans="1:3" x14ac:dyDescent="0.35">
      <c r="A13" s="59">
        <v>6</v>
      </c>
      <c r="B13" s="60" t="s">
        <v>43</v>
      </c>
      <c r="C13" s="61" t="str">
        <f>'Form 1'!C11</f>
        <v xml:space="preserve"> 75.540310°</v>
      </c>
    </row>
    <row r="14" spans="1:3" x14ac:dyDescent="0.35">
      <c r="A14" s="59">
        <v>7</v>
      </c>
      <c r="B14" s="60" t="s">
        <v>44</v>
      </c>
      <c r="C14" s="61" t="s">
        <v>190</v>
      </c>
    </row>
    <row r="15" spans="1:3" x14ac:dyDescent="0.35">
      <c r="A15" s="59">
        <v>8</v>
      </c>
      <c r="B15" s="60" t="s">
        <v>45</v>
      </c>
      <c r="C15" s="61" t="s">
        <v>189</v>
      </c>
    </row>
    <row r="16" spans="1:3" x14ac:dyDescent="0.35">
      <c r="A16" s="59">
        <v>9</v>
      </c>
      <c r="B16" s="60" t="s">
        <v>46</v>
      </c>
      <c r="C16" s="61" t="s">
        <v>125</v>
      </c>
    </row>
    <row r="17" spans="1:3" ht="31" x14ac:dyDescent="0.35">
      <c r="A17" s="59">
        <v>10</v>
      </c>
      <c r="B17" s="60" t="s">
        <v>47</v>
      </c>
      <c r="C17" s="61" t="s">
        <v>126</v>
      </c>
    </row>
    <row r="18" spans="1:3" x14ac:dyDescent="0.35">
      <c r="A18" s="59">
        <v>11</v>
      </c>
      <c r="B18" s="60" t="s">
        <v>48</v>
      </c>
      <c r="C18" s="62" t="s">
        <v>127</v>
      </c>
    </row>
    <row r="19" spans="1:3" x14ac:dyDescent="0.35">
      <c r="A19" s="59">
        <v>12</v>
      </c>
      <c r="B19" s="60" t="s">
        <v>49</v>
      </c>
      <c r="C19" s="62" t="s">
        <v>139</v>
      </c>
    </row>
    <row r="20" spans="1:3" ht="31" x14ac:dyDescent="0.35">
      <c r="A20" s="59">
        <v>13</v>
      </c>
      <c r="B20" s="60" t="s">
        <v>50</v>
      </c>
      <c r="C20" s="62" t="s">
        <v>113</v>
      </c>
    </row>
    <row r="21" spans="1:3" ht="31" x14ac:dyDescent="0.35">
      <c r="A21" s="59">
        <v>14</v>
      </c>
      <c r="B21" s="60" t="s">
        <v>51</v>
      </c>
      <c r="C21" s="62" t="s">
        <v>128</v>
      </c>
    </row>
    <row r="22" spans="1:3" x14ac:dyDescent="0.35">
      <c r="A22" s="59">
        <v>15</v>
      </c>
      <c r="B22" s="60" t="s">
        <v>52</v>
      </c>
      <c r="C22" s="62" t="s">
        <v>129</v>
      </c>
    </row>
    <row r="23" spans="1:3" ht="31" x14ac:dyDescent="0.35">
      <c r="A23" s="59">
        <v>16</v>
      </c>
      <c r="B23" s="60" t="s">
        <v>53</v>
      </c>
      <c r="C23" s="62" t="s">
        <v>140</v>
      </c>
    </row>
    <row r="24" spans="1:3" ht="31" x14ac:dyDescent="0.35">
      <c r="A24" s="59">
        <v>17</v>
      </c>
      <c r="B24" s="60" t="s">
        <v>54</v>
      </c>
      <c r="C24" s="62" t="s">
        <v>114</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130</v>
      </c>
    </row>
    <row r="28" spans="1:3" ht="31" x14ac:dyDescent="0.35">
      <c r="A28" s="59">
        <v>21</v>
      </c>
      <c r="B28" s="60" t="s">
        <v>58</v>
      </c>
      <c r="C28" s="62" t="s">
        <v>131</v>
      </c>
    </row>
    <row r="29" spans="1:3" ht="31" x14ac:dyDescent="0.35">
      <c r="A29" s="59">
        <v>22</v>
      </c>
      <c r="B29" s="60" t="s">
        <v>59</v>
      </c>
      <c r="C29" s="62" t="s">
        <v>130</v>
      </c>
    </row>
    <row r="30" spans="1:3" x14ac:dyDescent="0.35">
      <c r="A30" s="59">
        <v>23</v>
      </c>
      <c r="B30" s="60" t="s">
        <v>60</v>
      </c>
      <c r="C30" s="62" t="s">
        <v>132</v>
      </c>
    </row>
    <row r="31" spans="1:3" x14ac:dyDescent="0.35">
      <c r="A31" s="59">
        <v>24</v>
      </c>
      <c r="B31" s="60" t="s">
        <v>61</v>
      </c>
      <c r="C31" s="62" t="s">
        <v>112</v>
      </c>
    </row>
    <row r="32" spans="1:3" ht="31" x14ac:dyDescent="0.35">
      <c r="A32" s="59">
        <v>25</v>
      </c>
      <c r="B32" s="60" t="s">
        <v>62</v>
      </c>
      <c r="C32" s="62" t="s">
        <v>115</v>
      </c>
    </row>
    <row r="33" spans="1:3" ht="31" x14ac:dyDescent="0.35">
      <c r="A33" s="59">
        <v>26</v>
      </c>
      <c r="B33" s="60" t="s">
        <v>63</v>
      </c>
      <c r="C33" s="62" t="s">
        <v>112</v>
      </c>
    </row>
    <row r="34" spans="1:3" ht="31" x14ac:dyDescent="0.35">
      <c r="A34" s="59">
        <v>27</v>
      </c>
      <c r="B34" s="60" t="s">
        <v>64</v>
      </c>
      <c r="C34" s="62" t="s">
        <v>141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E50" sqref="E5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t="str">
        <f>'Form II'!C10</f>
        <v>XII-27</v>
      </c>
      <c r="D5" s="96"/>
      <c r="E5" s="102" t="s">
        <v>142</v>
      </c>
      <c r="F5" s="95"/>
      <c r="G5" s="95"/>
      <c r="H5" s="95"/>
      <c r="I5" s="96"/>
      <c r="J5" s="14" t="s">
        <v>4</v>
      </c>
      <c r="K5" s="94"/>
      <c r="L5" s="97"/>
    </row>
    <row r="6" spans="1:12" ht="15.65" customHeight="1" x14ac:dyDescent="0.35">
      <c r="A6" s="98" t="s">
        <v>5</v>
      </c>
      <c r="B6" s="99"/>
      <c r="C6" s="100" t="str">
        <f>'Form 1'!C6</f>
        <v>Subramany</v>
      </c>
      <c r="D6" s="101"/>
      <c r="E6" s="38" t="s">
        <v>101</v>
      </c>
      <c r="F6" s="37"/>
      <c r="G6" s="100" t="str">
        <f>'Form 1'!C3</f>
        <v>Mangalore</v>
      </c>
      <c r="H6" s="100"/>
      <c r="I6" s="101"/>
      <c r="J6" s="15" t="s">
        <v>6</v>
      </c>
      <c r="K6" s="100" t="str">
        <f>'Form II'!C14</f>
        <v>284 m</v>
      </c>
      <c r="L6" s="107"/>
    </row>
    <row r="7" spans="1:12" ht="15.65" customHeight="1" thickBot="1" x14ac:dyDescent="0.4">
      <c r="A7" s="103" t="s">
        <v>7</v>
      </c>
      <c r="B7" s="104"/>
      <c r="C7" s="105" t="str">
        <f>'Form 1'!C10</f>
        <v>12.558123°</v>
      </c>
      <c r="D7" s="106"/>
      <c r="E7" s="16" t="s">
        <v>8</v>
      </c>
      <c r="F7" s="13"/>
      <c r="G7" s="105" t="str">
        <f>'Form 1'!C11</f>
        <v xml:space="preserve"> 75.540310°</v>
      </c>
      <c r="H7" s="105"/>
      <c r="I7" s="106"/>
      <c r="J7" s="16" t="s">
        <v>9</v>
      </c>
      <c r="K7" s="105">
        <f>'Form 1'!C9</f>
        <v>521</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80" t="s">
        <v>11</v>
      </c>
      <c r="C9" s="81"/>
      <c r="D9" s="78" t="s">
        <v>12</v>
      </c>
      <c r="E9" s="78" t="s">
        <v>13</v>
      </c>
      <c r="F9" s="17" t="s">
        <v>14</v>
      </c>
      <c r="G9" s="78" t="s">
        <v>20</v>
      </c>
      <c r="H9" s="86" t="s">
        <v>15</v>
      </c>
      <c r="I9" s="87"/>
      <c r="J9" s="87"/>
      <c r="K9" s="88"/>
      <c r="L9" s="109" t="s">
        <v>16</v>
      </c>
    </row>
    <row r="10" spans="1:12" ht="57" customHeight="1" x14ac:dyDescent="0.35">
      <c r="A10" s="112"/>
      <c r="B10" s="82"/>
      <c r="C10" s="83"/>
      <c r="D10" s="79"/>
      <c r="E10" s="79"/>
      <c r="F10" s="18" t="s">
        <v>17</v>
      </c>
      <c r="G10" s="79"/>
      <c r="H10" s="84" t="s">
        <v>18</v>
      </c>
      <c r="I10" s="85"/>
      <c r="J10" s="84" t="s">
        <v>19</v>
      </c>
      <c r="K10" s="85"/>
      <c r="L10" s="110"/>
    </row>
    <row r="11" spans="1:12" ht="15.65" customHeight="1" x14ac:dyDescent="0.35">
      <c r="A11" s="11">
        <v>1</v>
      </c>
      <c r="B11" s="89" t="s">
        <v>158</v>
      </c>
      <c r="C11" s="90"/>
      <c r="D11" s="3" t="s">
        <v>143</v>
      </c>
      <c r="E11" s="41">
        <v>218</v>
      </c>
      <c r="F11" s="41"/>
      <c r="G11" s="41">
        <v>15</v>
      </c>
      <c r="H11" s="113"/>
      <c r="I11" s="114"/>
      <c r="J11" s="119"/>
      <c r="K11" s="120"/>
      <c r="L11" s="12"/>
    </row>
    <row r="12" spans="1:12" ht="15.65" customHeight="1" x14ac:dyDescent="0.35">
      <c r="A12" s="11">
        <v>2</v>
      </c>
      <c r="B12" s="89" t="s">
        <v>159</v>
      </c>
      <c r="C12" s="90"/>
      <c r="D12" s="4" t="s">
        <v>144</v>
      </c>
      <c r="E12" s="41">
        <v>44</v>
      </c>
      <c r="F12" s="41"/>
      <c r="G12" s="41">
        <v>7</v>
      </c>
      <c r="H12" s="113"/>
      <c r="I12" s="114"/>
      <c r="J12" s="119"/>
      <c r="K12" s="120"/>
      <c r="L12" s="12"/>
    </row>
    <row r="13" spans="1:12" ht="15.65" customHeight="1" x14ac:dyDescent="0.35">
      <c r="A13" s="11">
        <v>3</v>
      </c>
      <c r="B13" s="89" t="s">
        <v>160</v>
      </c>
      <c r="C13" s="90"/>
      <c r="D13" s="3" t="s">
        <v>145</v>
      </c>
      <c r="E13" s="41">
        <v>188</v>
      </c>
      <c r="F13" s="41"/>
      <c r="G13" s="41">
        <v>4</v>
      </c>
      <c r="H13" s="113"/>
      <c r="I13" s="114"/>
      <c r="J13" s="119"/>
      <c r="K13" s="120"/>
      <c r="L13" s="12"/>
    </row>
    <row r="14" spans="1:12" ht="15.65" customHeight="1" x14ac:dyDescent="0.35">
      <c r="A14" s="11">
        <v>4</v>
      </c>
      <c r="B14" s="89" t="s">
        <v>168</v>
      </c>
      <c r="C14" s="90"/>
      <c r="D14" s="3" t="s">
        <v>146</v>
      </c>
      <c r="E14" s="41">
        <v>208</v>
      </c>
      <c r="F14" s="41"/>
      <c r="G14" s="41">
        <v>20</v>
      </c>
      <c r="H14" s="113"/>
      <c r="I14" s="114"/>
      <c r="J14" s="119"/>
      <c r="K14" s="120"/>
      <c r="L14" s="12"/>
    </row>
    <row r="15" spans="1:12" ht="15.65" customHeight="1" x14ac:dyDescent="0.35">
      <c r="A15" s="11">
        <v>5</v>
      </c>
      <c r="B15" s="89" t="s">
        <v>159</v>
      </c>
      <c r="C15" s="90"/>
      <c r="D15" s="7" t="s">
        <v>144</v>
      </c>
      <c r="E15" s="42">
        <v>114</v>
      </c>
      <c r="F15" s="41"/>
      <c r="G15" s="41">
        <v>16</v>
      </c>
      <c r="H15" s="113"/>
      <c r="I15" s="114"/>
      <c r="J15" s="119"/>
      <c r="K15" s="120"/>
      <c r="L15" s="12"/>
    </row>
    <row r="16" spans="1:12" ht="15.65" customHeight="1" x14ac:dyDescent="0.35">
      <c r="A16" s="11">
        <v>6</v>
      </c>
      <c r="B16" s="89" t="s">
        <v>159</v>
      </c>
      <c r="C16" s="90"/>
      <c r="D16" s="4" t="s">
        <v>144</v>
      </c>
      <c r="E16" s="41">
        <v>63</v>
      </c>
      <c r="F16" s="42"/>
      <c r="G16" s="42">
        <v>11</v>
      </c>
      <c r="H16" s="117"/>
      <c r="I16" s="118"/>
      <c r="J16" s="119"/>
      <c r="K16" s="120"/>
      <c r="L16" s="12"/>
    </row>
    <row r="17" spans="1:12" ht="15.65" customHeight="1" x14ac:dyDescent="0.35">
      <c r="A17" s="11">
        <v>7</v>
      </c>
      <c r="B17" s="89" t="s">
        <v>161</v>
      </c>
      <c r="C17" s="90"/>
      <c r="D17" s="7" t="s">
        <v>147</v>
      </c>
      <c r="E17" s="41">
        <v>66</v>
      </c>
      <c r="F17" s="42"/>
      <c r="G17" s="42">
        <v>8</v>
      </c>
      <c r="H17" s="117"/>
      <c r="I17" s="118"/>
      <c r="J17" s="119"/>
      <c r="K17" s="120"/>
      <c r="L17" s="12"/>
    </row>
    <row r="18" spans="1:12" ht="15.65" customHeight="1" x14ac:dyDescent="0.35">
      <c r="A18" s="11">
        <v>8</v>
      </c>
      <c r="B18" s="89" t="s">
        <v>162</v>
      </c>
      <c r="C18" s="90"/>
      <c r="D18" s="3" t="s">
        <v>148</v>
      </c>
      <c r="E18" s="41">
        <v>99</v>
      </c>
      <c r="F18" s="42"/>
      <c r="G18" s="42">
        <v>12</v>
      </c>
      <c r="H18" s="117"/>
      <c r="I18" s="118"/>
      <c r="J18" s="119"/>
      <c r="K18" s="120"/>
      <c r="L18" s="12"/>
    </row>
    <row r="19" spans="1:12" ht="15.5" x14ac:dyDescent="0.35">
      <c r="A19" s="11">
        <v>9</v>
      </c>
      <c r="B19" s="89" t="s">
        <v>160</v>
      </c>
      <c r="C19" s="90"/>
      <c r="D19" s="19" t="s">
        <v>145</v>
      </c>
      <c r="E19" s="41">
        <v>273</v>
      </c>
      <c r="F19" s="42"/>
      <c r="G19" s="42">
        <v>18</v>
      </c>
      <c r="H19" s="117"/>
      <c r="I19" s="118"/>
      <c r="J19" s="119"/>
      <c r="K19" s="120"/>
      <c r="L19" s="12"/>
    </row>
    <row r="20" spans="1:12" ht="15.65" customHeight="1" x14ac:dyDescent="0.35">
      <c r="A20" s="11">
        <v>10</v>
      </c>
      <c r="B20" s="89" t="s">
        <v>149</v>
      </c>
      <c r="C20" s="90"/>
      <c r="D20" s="4"/>
      <c r="E20" s="41">
        <v>68</v>
      </c>
      <c r="F20" s="42"/>
      <c r="G20" s="42">
        <v>7</v>
      </c>
      <c r="H20" s="117"/>
      <c r="I20" s="118"/>
      <c r="J20" s="119"/>
      <c r="K20" s="120"/>
      <c r="L20" s="12"/>
    </row>
    <row r="21" spans="1:12" ht="15.65" customHeight="1" x14ac:dyDescent="0.35">
      <c r="A21" s="11">
        <v>11</v>
      </c>
      <c r="B21" s="89" t="s">
        <v>171</v>
      </c>
      <c r="C21" s="90"/>
      <c r="D21" s="7" t="s">
        <v>150</v>
      </c>
      <c r="E21" s="41">
        <v>71</v>
      </c>
      <c r="F21" s="42"/>
      <c r="G21" s="42">
        <v>12</v>
      </c>
      <c r="H21" s="117"/>
      <c r="I21" s="118"/>
      <c r="J21" s="119"/>
      <c r="K21" s="120"/>
      <c r="L21" s="12"/>
    </row>
    <row r="22" spans="1:12" ht="15.65" customHeight="1" x14ac:dyDescent="0.35">
      <c r="A22" s="11">
        <v>12</v>
      </c>
      <c r="B22" s="89" t="s">
        <v>163</v>
      </c>
      <c r="C22" s="90"/>
      <c r="D22" s="7" t="s">
        <v>151</v>
      </c>
      <c r="E22" s="41">
        <v>50</v>
      </c>
      <c r="F22" s="42"/>
      <c r="G22" s="42">
        <v>10</v>
      </c>
      <c r="H22" s="117"/>
      <c r="I22" s="118"/>
      <c r="J22" s="119"/>
      <c r="K22" s="120"/>
      <c r="L22" s="12"/>
    </row>
    <row r="23" spans="1:12" ht="15.65" customHeight="1" x14ac:dyDescent="0.35">
      <c r="A23" s="11">
        <v>13</v>
      </c>
      <c r="B23" s="89" t="s">
        <v>163</v>
      </c>
      <c r="C23" s="90"/>
      <c r="D23" s="3" t="s">
        <v>151</v>
      </c>
      <c r="E23" s="41">
        <v>53</v>
      </c>
      <c r="F23" s="42"/>
      <c r="G23" s="42">
        <v>12</v>
      </c>
      <c r="H23" s="117"/>
      <c r="I23" s="118"/>
      <c r="J23" s="119"/>
      <c r="K23" s="120"/>
      <c r="L23" s="12"/>
    </row>
    <row r="24" spans="1:12" ht="15.65" customHeight="1" x14ac:dyDescent="0.35">
      <c r="A24" s="11">
        <v>14</v>
      </c>
      <c r="B24" s="89" t="s">
        <v>161</v>
      </c>
      <c r="C24" s="90"/>
      <c r="D24" s="3" t="s">
        <v>147</v>
      </c>
      <c r="E24" s="41">
        <v>41</v>
      </c>
      <c r="F24" s="42"/>
      <c r="G24" s="42">
        <v>6</v>
      </c>
      <c r="H24" s="117"/>
      <c r="I24" s="118"/>
      <c r="J24" s="119"/>
      <c r="K24" s="120"/>
      <c r="L24" s="12"/>
    </row>
    <row r="25" spans="1:12" ht="15.65" customHeight="1" x14ac:dyDescent="0.35">
      <c r="A25" s="11">
        <v>15</v>
      </c>
      <c r="B25" s="89" t="s">
        <v>159</v>
      </c>
      <c r="C25" s="90"/>
      <c r="D25" s="4" t="s">
        <v>144</v>
      </c>
      <c r="E25" s="41">
        <v>72</v>
      </c>
      <c r="F25" s="42"/>
      <c r="G25" s="42">
        <v>13</v>
      </c>
      <c r="H25" s="117"/>
      <c r="I25" s="118"/>
      <c r="J25" s="119"/>
      <c r="K25" s="120"/>
      <c r="L25" s="12"/>
    </row>
    <row r="26" spans="1:12" ht="15.65" customHeight="1" x14ac:dyDescent="0.35">
      <c r="A26" s="11">
        <v>16</v>
      </c>
      <c r="B26" s="89" t="s">
        <v>164</v>
      </c>
      <c r="C26" s="90"/>
      <c r="D26" s="4" t="s">
        <v>152</v>
      </c>
      <c r="E26" s="41">
        <v>299</v>
      </c>
      <c r="F26" s="42"/>
      <c r="G26" s="42">
        <v>18</v>
      </c>
      <c r="H26" s="117"/>
      <c r="I26" s="118"/>
      <c r="J26" s="119"/>
      <c r="K26" s="120"/>
      <c r="L26" s="12"/>
    </row>
    <row r="27" spans="1:12" ht="15.65" customHeight="1" x14ac:dyDescent="0.35">
      <c r="A27" s="11">
        <v>17</v>
      </c>
      <c r="B27" s="89" t="s">
        <v>170</v>
      </c>
      <c r="C27" s="90"/>
      <c r="D27" s="4" t="s">
        <v>153</v>
      </c>
      <c r="E27" s="41">
        <v>138</v>
      </c>
      <c r="F27" s="42"/>
      <c r="G27" s="42">
        <v>18</v>
      </c>
      <c r="H27" s="117"/>
      <c r="I27" s="118"/>
      <c r="J27" s="119"/>
      <c r="K27" s="120"/>
      <c r="L27" s="12"/>
    </row>
    <row r="28" spans="1:12" ht="15.65" customHeight="1" x14ac:dyDescent="0.35">
      <c r="A28" s="11">
        <v>18</v>
      </c>
      <c r="B28" s="89" t="s">
        <v>163</v>
      </c>
      <c r="C28" s="90"/>
      <c r="D28" s="3" t="s">
        <v>151</v>
      </c>
      <c r="E28" s="41">
        <v>160</v>
      </c>
      <c r="F28" s="42"/>
      <c r="G28" s="42">
        <v>16</v>
      </c>
      <c r="H28" s="117"/>
      <c r="I28" s="118"/>
      <c r="J28" s="119"/>
      <c r="K28" s="120"/>
      <c r="L28" s="12"/>
    </row>
    <row r="29" spans="1:12" ht="15.65" customHeight="1" x14ac:dyDescent="0.35">
      <c r="A29" s="11">
        <v>19</v>
      </c>
      <c r="B29" s="89" t="s">
        <v>168</v>
      </c>
      <c r="C29" s="90"/>
      <c r="D29" s="8" t="s">
        <v>146</v>
      </c>
      <c r="E29" s="41">
        <v>129</v>
      </c>
      <c r="F29" s="42"/>
      <c r="G29" s="42">
        <v>17</v>
      </c>
      <c r="H29" s="117"/>
      <c r="I29" s="118"/>
      <c r="J29" s="119"/>
      <c r="K29" s="120"/>
      <c r="L29" s="12"/>
    </row>
    <row r="30" spans="1:12" ht="15.65" customHeight="1" x14ac:dyDescent="0.35">
      <c r="A30" s="11">
        <v>20</v>
      </c>
      <c r="B30" s="89" t="s">
        <v>170</v>
      </c>
      <c r="C30" s="90"/>
      <c r="D30" s="7" t="s">
        <v>153</v>
      </c>
      <c r="E30" s="41">
        <v>133</v>
      </c>
      <c r="F30" s="42"/>
      <c r="G30" s="42">
        <v>18</v>
      </c>
      <c r="H30" s="117"/>
      <c r="I30" s="118"/>
      <c r="J30" s="119"/>
      <c r="K30" s="120"/>
      <c r="L30" s="12"/>
    </row>
    <row r="31" spans="1:12" ht="15.65" customHeight="1" x14ac:dyDescent="0.35">
      <c r="A31" s="11">
        <v>21</v>
      </c>
      <c r="B31" s="89" t="s">
        <v>165</v>
      </c>
      <c r="C31" s="90"/>
      <c r="D31" s="8" t="s">
        <v>154</v>
      </c>
      <c r="E31" s="41">
        <v>45</v>
      </c>
      <c r="F31" s="42"/>
      <c r="G31" s="42">
        <v>6</v>
      </c>
      <c r="H31" s="117"/>
      <c r="I31" s="118"/>
      <c r="J31" s="119"/>
      <c r="K31" s="120"/>
      <c r="L31" s="12"/>
    </row>
    <row r="32" spans="1:12" ht="15.65" customHeight="1" x14ac:dyDescent="0.35">
      <c r="A32" s="11">
        <v>22</v>
      </c>
      <c r="B32" s="89" t="s">
        <v>165</v>
      </c>
      <c r="C32" s="90"/>
      <c r="D32" s="8" t="s">
        <v>154</v>
      </c>
      <c r="E32" s="41">
        <v>32</v>
      </c>
      <c r="F32" s="42"/>
      <c r="G32" s="42">
        <v>7</v>
      </c>
      <c r="H32" s="117"/>
      <c r="I32" s="118"/>
      <c r="J32" s="119"/>
      <c r="K32" s="120"/>
      <c r="L32" s="12"/>
    </row>
    <row r="33" spans="1:12" ht="15.65" customHeight="1" x14ac:dyDescent="0.35">
      <c r="A33" s="11">
        <v>23</v>
      </c>
      <c r="B33" s="89" t="s">
        <v>168</v>
      </c>
      <c r="C33" s="90"/>
      <c r="D33" s="4" t="s">
        <v>146</v>
      </c>
      <c r="E33" s="41">
        <v>175</v>
      </c>
      <c r="F33" s="42"/>
      <c r="G33" s="42">
        <v>18</v>
      </c>
      <c r="H33" s="117"/>
      <c r="I33" s="118"/>
      <c r="J33" s="119"/>
      <c r="K33" s="120"/>
      <c r="L33" s="12"/>
    </row>
    <row r="34" spans="1:12" ht="15.65" customHeight="1" x14ac:dyDescent="0.35">
      <c r="A34" s="11">
        <v>24</v>
      </c>
      <c r="B34" s="89" t="s">
        <v>166</v>
      </c>
      <c r="C34" s="90"/>
      <c r="D34" s="4" t="s">
        <v>155</v>
      </c>
      <c r="E34" s="41">
        <v>229</v>
      </c>
      <c r="F34" s="42"/>
      <c r="G34" s="42">
        <v>18</v>
      </c>
      <c r="H34" s="117"/>
      <c r="I34" s="118"/>
      <c r="J34" s="119"/>
      <c r="K34" s="120"/>
      <c r="L34" s="12"/>
    </row>
    <row r="35" spans="1:12" ht="15.65" customHeight="1" x14ac:dyDescent="0.35">
      <c r="A35" s="11">
        <v>25</v>
      </c>
      <c r="B35" s="89" t="s">
        <v>166</v>
      </c>
      <c r="C35" s="90"/>
      <c r="D35" s="4" t="s">
        <v>155</v>
      </c>
      <c r="E35" s="41">
        <v>70</v>
      </c>
      <c r="F35" s="42"/>
      <c r="G35" s="42">
        <v>14</v>
      </c>
      <c r="H35" s="117"/>
      <c r="I35" s="118"/>
      <c r="J35" s="119"/>
      <c r="K35" s="120"/>
      <c r="L35" s="12"/>
    </row>
    <row r="36" spans="1:12" ht="15.65" customHeight="1" x14ac:dyDescent="0.35">
      <c r="A36" s="11">
        <v>26</v>
      </c>
      <c r="B36" s="89" t="s">
        <v>160</v>
      </c>
      <c r="C36" s="90"/>
      <c r="D36" s="4" t="s">
        <v>145</v>
      </c>
      <c r="E36" s="41">
        <v>117</v>
      </c>
      <c r="F36" s="42"/>
      <c r="G36" s="42">
        <v>16</v>
      </c>
      <c r="H36" s="117"/>
      <c r="I36" s="118"/>
      <c r="J36" s="119"/>
      <c r="K36" s="120"/>
      <c r="L36" s="12"/>
    </row>
    <row r="37" spans="1:12" ht="15.65" customHeight="1" x14ac:dyDescent="0.35">
      <c r="A37" s="11">
        <v>27</v>
      </c>
      <c r="B37" s="89" t="s">
        <v>166</v>
      </c>
      <c r="C37" s="90"/>
      <c r="D37" s="4" t="s">
        <v>155</v>
      </c>
      <c r="E37" s="41">
        <v>218</v>
      </c>
      <c r="F37" s="42"/>
      <c r="G37" s="42">
        <v>20</v>
      </c>
      <c r="H37" s="117"/>
      <c r="I37" s="118"/>
      <c r="J37" s="119"/>
      <c r="K37" s="120"/>
      <c r="L37" s="12"/>
    </row>
    <row r="38" spans="1:12" ht="15.65" customHeight="1" x14ac:dyDescent="0.35">
      <c r="A38" s="11">
        <v>28</v>
      </c>
      <c r="B38" s="115" t="s">
        <v>165</v>
      </c>
      <c r="C38" s="116"/>
      <c r="D38" s="4" t="s">
        <v>154</v>
      </c>
      <c r="E38" s="41">
        <v>96</v>
      </c>
      <c r="F38" s="42"/>
      <c r="G38" s="42">
        <v>12</v>
      </c>
      <c r="H38" s="117"/>
      <c r="I38" s="118"/>
      <c r="J38" s="119"/>
      <c r="K38" s="120"/>
      <c r="L38" s="12"/>
    </row>
    <row r="39" spans="1:12" ht="15.65" customHeight="1" x14ac:dyDescent="0.35">
      <c r="A39" s="11">
        <v>29</v>
      </c>
      <c r="B39" s="115" t="s">
        <v>168</v>
      </c>
      <c r="C39" s="116"/>
      <c r="D39" s="4" t="s">
        <v>146</v>
      </c>
      <c r="E39" s="41">
        <v>160</v>
      </c>
      <c r="F39" s="42"/>
      <c r="G39" s="42">
        <v>10</v>
      </c>
      <c r="H39" s="117"/>
      <c r="I39" s="118"/>
      <c r="J39" s="119"/>
      <c r="K39" s="120"/>
      <c r="L39" s="12"/>
    </row>
    <row r="40" spans="1:12" ht="15.65" customHeight="1" x14ac:dyDescent="0.35">
      <c r="A40" s="11">
        <v>30</v>
      </c>
      <c r="B40" s="115" t="s">
        <v>168</v>
      </c>
      <c r="C40" s="116"/>
      <c r="D40" s="4" t="s">
        <v>146</v>
      </c>
      <c r="E40" s="41">
        <v>218</v>
      </c>
      <c r="F40" s="42"/>
      <c r="G40" s="42">
        <v>18</v>
      </c>
      <c r="H40" s="117"/>
      <c r="I40" s="118"/>
      <c r="J40" s="119"/>
      <c r="K40" s="120"/>
      <c r="L40" s="12"/>
    </row>
    <row r="41" spans="1:12" ht="15.65" customHeight="1" x14ac:dyDescent="0.35">
      <c r="A41" s="11">
        <v>31</v>
      </c>
      <c r="B41" s="115" t="s">
        <v>166</v>
      </c>
      <c r="C41" s="116"/>
      <c r="D41" s="4" t="s">
        <v>155</v>
      </c>
      <c r="E41" s="41">
        <v>67</v>
      </c>
      <c r="F41" s="42"/>
      <c r="G41" s="42">
        <v>13</v>
      </c>
      <c r="H41" s="117"/>
      <c r="I41" s="118"/>
      <c r="J41" s="119"/>
      <c r="K41" s="120"/>
      <c r="L41" s="12"/>
    </row>
    <row r="42" spans="1:12" ht="15.65" customHeight="1" x14ac:dyDescent="0.35">
      <c r="A42" s="11">
        <v>32</v>
      </c>
      <c r="B42" s="115" t="s">
        <v>161</v>
      </c>
      <c r="C42" s="116"/>
      <c r="D42" s="4" t="s">
        <v>147</v>
      </c>
      <c r="E42" s="41">
        <v>55</v>
      </c>
      <c r="F42" s="42"/>
      <c r="G42" s="42">
        <v>6</v>
      </c>
      <c r="H42" s="48"/>
      <c r="I42" s="49"/>
      <c r="J42" s="50"/>
      <c r="K42" s="51"/>
      <c r="L42" s="12"/>
    </row>
    <row r="43" spans="1:12" ht="15.65" customHeight="1" x14ac:dyDescent="0.35">
      <c r="A43" s="11">
        <v>33</v>
      </c>
      <c r="B43" s="115" t="s">
        <v>169</v>
      </c>
      <c r="C43" s="116"/>
      <c r="D43" s="4" t="s">
        <v>156</v>
      </c>
      <c r="E43" s="41">
        <v>42</v>
      </c>
      <c r="F43" s="42"/>
      <c r="G43" s="42">
        <v>8</v>
      </c>
      <c r="H43" s="48"/>
      <c r="I43" s="49"/>
      <c r="J43" s="50"/>
      <c r="K43" s="51"/>
      <c r="L43" s="12"/>
    </row>
    <row r="44" spans="1:12" ht="15.65" customHeight="1" x14ac:dyDescent="0.35">
      <c r="A44" s="11">
        <v>34</v>
      </c>
      <c r="B44" s="115" t="s">
        <v>166</v>
      </c>
      <c r="C44" s="116"/>
      <c r="D44" s="4" t="s">
        <v>155</v>
      </c>
      <c r="E44" s="41">
        <v>252</v>
      </c>
      <c r="F44" s="42"/>
      <c r="G44" s="42">
        <v>20</v>
      </c>
      <c r="H44" s="48"/>
      <c r="I44" s="49"/>
      <c r="J44" s="50"/>
      <c r="K44" s="51"/>
      <c r="L44" s="12"/>
    </row>
    <row r="45" spans="1:12" ht="15.65" customHeight="1" x14ac:dyDescent="0.35">
      <c r="A45" s="11">
        <v>35</v>
      </c>
      <c r="B45" s="115" t="s">
        <v>163</v>
      </c>
      <c r="C45" s="116"/>
      <c r="D45" s="4" t="s">
        <v>151</v>
      </c>
      <c r="E45" s="41">
        <v>148</v>
      </c>
      <c r="F45" s="42"/>
      <c r="G45" s="42">
        <v>16</v>
      </c>
      <c r="H45" s="48"/>
      <c r="I45" s="49"/>
      <c r="J45" s="50"/>
      <c r="K45" s="51"/>
      <c r="L45" s="12"/>
    </row>
    <row r="46" spans="1:12" ht="15.65" customHeight="1" x14ac:dyDescent="0.35">
      <c r="A46" s="11">
        <v>36</v>
      </c>
      <c r="B46" s="115" t="s">
        <v>160</v>
      </c>
      <c r="C46" s="116"/>
      <c r="D46" s="4" t="s">
        <v>145</v>
      </c>
      <c r="E46" s="41">
        <v>278</v>
      </c>
      <c r="F46" s="42"/>
      <c r="G46" s="42">
        <v>16</v>
      </c>
      <c r="H46" s="48"/>
      <c r="I46" s="49"/>
      <c r="J46" s="50"/>
      <c r="K46" s="51"/>
      <c r="L46" s="12"/>
    </row>
    <row r="47" spans="1:12" ht="15.65" customHeight="1" x14ac:dyDescent="0.35">
      <c r="A47" s="11">
        <v>37</v>
      </c>
      <c r="B47" s="115" t="s">
        <v>162</v>
      </c>
      <c r="C47" s="116"/>
      <c r="D47" s="4" t="s">
        <v>148</v>
      </c>
      <c r="E47" s="41">
        <v>149</v>
      </c>
      <c r="F47" s="42"/>
      <c r="G47" s="42">
        <v>15</v>
      </c>
      <c r="H47" s="48"/>
      <c r="I47" s="49"/>
      <c r="J47" s="50"/>
      <c r="K47" s="51"/>
      <c r="L47" s="12"/>
    </row>
    <row r="48" spans="1:12" ht="15.65" customHeight="1" x14ac:dyDescent="0.35">
      <c r="A48" s="11">
        <v>38</v>
      </c>
      <c r="B48" s="115" t="s">
        <v>167</v>
      </c>
      <c r="C48" s="116"/>
      <c r="D48" s="4" t="s">
        <v>157</v>
      </c>
      <c r="E48" s="41">
        <v>64</v>
      </c>
      <c r="F48" s="42"/>
      <c r="G48" s="42">
        <v>12</v>
      </c>
      <c r="H48" s="48"/>
      <c r="I48" s="49"/>
      <c r="J48" s="50"/>
      <c r="K48" s="51"/>
      <c r="L48" s="12"/>
    </row>
    <row r="49" spans="1:12" ht="15.65" customHeight="1" x14ac:dyDescent="0.35">
      <c r="A49" s="11">
        <v>39</v>
      </c>
      <c r="B49" s="115" t="s">
        <v>169</v>
      </c>
      <c r="C49" s="116"/>
      <c r="D49" s="4" t="s">
        <v>156</v>
      </c>
      <c r="E49" s="41">
        <v>64</v>
      </c>
      <c r="F49" s="42"/>
      <c r="G49" s="42">
        <v>12</v>
      </c>
      <c r="H49" s="48"/>
      <c r="I49" s="49"/>
      <c r="J49" s="50"/>
      <c r="K49" s="51"/>
      <c r="L49" s="12"/>
    </row>
    <row r="50" spans="1:12" ht="15.65" customHeight="1" x14ac:dyDescent="0.35">
      <c r="A50" s="11">
        <v>40</v>
      </c>
      <c r="B50" s="115" t="s">
        <v>165</v>
      </c>
      <c r="C50" s="116"/>
      <c r="D50" s="4" t="s">
        <v>154</v>
      </c>
      <c r="E50" s="41">
        <v>44</v>
      </c>
      <c r="F50" s="42"/>
      <c r="G50" s="42">
        <v>9</v>
      </c>
      <c r="H50" s="48"/>
      <c r="I50" s="49"/>
      <c r="J50" s="50"/>
      <c r="K50" s="51"/>
      <c r="L50" s="12"/>
    </row>
    <row r="51" spans="1:12" ht="15.65" customHeight="1" x14ac:dyDescent="0.35">
      <c r="A51" s="11">
        <v>41</v>
      </c>
      <c r="B51" s="115" t="s">
        <v>169</v>
      </c>
      <c r="C51" s="116"/>
      <c r="D51" s="4" t="s">
        <v>156</v>
      </c>
      <c r="E51" s="41">
        <v>44</v>
      </c>
      <c r="F51" s="42"/>
      <c r="G51" s="42">
        <v>9</v>
      </c>
      <c r="H51" s="48"/>
      <c r="I51" s="49"/>
      <c r="J51" s="50"/>
      <c r="K51" s="51"/>
      <c r="L51" s="12"/>
    </row>
  </sheetData>
  <mergeCells count="12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2" sqref="E12"/>
    </sheetView>
  </sheetViews>
  <sheetFormatPr defaultRowHeight="14.5" x14ac:dyDescent="0.35"/>
  <cols>
    <col min="1" max="1" width="3.90625" customWidth="1"/>
    <col min="2" max="2" width="9.54296875" customWidth="1"/>
    <col min="3" max="3" width="9.36328125" customWidth="1"/>
    <col min="4" max="4" width="7.7265625" customWidth="1"/>
    <col min="5" max="13" width="4.269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5" t="s">
        <v>77</v>
      </c>
      <c r="F7" s="136"/>
      <c r="G7" s="137"/>
      <c r="H7" s="135" t="s">
        <v>78</v>
      </c>
      <c r="I7" s="136"/>
      <c r="J7" s="137"/>
      <c r="K7" s="135" t="s">
        <v>77</v>
      </c>
      <c r="L7" s="136"/>
      <c r="M7" s="13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9">
        <v>1</v>
      </c>
      <c r="B9" s="132" t="s">
        <v>172</v>
      </c>
      <c r="C9" s="133"/>
      <c r="D9" s="133"/>
      <c r="E9" s="133"/>
      <c r="F9" s="133"/>
      <c r="G9" s="133"/>
      <c r="H9" s="133"/>
      <c r="I9" s="133"/>
      <c r="J9" s="133"/>
      <c r="K9" s="133"/>
      <c r="L9" s="133"/>
      <c r="M9" s="133"/>
      <c r="N9" s="133"/>
      <c r="O9" s="133"/>
      <c r="P9" s="133"/>
      <c r="Q9" s="134"/>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10" workbookViewId="0">
      <selection activeCell="B13" sqref="B1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8"/>
      <c r="B2" s="138"/>
      <c r="H2" t="s">
        <v>83</v>
      </c>
      <c r="I2" s="10">
        <f>'Form 1'!C9</f>
        <v>521</v>
      </c>
    </row>
    <row r="3" spans="1:9" ht="24" customHeight="1" x14ac:dyDescent="0.35">
      <c r="A3" s="139" t="s">
        <v>10</v>
      </c>
      <c r="B3" s="139" t="s">
        <v>11</v>
      </c>
      <c r="C3" s="139" t="s">
        <v>12</v>
      </c>
      <c r="D3" s="139" t="s">
        <v>84</v>
      </c>
      <c r="E3" s="139" t="s">
        <v>108</v>
      </c>
      <c r="F3" s="139" t="s">
        <v>85</v>
      </c>
      <c r="G3" s="84" t="s">
        <v>15</v>
      </c>
      <c r="H3" s="85"/>
      <c r="I3" s="139" t="s">
        <v>86</v>
      </c>
    </row>
    <row r="4" spans="1:9" ht="60" x14ac:dyDescent="0.35">
      <c r="A4" s="140"/>
      <c r="B4" s="140"/>
      <c r="C4" s="140"/>
      <c r="D4" s="140"/>
      <c r="E4" s="140"/>
      <c r="F4" s="140"/>
      <c r="G4" s="20" t="s">
        <v>87</v>
      </c>
      <c r="H4" s="20" t="s">
        <v>19</v>
      </c>
      <c r="I4" s="140"/>
    </row>
    <row r="5" spans="1:9" ht="15.65" customHeight="1" x14ac:dyDescent="0.35">
      <c r="A5" s="23">
        <v>1</v>
      </c>
      <c r="B5" s="46" t="s">
        <v>165</v>
      </c>
      <c r="C5" s="4" t="s">
        <v>154</v>
      </c>
      <c r="D5" s="4"/>
      <c r="E5" s="4">
        <v>32.6</v>
      </c>
      <c r="F5" s="42">
        <v>2</v>
      </c>
      <c r="G5" s="23"/>
      <c r="H5" s="23"/>
      <c r="I5" s="23"/>
    </row>
    <row r="6" spans="1:9" ht="15.65" customHeight="1" x14ac:dyDescent="0.35">
      <c r="A6" s="23">
        <v>2</v>
      </c>
      <c r="B6" s="46" t="s">
        <v>166</v>
      </c>
      <c r="C6" s="4" t="s">
        <v>155</v>
      </c>
      <c r="D6" s="4"/>
      <c r="E6" s="4">
        <v>28.2</v>
      </c>
      <c r="F6" s="42">
        <v>2.5</v>
      </c>
      <c r="G6" s="23"/>
      <c r="H6" s="23"/>
      <c r="I6" s="23"/>
    </row>
    <row r="7" spans="1:9" ht="15.5" x14ac:dyDescent="0.35">
      <c r="A7" s="25"/>
      <c r="B7" s="26"/>
      <c r="C7" s="27"/>
      <c r="D7" s="28"/>
      <c r="E7" s="28"/>
      <c r="F7" s="28"/>
      <c r="G7" s="25"/>
      <c r="H7" s="25"/>
      <c r="I7" s="25"/>
    </row>
    <row r="8" spans="1:9" ht="21" x14ac:dyDescent="0.35">
      <c r="A8" s="121" t="s">
        <v>88</v>
      </c>
      <c r="B8" s="121"/>
      <c r="C8" s="121"/>
      <c r="D8" s="121"/>
      <c r="E8" s="121"/>
      <c r="F8" s="121"/>
      <c r="G8" s="121"/>
      <c r="H8" s="121"/>
      <c r="I8" s="121"/>
    </row>
    <row r="9" spans="1:9" ht="15.5" x14ac:dyDescent="0.35">
      <c r="A9" s="141"/>
      <c r="B9" s="141"/>
      <c r="H9" t="s">
        <v>83</v>
      </c>
      <c r="I9" s="10">
        <f>'Form 1'!C9</f>
        <v>521</v>
      </c>
    </row>
    <row r="10" spans="1:9" ht="15.75" customHeight="1" x14ac:dyDescent="0.35">
      <c r="A10" s="79" t="s">
        <v>10</v>
      </c>
      <c r="B10" s="79" t="s">
        <v>11</v>
      </c>
      <c r="C10" s="79" t="s">
        <v>12</v>
      </c>
      <c r="D10" s="79" t="s">
        <v>84</v>
      </c>
      <c r="E10" s="139" t="s">
        <v>108</v>
      </c>
      <c r="F10" s="79" t="s">
        <v>85</v>
      </c>
      <c r="G10" s="79" t="s">
        <v>15</v>
      </c>
      <c r="H10" s="79"/>
      <c r="I10" s="139" t="s">
        <v>86</v>
      </c>
    </row>
    <row r="11" spans="1:9" ht="60" x14ac:dyDescent="0.35">
      <c r="A11" s="79"/>
      <c r="B11" s="79"/>
      <c r="C11" s="79"/>
      <c r="D11" s="79"/>
      <c r="E11" s="140"/>
      <c r="F11" s="79"/>
      <c r="G11" s="20" t="s">
        <v>87</v>
      </c>
      <c r="H11" s="20" t="s">
        <v>19</v>
      </c>
      <c r="I11" s="140"/>
    </row>
    <row r="12" spans="1:9" ht="15.5" x14ac:dyDescent="0.35">
      <c r="A12" s="23">
        <v>1</v>
      </c>
      <c r="B12" s="46" t="s">
        <v>166</v>
      </c>
      <c r="C12" s="3" t="s">
        <v>155</v>
      </c>
      <c r="D12" s="41"/>
      <c r="E12" s="43">
        <v>28.7</v>
      </c>
      <c r="F12" s="41">
        <v>2</v>
      </c>
      <c r="G12" s="23"/>
      <c r="H12" s="23"/>
      <c r="I12" s="29"/>
    </row>
    <row r="13" spans="1:9" ht="15.5" x14ac:dyDescent="0.35">
      <c r="A13" s="23">
        <v>2</v>
      </c>
      <c r="B13" s="33" t="s">
        <v>184</v>
      </c>
      <c r="C13" s="3" t="s">
        <v>180</v>
      </c>
      <c r="D13" s="41"/>
      <c r="E13" s="43">
        <v>23.6</v>
      </c>
      <c r="F13" s="41">
        <v>2</v>
      </c>
      <c r="G13" s="23"/>
      <c r="H13" s="23"/>
      <c r="I13" s="29"/>
    </row>
    <row r="14" spans="1:9" ht="15.5" x14ac:dyDescent="0.35">
      <c r="A14" s="23">
        <v>3</v>
      </c>
      <c r="B14" s="46" t="s">
        <v>165</v>
      </c>
      <c r="C14" s="3" t="s">
        <v>154</v>
      </c>
      <c r="D14" s="41"/>
      <c r="E14" s="43">
        <v>31.9</v>
      </c>
      <c r="F14" s="41">
        <v>2</v>
      </c>
      <c r="G14" s="23"/>
      <c r="H14" s="23"/>
      <c r="I14" s="29"/>
    </row>
    <row r="15" spans="1:9" ht="15.5" x14ac:dyDescent="0.35">
      <c r="A15" s="23">
        <v>4</v>
      </c>
      <c r="B15" s="46" t="s">
        <v>183</v>
      </c>
      <c r="C15" s="3" t="s">
        <v>181</v>
      </c>
      <c r="D15" s="41"/>
      <c r="E15" s="43">
        <v>20.100000000000001</v>
      </c>
      <c r="F15" s="41">
        <v>1</v>
      </c>
      <c r="G15" s="23"/>
      <c r="H15" s="23"/>
      <c r="I15" s="29"/>
    </row>
    <row r="17" spans="1:9" ht="21" x14ac:dyDescent="0.35">
      <c r="A17" s="121" t="s">
        <v>89</v>
      </c>
      <c r="B17" s="121"/>
      <c r="C17" s="121"/>
      <c r="D17" s="121"/>
      <c r="E17" s="121"/>
      <c r="F17" s="121"/>
      <c r="G17" s="121"/>
      <c r="H17" s="121"/>
      <c r="I17" s="121"/>
    </row>
    <row r="18" spans="1:9" ht="15.5" x14ac:dyDescent="0.35">
      <c r="A18" s="141"/>
      <c r="B18" s="141"/>
      <c r="H18" s="10" t="s">
        <v>83</v>
      </c>
      <c r="I18" s="10">
        <f>'Form 1'!C9</f>
        <v>521</v>
      </c>
    </row>
    <row r="19" spans="1:9" ht="15.75" customHeight="1" x14ac:dyDescent="0.35">
      <c r="A19" s="79" t="s">
        <v>10</v>
      </c>
      <c r="B19" s="79" t="s">
        <v>11</v>
      </c>
      <c r="C19" s="79" t="s">
        <v>12</v>
      </c>
      <c r="D19" s="79" t="s">
        <v>84</v>
      </c>
      <c r="E19" s="139" t="s">
        <v>108</v>
      </c>
      <c r="F19" s="79" t="s">
        <v>85</v>
      </c>
      <c r="G19" s="79" t="s">
        <v>15</v>
      </c>
      <c r="H19" s="79"/>
      <c r="I19" s="139" t="s">
        <v>86</v>
      </c>
    </row>
    <row r="20" spans="1:9" ht="60" x14ac:dyDescent="0.35">
      <c r="A20" s="79"/>
      <c r="B20" s="79"/>
      <c r="C20" s="79"/>
      <c r="D20" s="79"/>
      <c r="E20" s="140"/>
      <c r="F20" s="79"/>
      <c r="G20" s="20" t="s">
        <v>87</v>
      </c>
      <c r="H20" s="20" t="s">
        <v>19</v>
      </c>
      <c r="I20" s="140"/>
    </row>
    <row r="21" spans="1:9" ht="15.65" customHeight="1" x14ac:dyDescent="0.35">
      <c r="A21" s="23">
        <v>1</v>
      </c>
      <c r="B21" s="24" t="s">
        <v>161</v>
      </c>
      <c r="C21" s="3" t="s">
        <v>182</v>
      </c>
      <c r="D21" s="41"/>
      <c r="E21" s="3">
        <v>37.200000000000003</v>
      </c>
      <c r="F21" s="41">
        <v>2</v>
      </c>
      <c r="G21" s="23"/>
      <c r="H21" s="23"/>
      <c r="I21" s="23"/>
    </row>
    <row r="22" spans="1:9" ht="15.65" customHeight="1" x14ac:dyDescent="0.35">
      <c r="A22" s="23">
        <v>2</v>
      </c>
      <c r="B22" s="46" t="s">
        <v>165</v>
      </c>
      <c r="C22" s="3" t="s">
        <v>154</v>
      </c>
      <c r="D22" s="41"/>
      <c r="E22" s="3">
        <v>31.4</v>
      </c>
      <c r="F22" s="41">
        <v>2</v>
      </c>
      <c r="G22" s="23"/>
      <c r="H22" s="23"/>
      <c r="I22" s="23"/>
    </row>
    <row r="23" spans="1:9" ht="15.65" customHeight="1" x14ac:dyDescent="0.35">
      <c r="A23" s="23">
        <v>3</v>
      </c>
      <c r="B23" s="33" t="s">
        <v>167</v>
      </c>
      <c r="C23" s="3" t="s">
        <v>157</v>
      </c>
      <c r="D23" s="41"/>
      <c r="E23" s="3">
        <v>26.4</v>
      </c>
      <c r="F23" s="41">
        <v>2</v>
      </c>
      <c r="G23" s="23"/>
      <c r="H23" s="23"/>
      <c r="I23" s="23"/>
    </row>
    <row r="24" spans="1:9" ht="15.65" customHeight="1" x14ac:dyDescent="0.35">
      <c r="A24" s="23">
        <v>4</v>
      </c>
      <c r="B24" s="46" t="s">
        <v>159</v>
      </c>
      <c r="C24" s="3" t="s">
        <v>144</v>
      </c>
      <c r="D24" s="41"/>
      <c r="E24" s="3">
        <v>45.6</v>
      </c>
      <c r="F24" s="41">
        <v>4</v>
      </c>
      <c r="G24" s="23"/>
      <c r="H24" s="23"/>
      <c r="I24" s="23"/>
    </row>
    <row r="25" spans="1:9" ht="15.5" x14ac:dyDescent="0.35">
      <c r="D25" s="28"/>
      <c r="F25" s="30"/>
    </row>
    <row r="26" spans="1:9" ht="21" x14ac:dyDescent="0.35">
      <c r="A26" s="121" t="s">
        <v>90</v>
      </c>
      <c r="B26" s="121"/>
      <c r="C26" s="121"/>
      <c r="D26" s="121"/>
      <c r="E26" s="121"/>
      <c r="F26" s="121"/>
      <c r="G26" s="121"/>
      <c r="H26" s="121"/>
      <c r="I26" s="121"/>
    </row>
    <row r="27" spans="1:9" x14ac:dyDescent="0.35">
      <c r="A27" s="142"/>
      <c r="B27" s="142"/>
      <c r="H27" t="s">
        <v>83</v>
      </c>
      <c r="I27" s="10">
        <f>'Form 1'!C9</f>
        <v>521</v>
      </c>
    </row>
    <row r="28" spans="1:9" ht="15.75" customHeight="1" x14ac:dyDescent="0.35">
      <c r="A28" s="79" t="s">
        <v>10</v>
      </c>
      <c r="B28" s="79" t="s">
        <v>11</v>
      </c>
      <c r="C28" s="79" t="s">
        <v>12</v>
      </c>
      <c r="D28" s="79" t="s">
        <v>84</v>
      </c>
      <c r="E28" s="139" t="s">
        <v>108</v>
      </c>
      <c r="F28" s="79" t="s">
        <v>85</v>
      </c>
      <c r="G28" s="79" t="s">
        <v>15</v>
      </c>
      <c r="H28" s="79"/>
      <c r="I28" s="79" t="s">
        <v>86</v>
      </c>
    </row>
    <row r="29" spans="1:9" ht="60" x14ac:dyDescent="0.35">
      <c r="A29" s="79"/>
      <c r="B29" s="79"/>
      <c r="C29" s="79"/>
      <c r="D29" s="79"/>
      <c r="E29" s="140"/>
      <c r="F29" s="79"/>
      <c r="G29" s="39" t="s">
        <v>87</v>
      </c>
      <c r="H29" s="39" t="s">
        <v>19</v>
      </c>
      <c r="I29" s="79"/>
    </row>
    <row r="30" spans="1:9" ht="17.25" customHeight="1" x14ac:dyDescent="0.35">
      <c r="A30" s="23">
        <v>1</v>
      </c>
      <c r="B30" s="46" t="s">
        <v>159</v>
      </c>
      <c r="C30" s="3" t="s">
        <v>144</v>
      </c>
      <c r="D30" s="44"/>
      <c r="E30" s="45">
        <v>32.4</v>
      </c>
      <c r="F30" s="44">
        <v>3</v>
      </c>
      <c r="G30" s="23"/>
      <c r="H30" s="23"/>
      <c r="I30" s="23"/>
    </row>
    <row r="31" spans="1:9" ht="17.25" customHeight="1" x14ac:dyDescent="0.35">
      <c r="A31" s="23">
        <v>2</v>
      </c>
      <c r="B31" s="33" t="s">
        <v>167</v>
      </c>
      <c r="C31" s="3" t="s">
        <v>157</v>
      </c>
      <c r="D31" s="44"/>
      <c r="E31" s="45">
        <v>30.6</v>
      </c>
      <c r="F31" s="44">
        <v>2</v>
      </c>
      <c r="G31" s="23"/>
      <c r="H31" s="23"/>
      <c r="I31" s="23"/>
    </row>
    <row r="32" spans="1:9" ht="17.25" customHeight="1" x14ac:dyDescent="0.35">
      <c r="A32" s="23">
        <v>3</v>
      </c>
      <c r="B32" s="46" t="s">
        <v>165</v>
      </c>
      <c r="C32" s="3" t="s">
        <v>154</v>
      </c>
      <c r="D32" s="44"/>
      <c r="E32" s="45">
        <v>28.6</v>
      </c>
      <c r="F32" s="44">
        <v>2</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workbookViewId="0">
      <selection activeCell="B12" sqref="B12"/>
    </sheetView>
  </sheetViews>
  <sheetFormatPr defaultRowHeight="14.5" x14ac:dyDescent="0.35"/>
  <cols>
    <col min="1" max="1" width="5.1796875" customWidth="1"/>
    <col min="2" max="2" width="26.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521</v>
      </c>
    </row>
    <row r="3" spans="1:7" ht="15" x14ac:dyDescent="0.35">
      <c r="A3" s="79" t="s">
        <v>10</v>
      </c>
      <c r="B3" s="79" t="s">
        <v>11</v>
      </c>
      <c r="C3" s="79" t="s">
        <v>12</v>
      </c>
      <c r="D3" s="79" t="s">
        <v>92</v>
      </c>
      <c r="E3" s="79" t="s">
        <v>15</v>
      </c>
      <c r="F3" s="79"/>
      <c r="G3" s="79" t="s">
        <v>93</v>
      </c>
    </row>
    <row r="4" spans="1:7" ht="30" x14ac:dyDescent="0.35">
      <c r="A4" s="79"/>
      <c r="B4" s="79"/>
      <c r="C4" s="79"/>
      <c r="D4" s="79"/>
      <c r="E4" s="31" t="s">
        <v>94</v>
      </c>
      <c r="F4" s="31" t="s">
        <v>95</v>
      </c>
      <c r="G4" s="79"/>
    </row>
    <row r="5" spans="1:7" ht="15" x14ac:dyDescent="0.35">
      <c r="A5" s="79"/>
      <c r="B5" s="79"/>
      <c r="C5" s="79"/>
      <c r="D5" s="79"/>
      <c r="E5" s="32" t="s">
        <v>96</v>
      </c>
      <c r="F5" s="32" t="s">
        <v>97</v>
      </c>
      <c r="G5" s="79"/>
    </row>
    <row r="6" spans="1:7" ht="15.5" x14ac:dyDescent="0.35">
      <c r="A6" s="23">
        <v>1</v>
      </c>
      <c r="B6" s="33" t="s">
        <v>167</v>
      </c>
      <c r="C6" s="3" t="s">
        <v>157</v>
      </c>
      <c r="D6" s="41">
        <v>20</v>
      </c>
      <c r="E6" s="23"/>
      <c r="F6" s="31"/>
      <c r="G6" s="23"/>
    </row>
    <row r="7" spans="1:7" ht="15.5" x14ac:dyDescent="0.35">
      <c r="A7" s="23">
        <v>2</v>
      </c>
      <c r="B7" s="33" t="s">
        <v>170</v>
      </c>
      <c r="C7" s="3" t="s">
        <v>153</v>
      </c>
      <c r="D7" s="41">
        <v>40</v>
      </c>
      <c r="E7" s="23"/>
      <c r="F7" s="23"/>
      <c r="G7" s="23"/>
    </row>
    <row r="8" spans="1:7" ht="15.5" x14ac:dyDescent="0.35">
      <c r="A8" s="23">
        <v>3</v>
      </c>
      <c r="B8" s="33" t="s">
        <v>183</v>
      </c>
      <c r="C8" s="3" t="s">
        <v>181</v>
      </c>
      <c r="D8" s="41">
        <v>25</v>
      </c>
      <c r="E8" s="23"/>
      <c r="F8" s="40"/>
      <c r="G8" s="23"/>
    </row>
    <row r="9" spans="1:7" ht="15.5" x14ac:dyDescent="0.35">
      <c r="A9" s="23">
        <v>4</v>
      </c>
      <c r="B9" s="24" t="s">
        <v>183</v>
      </c>
      <c r="C9" s="3" t="s">
        <v>181</v>
      </c>
      <c r="D9" s="41">
        <v>14</v>
      </c>
      <c r="E9" s="23"/>
      <c r="F9" s="23"/>
      <c r="G9" s="23"/>
    </row>
    <row r="10" spans="1:7" ht="15.5" x14ac:dyDescent="0.35">
      <c r="A10" s="23">
        <v>5</v>
      </c>
      <c r="B10" s="46" t="s">
        <v>183</v>
      </c>
      <c r="C10" s="3" t="s">
        <v>181</v>
      </c>
      <c r="D10" s="41">
        <v>18</v>
      </c>
      <c r="E10" s="23"/>
      <c r="F10" s="40"/>
      <c r="G10" s="23"/>
    </row>
    <row r="11" spans="1:7" ht="15.5" x14ac:dyDescent="0.35">
      <c r="A11" s="23">
        <v>6</v>
      </c>
      <c r="B11" s="24" t="s">
        <v>183</v>
      </c>
      <c r="C11" s="3" t="s">
        <v>181</v>
      </c>
      <c r="D11" s="41">
        <v>20</v>
      </c>
      <c r="E11" s="23"/>
      <c r="F11" s="23"/>
      <c r="G11" s="23"/>
    </row>
    <row r="12" spans="1:7" ht="15.5" x14ac:dyDescent="0.35">
      <c r="A12" s="23">
        <v>7</v>
      </c>
      <c r="B12" s="24" t="s">
        <v>183</v>
      </c>
      <c r="C12" s="3" t="s">
        <v>181</v>
      </c>
      <c r="D12" s="41">
        <v>13</v>
      </c>
      <c r="E12" s="23"/>
      <c r="F12" s="40"/>
      <c r="G12" s="23"/>
    </row>
    <row r="13" spans="1:7" ht="15" x14ac:dyDescent="0.35">
      <c r="A13" s="84" t="s">
        <v>103</v>
      </c>
      <c r="B13" s="148"/>
      <c r="C13" s="148"/>
      <c r="D13" s="148"/>
      <c r="E13" s="148"/>
      <c r="F13" s="148"/>
      <c r="G13" s="85"/>
    </row>
    <row r="14" spans="1:7" ht="15.5" x14ac:dyDescent="0.35">
      <c r="A14" s="23">
        <v>1</v>
      </c>
      <c r="B14" s="145" t="s">
        <v>104</v>
      </c>
      <c r="C14" s="146"/>
      <c r="D14" s="146"/>
      <c r="E14" s="146"/>
      <c r="F14" s="147"/>
      <c r="G14" s="3" t="s">
        <v>173</v>
      </c>
    </row>
    <row r="15" spans="1:7" ht="15.5" x14ac:dyDescent="0.35">
      <c r="A15" s="23">
        <v>2</v>
      </c>
      <c r="B15" s="145" t="s">
        <v>105</v>
      </c>
      <c r="C15" s="146"/>
      <c r="D15" s="146"/>
      <c r="E15" s="146"/>
      <c r="F15" s="147"/>
      <c r="G15" s="3" t="s">
        <v>174</v>
      </c>
    </row>
    <row r="16" spans="1:7" ht="15.5" x14ac:dyDescent="0.35">
      <c r="A16" s="23">
        <v>3</v>
      </c>
      <c r="B16" s="145" t="s">
        <v>106</v>
      </c>
      <c r="C16" s="146"/>
      <c r="D16" s="146"/>
      <c r="E16" s="146"/>
      <c r="F16" s="147"/>
      <c r="G16" s="3" t="s">
        <v>175</v>
      </c>
    </row>
    <row r="17" spans="1:12" ht="15.5" x14ac:dyDescent="0.35">
      <c r="A17" s="23">
        <v>4</v>
      </c>
      <c r="B17" s="145" t="s">
        <v>107</v>
      </c>
      <c r="C17" s="146"/>
      <c r="D17" s="146"/>
      <c r="E17" s="146"/>
      <c r="F17" s="147"/>
      <c r="G17" s="3" t="s">
        <v>176</v>
      </c>
    </row>
    <row r="18" spans="1:12" ht="15.5" x14ac:dyDescent="0.35">
      <c r="A18" s="25"/>
      <c r="B18" s="35"/>
      <c r="C18" s="35"/>
      <c r="D18" s="25"/>
      <c r="E18" s="25"/>
      <c r="F18" s="25"/>
      <c r="G18" s="25"/>
      <c r="L18" s="34"/>
    </row>
    <row r="19" spans="1:12" s="36" customFormat="1" ht="19.899999999999999" customHeight="1" x14ac:dyDescent="0.35">
      <c r="A19" s="150" t="s">
        <v>98</v>
      </c>
      <c r="B19" s="150"/>
      <c r="C19" s="150"/>
      <c r="D19" s="150"/>
      <c r="E19" s="150"/>
      <c r="F19" s="150"/>
      <c r="G19" s="150"/>
      <c r="L19" s="34"/>
    </row>
    <row r="20" spans="1:12" ht="15.5" x14ac:dyDescent="0.35">
      <c r="A20" s="36"/>
      <c r="B20" s="36"/>
      <c r="C20" s="36"/>
      <c r="D20" s="36"/>
      <c r="E20" s="36"/>
      <c r="F20" t="s">
        <v>83</v>
      </c>
      <c r="G20" s="10">
        <f>'Form 1'!C9</f>
        <v>521</v>
      </c>
      <c r="L20" s="34"/>
    </row>
    <row r="21" spans="1:12" ht="15.75" customHeight="1" x14ac:dyDescent="0.35">
      <c r="A21" s="139" t="s">
        <v>10</v>
      </c>
      <c r="B21" s="139" t="s">
        <v>11</v>
      </c>
      <c r="C21" s="139" t="s">
        <v>12</v>
      </c>
      <c r="D21" s="139" t="s">
        <v>99</v>
      </c>
      <c r="E21" s="84" t="s">
        <v>15</v>
      </c>
      <c r="F21" s="85"/>
      <c r="G21" s="139" t="s">
        <v>100</v>
      </c>
      <c r="L21" s="34"/>
    </row>
    <row r="22" spans="1:12" ht="30" x14ac:dyDescent="0.35">
      <c r="A22" s="149"/>
      <c r="B22" s="149"/>
      <c r="C22" s="149"/>
      <c r="D22" s="149"/>
      <c r="E22" s="31" t="s">
        <v>94</v>
      </c>
      <c r="F22" s="31" t="s">
        <v>95</v>
      </c>
      <c r="G22" s="149"/>
      <c r="L22" s="34"/>
    </row>
    <row r="23" spans="1:12" ht="15.5" x14ac:dyDescent="0.35">
      <c r="A23" s="140"/>
      <c r="B23" s="140"/>
      <c r="C23" s="140"/>
      <c r="D23" s="140"/>
      <c r="E23" s="32" t="s">
        <v>96</v>
      </c>
      <c r="F23" s="32" t="s">
        <v>97</v>
      </c>
      <c r="G23" s="140"/>
      <c r="L23" s="34"/>
    </row>
    <row r="24" spans="1:12" ht="15.5" x14ac:dyDescent="0.35">
      <c r="A24" s="23">
        <v>1</v>
      </c>
      <c r="B24" s="46" t="s">
        <v>159</v>
      </c>
      <c r="C24" s="3" t="s">
        <v>144</v>
      </c>
      <c r="D24" s="41">
        <v>45</v>
      </c>
      <c r="E24" s="23"/>
      <c r="F24" s="23"/>
      <c r="G24" s="23"/>
      <c r="L24" s="34"/>
    </row>
    <row r="25" spans="1:12" ht="15.5" x14ac:dyDescent="0.35">
      <c r="A25" s="23">
        <v>2</v>
      </c>
      <c r="B25" s="46" t="s">
        <v>183</v>
      </c>
      <c r="C25" s="3" t="s">
        <v>181</v>
      </c>
      <c r="D25" s="41">
        <v>30</v>
      </c>
      <c r="E25" s="23"/>
      <c r="F25" s="23"/>
      <c r="G25" s="23"/>
      <c r="L25" s="34"/>
    </row>
    <row r="26" spans="1:12" ht="15.5" x14ac:dyDescent="0.35">
      <c r="A26" s="23">
        <v>3</v>
      </c>
      <c r="B26" s="46" t="s">
        <v>183</v>
      </c>
      <c r="C26" s="3" t="s">
        <v>181</v>
      </c>
      <c r="D26" s="41">
        <v>27</v>
      </c>
      <c r="E26" s="23"/>
      <c r="F26" s="23"/>
      <c r="G26" s="23"/>
      <c r="L26" s="34"/>
    </row>
    <row r="27" spans="1:12" ht="15.5" x14ac:dyDescent="0.35">
      <c r="A27" s="23">
        <v>4</v>
      </c>
      <c r="B27" s="46" t="s">
        <v>183</v>
      </c>
      <c r="C27" s="3" t="s">
        <v>181</v>
      </c>
      <c r="D27" s="41">
        <v>15</v>
      </c>
      <c r="E27" s="23"/>
      <c r="F27" s="23"/>
      <c r="G27" s="23"/>
      <c r="L27" s="34"/>
    </row>
    <row r="28" spans="1:12" ht="15.5" x14ac:dyDescent="0.35">
      <c r="A28" s="23">
        <v>5</v>
      </c>
      <c r="B28" s="46" t="s">
        <v>183</v>
      </c>
      <c r="C28" s="3" t="s">
        <v>181</v>
      </c>
      <c r="D28" s="41">
        <v>40</v>
      </c>
      <c r="E28" s="23"/>
      <c r="F28" s="23"/>
      <c r="G28" s="23"/>
      <c r="L28" s="34"/>
    </row>
    <row r="29" spans="1:12" ht="15.5" x14ac:dyDescent="0.35">
      <c r="A29" s="23">
        <v>6</v>
      </c>
      <c r="B29" s="46" t="s">
        <v>183</v>
      </c>
      <c r="C29" s="3" t="s">
        <v>181</v>
      </c>
      <c r="D29" s="41">
        <v>56</v>
      </c>
      <c r="E29" s="23"/>
      <c r="F29" s="23"/>
      <c r="G29" s="23"/>
      <c r="L29" s="34"/>
    </row>
    <row r="30" spans="1:12" ht="15" x14ac:dyDescent="0.35">
      <c r="A30" s="84" t="s">
        <v>103</v>
      </c>
      <c r="B30" s="148"/>
      <c r="C30" s="148"/>
      <c r="D30" s="148"/>
      <c r="E30" s="148"/>
      <c r="F30" s="148"/>
      <c r="G30" s="85"/>
    </row>
    <row r="31" spans="1:12" ht="15.5" x14ac:dyDescent="0.35">
      <c r="A31" s="23">
        <v>1</v>
      </c>
      <c r="B31" s="145" t="s">
        <v>104</v>
      </c>
      <c r="C31" s="146"/>
      <c r="D31" s="146"/>
      <c r="E31" s="146"/>
      <c r="F31" s="147"/>
      <c r="G31" s="3" t="s">
        <v>177</v>
      </c>
    </row>
    <row r="32" spans="1:12" ht="15.5" x14ac:dyDescent="0.35">
      <c r="A32" s="23">
        <v>2</v>
      </c>
      <c r="B32" s="145" t="s">
        <v>105</v>
      </c>
      <c r="C32" s="146"/>
      <c r="D32" s="146"/>
      <c r="E32" s="146"/>
      <c r="F32" s="147"/>
      <c r="G32" s="3" t="s">
        <v>174</v>
      </c>
    </row>
    <row r="33" spans="1:7" ht="15.5" x14ac:dyDescent="0.35">
      <c r="A33" s="23">
        <v>3</v>
      </c>
      <c r="B33" s="145" t="s">
        <v>106</v>
      </c>
      <c r="C33" s="146"/>
      <c r="D33" s="146"/>
      <c r="E33" s="146"/>
      <c r="F33" s="147"/>
      <c r="G33" s="3" t="s">
        <v>178</v>
      </c>
    </row>
    <row r="34" spans="1:7" ht="15.5" x14ac:dyDescent="0.35">
      <c r="A34" s="23">
        <v>4</v>
      </c>
      <c r="B34" s="145" t="s">
        <v>107</v>
      </c>
      <c r="C34" s="146"/>
      <c r="D34" s="146"/>
      <c r="E34" s="146"/>
      <c r="F34" s="147"/>
      <c r="G34" s="3" t="s">
        <v>179</v>
      </c>
    </row>
  </sheetData>
  <mergeCells count="2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2024-10-28T00:32:37Z</dcterms:modified>
</cp:coreProperties>
</file>