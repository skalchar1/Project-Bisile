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17" i="12"/>
  <c r="G2" i="12"/>
  <c r="I25" i="11"/>
  <c r="I18" i="11"/>
  <c r="I10" i="11"/>
  <c r="I2" i="11"/>
  <c r="C13" i="8"/>
  <c r="C12" i="8"/>
  <c r="C11" i="8"/>
  <c r="C10" i="8"/>
  <c r="C5" i="6" s="1"/>
  <c r="C9" i="8"/>
</calcChain>
</file>

<file path=xl/sharedStrings.xml><?xml version="1.0" encoding="utf-8"?>
<sst xmlns="http://schemas.openxmlformats.org/spreadsheetml/2006/main" count="304" uniqueCount="184">
  <si>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</si>
  <si>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</si>
  <si>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</si>
  <si>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</si>
  <si>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</si>
  <si>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</si>
  <si>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</si>
  <si>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</si>
  <si>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</si>
  <si>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</si>
  <si>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</si>
  <si>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</si>
  <si>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</si>
  <si>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</si>
  <si>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</si>
  <si>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</si>
  <si>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</si>
  <si>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</si>
  <si>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</si>
  <si>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</si>
  <si>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</si>
  <si>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</si>
  <si>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</si>
  <si>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</si>
  <si>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</si>
  <si>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</si>
  <si>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</si>
  <si>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</si>
  <si>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</si>
  <si>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</si>
  <si>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</si>
  <si>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</si>
  <si>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</si>
  <si>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</si>
  <si>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</si>
  <si>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</si>
  <si>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</si>
  <si>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</si>
  <si>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</si>
  <si>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</si>
  <si>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</si>
  <si>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</si>
  <si>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</si>
  <si>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</si>
  <si>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</si>
  <si>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</si>
  <si>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</si>
  <si>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</si>
  <si>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</si>
  <si>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</si>
  <si>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</si>
  <si>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</si>
  <si>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</si>
  <si>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</si>
  <si>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</si>
  <si>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</si>
  <si>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</si>
  <si>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</si>
  <si>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</si>
  <si>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</si>
  <si>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</si>
  <si>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</si>
  <si>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</si>
  <si>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</si>
  <si>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</si>
  <si>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</si>
  <si>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</si>
  <si>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</si>
  <si>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</si>
  <si>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</si>
  <si>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</si>
  <si>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</si>
  <si>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</si>
  <si>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</si>
  <si>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</si>
  <si>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</si>
  <si>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</si>
  <si>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</si>
  <si>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</si>
  <si>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</si>
  <si>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</si>
  <si>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</si>
  <si>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</si>
  <si>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</si>
  <si>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</si>
  <si>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</si>
  <si>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</si>
  <si>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</si>
  <si>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</si>
  <si>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</si>
  <si>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</si>
  <si>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</si>
  <si>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</si>
  <si>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</si>
  <si>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</si>
  <si>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</si>
  <si>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</si>
  <si>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</si>
  <si>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</si>
  <si>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</si>
  <si>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</si>
  <si>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</si>
  <si>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</si>
  <si>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</si>
  <si>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</si>
  <si>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</si>
  <si>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</si>
  <si>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</si>
  <si>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</si>
  <si>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</si>
  <si>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</si>
  <si>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</si>
  <si>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Marva</t>
  </si>
  <si>
    <t>Salle</t>
  </si>
  <si>
    <t>Matti</t>
  </si>
  <si>
    <t>Agasalle</t>
  </si>
  <si>
    <t>Thari</t>
  </si>
  <si>
    <t>Karivala</t>
  </si>
  <si>
    <t>Maddarasa</t>
  </si>
  <si>
    <t>Bogi</t>
  </si>
  <si>
    <t>395grm</t>
  </si>
  <si>
    <t>1.2kg</t>
  </si>
  <si>
    <t>nill</t>
  </si>
  <si>
    <t>165grm</t>
  </si>
  <si>
    <t>460grm</t>
  </si>
  <si>
    <t>120grm</t>
  </si>
  <si>
    <t>Vatmadike</t>
  </si>
  <si>
    <t>Seege</t>
  </si>
  <si>
    <t>Dalchinni</t>
  </si>
  <si>
    <t>Kodlimurka</t>
  </si>
  <si>
    <t>salle</t>
  </si>
  <si>
    <t>Hebbidiru</t>
  </si>
  <si>
    <t>Terminalea paniculata</t>
  </si>
  <si>
    <t>Aporosa lindleyana / Aporosa cardiosperma</t>
  </si>
  <si>
    <t>Teminalea elliptica</t>
  </si>
  <si>
    <t>Honne</t>
  </si>
  <si>
    <t>Plerocarpus marsupium</t>
  </si>
  <si>
    <t xml:space="preserve">Aporosa lindleyana </t>
  </si>
  <si>
    <t>Aporosa lindleyana</t>
  </si>
  <si>
    <t>Olea dioica</t>
  </si>
  <si>
    <t>Terminalia bellirica</t>
  </si>
  <si>
    <t>Diospyros edenum</t>
  </si>
  <si>
    <t>Tabernaentana montana</t>
  </si>
  <si>
    <t>Bambussa bamboo</t>
  </si>
  <si>
    <t>Phychotrica dalzellii</t>
  </si>
  <si>
    <t>Hopea parvifolia</t>
  </si>
  <si>
    <t>Senegalia rugata</t>
  </si>
  <si>
    <t>Cinnamomum zelanicum</t>
  </si>
  <si>
    <t>Schleichera oleaosa</t>
  </si>
  <si>
    <t>1. Track -  Hilly</t>
  </si>
  <si>
    <t>4. Soil- Latarite soil</t>
  </si>
  <si>
    <t>5. Grass - Scanty - Cynodon dactylon (Hambuhullu).\</t>
  </si>
  <si>
    <t>8. Herbs - , Memecylon talbotianum (Adchari), Phychotrica dalzellii (Vaatmadike), Leea indica (Nedthi).</t>
  </si>
  <si>
    <t xml:space="preserve">9. Shrubs - Calycopteris floribunda (Kumsa balli), Alangium salvifolium (Ankole), </t>
  </si>
  <si>
    <t xml:space="preserve">10. Underwood species - Olea dioca (Agasalle), Tabernaentana montana (Maddarsa), Aparosa lindliana (Salle), Ixora brachaiata (Kaansurgi), </t>
  </si>
  <si>
    <t>11. Climber - Piper tioicum (Kaadu kalu menasu),  Pothos scandens (Adake beelu), Tinospora malabarica (Madari beelu)</t>
  </si>
  <si>
    <t>None</t>
  </si>
  <si>
    <t>Hilly</t>
  </si>
  <si>
    <t>Upto 16 - 40</t>
  </si>
  <si>
    <t>Ignecious Rocks</t>
  </si>
  <si>
    <t>Lataraite soil, Texture - Hard, Depth - 30cm, Permiabilty - Good.</t>
  </si>
  <si>
    <t>Adequate</t>
  </si>
  <si>
    <t>Absent</t>
  </si>
  <si>
    <t>Natural forerst</t>
  </si>
  <si>
    <t>Not Degrated</t>
  </si>
  <si>
    <t>Elephant traces and Dung</t>
  </si>
  <si>
    <t>Start from Nettana timber dipo to towards Subramanya Sully road to Nadugallu cross for 20.1 km N-12.640249, E- 75.565398. Then left turn Kiribag Rf for 15.8 km N-12.543792, E- 75.634780 (By jeep) then walked towards left for 240 mtr to reached centere of the plot.</t>
  </si>
  <si>
    <t>Evergreen Densed forest and species like Schleichera oleaosa (Kodlimurka),  Lophopetalum wightianum (Bannate), Holigarna arnottiana (Chaar), Olea dioca (Agasalle), Aparos lindliana (Salle).</t>
  </si>
  <si>
    <t>2. Aspect - Northern</t>
  </si>
  <si>
    <t>3.Canopy density - Closed foprest 75% canopy cover</t>
  </si>
  <si>
    <t>6. Weeds - Absent</t>
  </si>
  <si>
    <t>7. Bamboo -Present - Bambussa bamboo (Hebbidiru).</t>
  </si>
  <si>
    <t>12. Rattans - Nill</t>
  </si>
  <si>
    <t>13. NTFP yielding sps - Cinnamomum zelanicum (Dalchinni), Senegaliea rugata (Seege).</t>
  </si>
  <si>
    <t>Closed forest 75% Canopy cover</t>
  </si>
  <si>
    <t>Northern</t>
  </si>
  <si>
    <t>Mild erosion</t>
  </si>
  <si>
    <t>Aparosa lindliana (Salle)- 20%, Xylea xylocarpa (Jambe) - 10%, Terminalea paniculata (Marva) - 20%.</t>
  </si>
  <si>
    <t>Kilarmale RF</t>
  </si>
  <si>
    <t>XII-30</t>
  </si>
  <si>
    <t xml:space="preserve"> 12.537614°</t>
  </si>
  <si>
    <t xml:space="preserve"> 75.616204°</t>
  </si>
  <si>
    <t>Reserve forest</t>
  </si>
  <si>
    <t>235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</si>
</sst>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1" xfId="0" applyFont="1" applyBorder="1" applyAlignment="1">
      <alignment horizontal="left" wrapText="1"/>
    </xf>
    <xf numFmtId="0" fontId="10" fillId="0" borderId="0" xfId="0" applyFont="1" applyAlignment="1">
      <alignment horizontal="center" vertical="center"/>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7" zoomScaleSheetLayoutView="115" workbookViewId="0">
      <selection activeCell="C13" sqref="C13"/>
    </sheetView>
  </sheetViews>
  <sheetFormatPr defaultColWidth="9.1796875" defaultRowHeight="15.5" x14ac:dyDescent="0.35"/>
  <cols>
    <col min="1" max="1" width="5" style="46" bestFit="1" customWidth="1"/>
    <col min="2" max="2" width="15.7265625" style="46" customWidth="1"/>
    <col min="3" max="3" width="54.81640625" style="46" customWidth="1"/>
    <col min="4" max="16384" width="9.1796875" style="46"/>
  </cols>
  <sheetData>
    <row r="1" spans="1:3" x14ac:dyDescent="0.35">
      <c r="A1" s="77" t="s">
        <v>21</v>
      </c>
      <c r="B1" s="77"/>
      <c r="C1" s="77"/>
    </row>
    <row r="2" spans="1:3" x14ac:dyDescent="0.35">
      <c r="A2" s="77" t="s">
        <v>22</v>
      </c>
      <c r="B2" s="77"/>
      <c r="C2" s="77"/>
    </row>
    <row r="3" spans="1:3" x14ac:dyDescent="0.35">
      <c r="A3" s="78" t="s">
        <v>102</v>
      </c>
      <c r="B3" s="78"/>
      <c r="C3" s="57" t="s">
        <v>110</v>
      </c>
    </row>
    <row r="4" spans="1:3" x14ac:dyDescent="0.35">
      <c r="A4" s="49"/>
    </row>
    <row r="5" spans="1:3" x14ac:dyDescent="0.35">
      <c r="A5" s="50" t="s">
        <v>23</v>
      </c>
      <c r="B5" s="52" t="s">
        <v>24</v>
      </c>
      <c r="C5" s="52" t="s">
        <v>25</v>
      </c>
    </row>
    <row r="6" spans="1:3" x14ac:dyDescent="0.35">
      <c r="A6" s="53">
        <v>1</v>
      </c>
      <c r="B6" s="54" t="s">
        <v>26</v>
      </c>
      <c r="C6" s="58" t="s">
        <v>111</v>
      </c>
    </row>
    <row r="7" spans="1:3" ht="31" x14ac:dyDescent="0.35">
      <c r="A7" s="53">
        <v>2</v>
      </c>
      <c r="B7" s="54" t="s">
        <v>27</v>
      </c>
      <c r="C7" s="58" t="s">
        <v>178</v>
      </c>
    </row>
    <row r="8" spans="1:3" x14ac:dyDescent="0.35">
      <c r="A8" s="53">
        <v>3</v>
      </c>
      <c r="B8" s="54" t="s">
        <v>28</v>
      </c>
      <c r="C8" s="58" t="s">
        <v>179</v>
      </c>
    </row>
    <row r="9" spans="1:3" x14ac:dyDescent="0.35">
      <c r="A9" s="53">
        <v>4</v>
      </c>
      <c r="B9" s="54" t="s">
        <v>29</v>
      </c>
      <c r="C9" s="45">
        <v>358</v>
      </c>
    </row>
    <row r="10" spans="1:3" ht="20.25" customHeight="1" x14ac:dyDescent="0.35">
      <c r="A10" s="53">
        <v>5</v>
      </c>
      <c r="B10" s="54" t="s">
        <v>30</v>
      </c>
      <c r="C10" s="59" t="s">
        <v>180</v>
      </c>
    </row>
    <row r="11" spans="1:3" ht="23.25" customHeight="1" x14ac:dyDescent="0.35">
      <c r="A11" s="53">
        <v>6</v>
      </c>
      <c r="B11" s="54" t="s">
        <v>31</v>
      </c>
      <c r="C11" s="59" t="s">
        <v>181</v>
      </c>
    </row>
    <row r="12" spans="1:3" ht="102.75" customHeight="1" x14ac:dyDescent="0.35">
      <c r="A12" s="53">
        <v>7</v>
      </c>
      <c r="B12" s="54" t="s">
        <v>32</v>
      </c>
      <c r="C12" s="45" t="s">
        <v>166</v>
      </c>
    </row>
    <row r="13" spans="1:3" ht="79.5" customHeight="1" x14ac:dyDescent="0.35">
      <c r="A13" s="53">
        <v>8</v>
      </c>
      <c r="B13" s="54" t="s">
        <v>33</v>
      </c>
      <c r="C13" s="60" t="s">
        <v>167</v>
      </c>
    </row>
    <row r="14" spans="1:3" ht="15.75" customHeight="1" x14ac:dyDescent="0.35">
      <c r="A14" s="62">
        <v>9</v>
      </c>
      <c r="B14" s="148" t="s">
        <v>34</v>
      </c>
      <c r="C14" s="60" t="s">
        <v>149</v>
      </c>
    </row>
    <row r="15" spans="1:3" x14ac:dyDescent="0.35">
      <c r="A15" s="63"/>
      <c r="B15" s="149"/>
      <c r="C15" s="60" t="s">
        <v>168</v>
      </c>
    </row>
    <row r="16" spans="1:3" x14ac:dyDescent="0.35">
      <c r="A16" s="63"/>
      <c r="B16" s="149"/>
      <c r="C16" s="60" t="s">
        <v>169</v>
      </c>
    </row>
    <row r="17" spans="1:3" x14ac:dyDescent="0.35">
      <c r="A17" s="63"/>
      <c r="B17" s="149"/>
      <c r="C17" s="60" t="s">
        <v>150</v>
      </c>
    </row>
    <row r="18" spans="1:3" x14ac:dyDescent="0.35">
      <c r="A18" s="63"/>
      <c r="B18" s="149"/>
      <c r="C18" s="64" t="s">
        <v>151</v>
      </c>
    </row>
    <row r="19" spans="1:3" x14ac:dyDescent="0.35">
      <c r="A19" s="63"/>
      <c r="B19" s="149"/>
      <c r="C19" s="60" t="s">
        <v>170</v>
      </c>
    </row>
    <row r="20" spans="1:3" x14ac:dyDescent="0.35">
      <c r="A20" s="63"/>
      <c r="B20" s="149"/>
      <c r="C20" s="60" t="s">
        <v>171</v>
      </c>
    </row>
    <row r="21" spans="1:3" ht="31" x14ac:dyDescent="0.35">
      <c r="A21" s="63"/>
      <c r="B21" s="149"/>
      <c r="C21" s="60" t="s">
        <v>152</v>
      </c>
    </row>
    <row r="22" spans="1:3" ht="31" x14ac:dyDescent="0.35">
      <c r="A22" s="63"/>
      <c r="B22" s="149"/>
      <c r="C22" s="60" t="s">
        <v>153</v>
      </c>
    </row>
    <row r="23" spans="1:3" ht="46.5" x14ac:dyDescent="0.35">
      <c r="A23" s="63"/>
      <c r="B23" s="149"/>
      <c r="C23" s="60" t="s">
        <v>154</v>
      </c>
    </row>
    <row r="24" spans="1:3" ht="53.25" customHeight="1" x14ac:dyDescent="0.35">
      <c r="A24" s="63"/>
      <c r="B24" s="149"/>
      <c r="C24" s="60" t="s">
        <v>155</v>
      </c>
    </row>
    <row r="25" spans="1:3" x14ac:dyDescent="0.35">
      <c r="A25" s="63"/>
      <c r="B25" s="149"/>
      <c r="C25" s="60" t="s">
        <v>172</v>
      </c>
    </row>
    <row r="26" spans="1:3" ht="31" x14ac:dyDescent="0.35">
      <c r="A26" s="63"/>
      <c r="B26" s="150"/>
      <c r="C26" s="60" t="s">
        <v>173</v>
      </c>
    </row>
    <row r="27" spans="1:3" ht="31" x14ac:dyDescent="0.35">
      <c r="A27" s="53">
        <v>10</v>
      </c>
      <c r="B27" s="54" t="s">
        <v>35</v>
      </c>
      <c r="C27" s="54" t="s">
        <v>156</v>
      </c>
    </row>
    <row r="28" spans="1:3" ht="46.5" x14ac:dyDescent="0.35">
      <c r="A28" s="53">
        <v>11</v>
      </c>
      <c r="B28" s="54" t="s">
        <v>36</v>
      </c>
      <c r="C28" s="54" t="s">
        <v>156</v>
      </c>
    </row>
    <row r="29" spans="1:3" x14ac:dyDescent="0.35">
      <c r="A29" s="49"/>
    </row>
    <row r="30" spans="1:3" ht="38.25" customHeight="1" x14ac:dyDescent="0.35">
      <c r="A30" s="49"/>
    </row>
    <row r="31" spans="1:3" x14ac:dyDescent="0.35">
      <c r="A31" s="49"/>
    </row>
    <row r="32" spans="1:3" x14ac:dyDescent="0.35">
      <c r="A32" s="68"/>
    </row>
    <row r="33" spans="1:1" x14ac:dyDescent="0.35">
      <c r="A33" s="61"/>
    </row>
    <row r="34" spans="1:1" x14ac:dyDescent="0.35">
      <c r="A34" s="61"/>
    </row>
    <row r="35" spans="1:1" x14ac:dyDescent="0.35">
      <c r="A35" s="61"/>
    </row>
    <row r="36" spans="1:1" ht="61.5" customHeight="1" x14ac:dyDescent="0.35">
      <c r="A36" s="61"/>
    </row>
    <row r="37" spans="1:1" ht="15.75" customHeight="1" x14ac:dyDescent="0.35">
      <c r="A37" s="61"/>
    </row>
    <row r="38" spans="1:1" x14ac:dyDescent="0.35">
      <c r="A38" s="61"/>
    </row>
    <row r="49" spans="1:1" x14ac:dyDescent="0.35">
      <c r="A49" s="61"/>
    </row>
    <row r="50" spans="1:1" x14ac:dyDescent="0.35">
      <c r="A50" s="61"/>
    </row>
    <row r="51" spans="1:1" x14ac:dyDescent="0.35">
      <c r="A51" s="61"/>
    </row>
    <row r="52" spans="1:1" x14ac:dyDescent="0.35">
      <c r="A52" s="61"/>
    </row>
    <row r="53" spans="1:1" x14ac:dyDescent="0.35">
      <c r="A53" s="61"/>
    </row>
    <row r="54" spans="1:1" x14ac:dyDescent="0.35">
      <c r="A54" s="61"/>
    </row>
    <row r="55" spans="1:1" x14ac:dyDescent="0.35">
      <c r="A55" s="61"/>
    </row>
    <row r="56" spans="1:1" x14ac:dyDescent="0.35">
      <c r="A56" s="61"/>
    </row>
    <row r="57" spans="1:1" ht="62.25" customHeight="1" x14ac:dyDescent="0.35">
      <c r="A57" s="61"/>
    </row>
    <row r="58" spans="1:1" x14ac:dyDescent="0.35">
      <c r="A58" s="68"/>
    </row>
    <row r="66" spans="1:1" x14ac:dyDescent="0.35">
      <c r="A66" s="61"/>
    </row>
    <row r="74" spans="1:1" x14ac:dyDescent="0.35">
      <c r="A74" s="49"/>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3" workbookViewId="0">
      <selection activeCell="B24" sqref="B24"/>
    </sheetView>
  </sheetViews>
  <sheetFormatPr defaultColWidth="9.1796875" defaultRowHeight="15.5" x14ac:dyDescent="0.35"/>
  <cols>
    <col min="1" max="1" width="4.7265625" style="46" bestFit="1" customWidth="1"/>
    <col min="2" max="2" width="16.453125" style="46" customWidth="1"/>
    <col min="3" max="3" width="47.453125" style="46" customWidth="1"/>
    <col min="4" max="16384" width="9.1796875" style="46"/>
  </cols>
  <sheetData>
    <row r="1" spans="1:3" x14ac:dyDescent="0.35">
      <c r="A1" s="77" t="s">
        <v>37</v>
      </c>
      <c r="B1" s="77"/>
      <c r="C1" s="77"/>
    </row>
    <row r="2" spans="1:3" x14ac:dyDescent="0.35">
      <c r="A2" s="77" t="s">
        <v>38</v>
      </c>
      <c r="B2" s="77"/>
      <c r="C2" s="77"/>
    </row>
    <row r="3" spans="1:3" x14ac:dyDescent="0.35">
      <c r="A3" s="47"/>
    </row>
    <row r="4" spans="1:3" ht="70.900000000000006" customHeight="1" x14ac:dyDescent="0.35">
      <c r="A4" s="79" t="s">
        <v>39</v>
      </c>
      <c r="B4" s="79"/>
      <c r="C4" s="79"/>
    </row>
    <row r="5" spans="1:3" x14ac:dyDescent="0.35">
      <c r="A5" s="78" t="s">
        <v>102</v>
      </c>
      <c r="B5" s="78"/>
      <c r="C5" s="48" t="str">
        <f>'Form 1'!C3</f>
        <v>Mangalore</v>
      </c>
    </row>
    <row r="6" spans="1:3" x14ac:dyDescent="0.35">
      <c r="A6" s="49"/>
    </row>
    <row r="7" spans="1:3" ht="31" x14ac:dyDescent="0.35">
      <c r="A7" s="50" t="s">
        <v>23</v>
      </c>
      <c r="B7" s="51" t="s">
        <v>25</v>
      </c>
      <c r="C7" s="52" t="s">
        <v>40</v>
      </c>
    </row>
    <row r="8" spans="1:3" x14ac:dyDescent="0.35">
      <c r="A8" s="53">
        <v>1</v>
      </c>
      <c r="B8" s="54" t="s">
        <v>26</v>
      </c>
      <c r="C8" s="4" t="s">
        <v>111</v>
      </c>
    </row>
    <row r="9" spans="1:3" ht="31" x14ac:dyDescent="0.35">
      <c r="A9" s="53">
        <v>2</v>
      </c>
      <c r="B9" s="54" t="s">
        <v>41</v>
      </c>
      <c r="C9" s="55" t="str">
        <f>'Form 1'!C7</f>
        <v>Kilarmale RF</v>
      </c>
    </row>
    <row r="10" spans="1:3" x14ac:dyDescent="0.35">
      <c r="A10" s="53">
        <v>3</v>
      </c>
      <c r="B10" s="54" t="s">
        <v>28</v>
      </c>
      <c r="C10" s="55" t="str">
        <f>'Form 1'!C8</f>
        <v>XII-30</v>
      </c>
    </row>
    <row r="11" spans="1:3" x14ac:dyDescent="0.35">
      <c r="A11" s="53">
        <v>4</v>
      </c>
      <c r="B11" s="54" t="s">
        <v>29</v>
      </c>
      <c r="C11" s="55">
        <f>'Form 1'!C9</f>
        <v>358</v>
      </c>
    </row>
    <row r="12" spans="1:3" x14ac:dyDescent="0.35">
      <c r="A12" s="53">
        <v>5</v>
      </c>
      <c r="B12" s="54" t="s">
        <v>42</v>
      </c>
      <c r="C12" s="55" t="str">
        <f>'Form 1'!C10</f>
        <v xml:space="preserve"> 12.537614°</v>
      </c>
    </row>
    <row r="13" spans="1:3" x14ac:dyDescent="0.35">
      <c r="A13" s="53">
        <v>6</v>
      </c>
      <c r="B13" s="54" t="s">
        <v>43</v>
      </c>
      <c r="C13" s="55" t="str">
        <f>'Form 1'!C11</f>
        <v xml:space="preserve"> 75.616204°</v>
      </c>
    </row>
    <row r="14" spans="1:3" x14ac:dyDescent="0.35">
      <c r="A14" s="53">
        <v>7</v>
      </c>
      <c r="B14" s="54" t="s">
        <v>44</v>
      </c>
      <c r="C14" s="55" t="s">
        <v>183</v>
      </c>
    </row>
    <row r="15" spans="1:3" x14ac:dyDescent="0.35">
      <c r="A15" s="53">
        <v>8</v>
      </c>
      <c r="B15" s="54" t="s">
        <v>45</v>
      </c>
      <c r="C15" s="55" t="s">
        <v>182</v>
      </c>
    </row>
    <row r="16" spans="1:3" x14ac:dyDescent="0.35">
      <c r="A16" s="53">
        <v>9</v>
      </c>
      <c r="B16" s="54" t="s">
        <v>46</v>
      </c>
      <c r="C16" s="55" t="s">
        <v>174</v>
      </c>
    </row>
    <row r="17" spans="1:3" ht="31" x14ac:dyDescent="0.35">
      <c r="A17" s="53">
        <v>10</v>
      </c>
      <c r="B17" s="54" t="s">
        <v>47</v>
      </c>
      <c r="C17" s="55" t="s">
        <v>157</v>
      </c>
    </row>
    <row r="18" spans="1:3" x14ac:dyDescent="0.35">
      <c r="A18" s="53">
        <v>11</v>
      </c>
      <c r="B18" s="54" t="s">
        <v>48</v>
      </c>
      <c r="C18" s="56" t="s">
        <v>158</v>
      </c>
    </row>
    <row r="19" spans="1:3" x14ac:dyDescent="0.35">
      <c r="A19" s="53">
        <v>12</v>
      </c>
      <c r="B19" s="54" t="s">
        <v>49</v>
      </c>
      <c r="C19" s="56" t="s">
        <v>175</v>
      </c>
    </row>
    <row r="20" spans="1:3" ht="31" x14ac:dyDescent="0.35">
      <c r="A20" s="53">
        <v>13</v>
      </c>
      <c r="B20" s="54" t="s">
        <v>50</v>
      </c>
      <c r="C20" s="56" t="s">
        <v>159</v>
      </c>
    </row>
    <row r="21" spans="1:3" ht="31" x14ac:dyDescent="0.35">
      <c r="A21" s="53">
        <v>14</v>
      </c>
      <c r="B21" s="54" t="s">
        <v>51</v>
      </c>
      <c r="C21" s="56" t="s">
        <v>160</v>
      </c>
    </row>
    <row r="22" spans="1:3" x14ac:dyDescent="0.35">
      <c r="A22" s="53">
        <v>15</v>
      </c>
      <c r="B22" s="54" t="s">
        <v>52</v>
      </c>
      <c r="C22" s="56" t="s">
        <v>176</v>
      </c>
    </row>
    <row r="23" spans="1:3" ht="50" customHeight="1" x14ac:dyDescent="0.35">
      <c r="A23" s="53">
        <v>16</v>
      </c>
      <c r="B23" s="54" t="s">
        <v>53</v>
      </c>
      <c r="C23" s="56" t="s">
        <v>177</v>
      </c>
    </row>
    <row r="24" spans="1:3" ht="31" x14ac:dyDescent="0.35">
      <c r="A24" s="53">
        <v>17</v>
      </c>
      <c r="B24" s="54" t="s">
        <v>54</v>
      </c>
      <c r="C24" s="56" t="s">
        <v>161</v>
      </c>
    </row>
    <row r="25" spans="1:3" ht="31" x14ac:dyDescent="0.35">
      <c r="A25" s="53">
        <v>18</v>
      </c>
      <c r="B25" s="54" t="s">
        <v>55</v>
      </c>
      <c r="C25" s="56" t="s">
        <v>156</v>
      </c>
    </row>
    <row r="26" spans="1:3" ht="31" x14ac:dyDescent="0.35">
      <c r="A26" s="53">
        <v>19</v>
      </c>
      <c r="B26" s="54" t="s">
        <v>56</v>
      </c>
      <c r="C26" s="56" t="s">
        <v>156</v>
      </c>
    </row>
    <row r="27" spans="1:3" ht="31" x14ac:dyDescent="0.35">
      <c r="A27" s="53">
        <v>20</v>
      </c>
      <c r="B27" s="54" t="s">
        <v>57</v>
      </c>
      <c r="C27" s="56" t="s">
        <v>162</v>
      </c>
    </row>
    <row r="28" spans="1:3" ht="31" x14ac:dyDescent="0.35">
      <c r="A28" s="53">
        <v>21</v>
      </c>
      <c r="B28" s="54" t="s">
        <v>58</v>
      </c>
      <c r="C28" s="56" t="s">
        <v>162</v>
      </c>
    </row>
    <row r="29" spans="1:3" ht="31" x14ac:dyDescent="0.35">
      <c r="A29" s="53">
        <v>22</v>
      </c>
      <c r="B29" s="54" t="s">
        <v>59</v>
      </c>
      <c r="C29" s="56" t="s">
        <v>162</v>
      </c>
    </row>
    <row r="30" spans="1:3" x14ac:dyDescent="0.35">
      <c r="A30" s="53">
        <v>23</v>
      </c>
      <c r="B30" s="54" t="s">
        <v>60</v>
      </c>
      <c r="C30" s="56" t="s">
        <v>163</v>
      </c>
    </row>
    <row r="31" spans="1:3" x14ac:dyDescent="0.35">
      <c r="A31" s="53">
        <v>24</v>
      </c>
      <c r="B31" s="54" t="s">
        <v>61</v>
      </c>
      <c r="C31" s="56" t="s">
        <v>156</v>
      </c>
    </row>
    <row r="32" spans="1:3" ht="31" x14ac:dyDescent="0.35">
      <c r="A32" s="53">
        <v>25</v>
      </c>
      <c r="B32" s="54" t="s">
        <v>62</v>
      </c>
      <c r="C32" s="56" t="s">
        <v>164</v>
      </c>
    </row>
    <row r="33" spans="1:3" ht="31" x14ac:dyDescent="0.35">
      <c r="A33" s="53">
        <v>26</v>
      </c>
      <c r="B33" s="54" t="s">
        <v>63</v>
      </c>
      <c r="C33" s="56" t="s">
        <v>156</v>
      </c>
    </row>
    <row r="34" spans="1:3" ht="31" x14ac:dyDescent="0.35">
      <c r="A34" s="53">
        <v>27</v>
      </c>
      <c r="B34" s="54" t="s">
        <v>64</v>
      </c>
      <c r="C34" s="56" t="s">
        <v>165</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workbookViewId="0">
      <selection activeCell="C28" sqref="C28"/>
    </sheetView>
  </sheetViews>
  <sheetFormatPr defaultRowHeight="14.5" x14ac:dyDescent="0.35"/>
  <cols>
    <col min="1" max="1" width="4.54296875" customWidth="1"/>
    <col min="2" max="2" width="12.26953125" customWidth="1"/>
    <col min="3" max="3" width="23.453125" style="8" customWidth="1"/>
    <col min="4" max="4" width="16.81640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7" t="s">
        <v>0</v>
      </c>
      <c r="B1" s="97"/>
      <c r="C1" s="97"/>
      <c r="D1" s="97"/>
      <c r="E1" s="97"/>
      <c r="F1" s="97"/>
      <c r="G1" s="97"/>
      <c r="H1" s="97"/>
      <c r="I1" s="97"/>
      <c r="J1" s="97"/>
      <c r="K1" s="97"/>
      <c r="L1" s="97"/>
    </row>
    <row r="2" spans="1:12" ht="15.65" customHeight="1" x14ac:dyDescent="0.35">
      <c r="A2" s="97" t="s">
        <v>1</v>
      </c>
      <c r="B2" s="97"/>
      <c r="C2" s="97"/>
      <c r="D2" s="97"/>
      <c r="E2" s="97"/>
      <c r="F2" s="97"/>
      <c r="G2" s="97"/>
      <c r="H2" s="97"/>
      <c r="I2" s="97"/>
      <c r="J2" s="97"/>
      <c r="K2" s="97"/>
      <c r="L2" s="97"/>
    </row>
    <row r="3" spans="1:12" ht="15.65" customHeight="1" x14ac:dyDescent="0.35">
      <c r="A3" s="97" t="s">
        <v>2</v>
      </c>
      <c r="B3" s="97"/>
      <c r="C3" s="97"/>
      <c r="D3" s="97"/>
      <c r="E3" s="97"/>
      <c r="F3" s="97"/>
      <c r="G3" s="97"/>
      <c r="H3" s="97"/>
      <c r="I3" s="97"/>
      <c r="J3" s="97"/>
      <c r="K3" s="97"/>
      <c r="L3" s="97"/>
    </row>
    <row r="4" spans="1:12" ht="15.65" customHeight="1" thickBot="1" x14ac:dyDescent="0.4">
      <c r="A4" s="98"/>
      <c r="B4" s="98"/>
      <c r="C4" s="98"/>
      <c r="D4" s="98"/>
      <c r="E4" s="98"/>
      <c r="F4" s="98"/>
      <c r="G4" s="98"/>
      <c r="H4" s="98"/>
      <c r="I4" s="98"/>
      <c r="J4" s="98"/>
      <c r="K4" s="98"/>
      <c r="L4" s="98"/>
    </row>
    <row r="5" spans="1:12" ht="15.65" customHeight="1" x14ac:dyDescent="0.35">
      <c r="A5" s="99" t="s">
        <v>3</v>
      </c>
      <c r="B5" s="100"/>
      <c r="C5" s="89" t="str">
        <f>'Form II'!C10</f>
        <v>XII-30</v>
      </c>
      <c r="D5" s="90"/>
      <c r="E5" s="88" t="s">
        <v>109</v>
      </c>
      <c r="F5" s="89"/>
      <c r="G5" s="89"/>
      <c r="H5" s="89"/>
      <c r="I5" s="90"/>
      <c r="J5" s="13" t="s">
        <v>4</v>
      </c>
      <c r="K5" s="100"/>
      <c r="L5" s="101"/>
    </row>
    <row r="6" spans="1:12" ht="15.65" customHeight="1" x14ac:dyDescent="0.35">
      <c r="A6" s="112" t="s">
        <v>5</v>
      </c>
      <c r="B6" s="113"/>
      <c r="C6" s="93" t="str">
        <f>'Form 1'!C6</f>
        <v>Subramanya</v>
      </c>
      <c r="D6" s="94"/>
      <c r="E6" s="37" t="s">
        <v>101</v>
      </c>
      <c r="F6" s="36"/>
      <c r="G6" s="93" t="str">
        <f>'Form 1'!C3</f>
        <v>Mangalore</v>
      </c>
      <c r="H6" s="93"/>
      <c r="I6" s="94"/>
      <c r="J6" s="14" t="s">
        <v>6</v>
      </c>
      <c r="K6" s="93" t="str">
        <f>'Form II'!C14</f>
        <v>235 m</v>
      </c>
      <c r="L6" s="117"/>
    </row>
    <row r="7" spans="1:12" ht="15.65" customHeight="1" thickBot="1" x14ac:dyDescent="0.4">
      <c r="A7" s="91" t="s">
        <v>7</v>
      </c>
      <c r="B7" s="92"/>
      <c r="C7" s="95" t="str">
        <f>'Form 1'!C10</f>
        <v xml:space="preserve"> 12.537614°</v>
      </c>
      <c r="D7" s="96"/>
      <c r="E7" s="15" t="s">
        <v>8</v>
      </c>
      <c r="F7" s="12"/>
      <c r="G7" s="95" t="str">
        <f>'Form 1'!C11</f>
        <v xml:space="preserve"> 75.616204°</v>
      </c>
      <c r="H7" s="95"/>
      <c r="I7" s="96"/>
      <c r="J7" s="15" t="s">
        <v>9</v>
      </c>
      <c r="K7" s="95">
        <f>'Form 1'!C9</f>
        <v>358</v>
      </c>
      <c r="L7" s="118"/>
    </row>
    <row r="8" spans="1:12" ht="15.65" customHeight="1" thickBot="1" x14ac:dyDescent="0.4">
      <c r="A8" s="1"/>
      <c r="B8" s="1"/>
      <c r="C8" s="5"/>
      <c r="D8" s="6"/>
      <c r="E8" s="2"/>
      <c r="F8" s="2"/>
      <c r="G8" s="2"/>
      <c r="H8" s="2"/>
      <c r="I8" s="2"/>
      <c r="J8" s="2"/>
      <c r="K8" s="2"/>
      <c r="L8" s="2"/>
    </row>
    <row r="9" spans="1:12" ht="18.649999999999999" customHeight="1" x14ac:dyDescent="0.35">
      <c r="A9" s="102" t="s">
        <v>10</v>
      </c>
      <c r="B9" s="106" t="s">
        <v>11</v>
      </c>
      <c r="C9" s="107"/>
      <c r="D9" s="104" t="s">
        <v>12</v>
      </c>
      <c r="E9" s="104" t="s">
        <v>13</v>
      </c>
      <c r="F9" s="16" t="s">
        <v>14</v>
      </c>
      <c r="G9" s="104" t="s">
        <v>20</v>
      </c>
      <c r="H9" s="114" t="s">
        <v>15</v>
      </c>
      <c r="I9" s="115"/>
      <c r="J9" s="115"/>
      <c r="K9" s="116"/>
      <c r="L9" s="119" t="s">
        <v>16</v>
      </c>
    </row>
    <row r="10" spans="1:12" ht="57" customHeight="1" x14ac:dyDescent="0.35">
      <c r="A10" s="103"/>
      <c r="B10" s="108"/>
      <c r="C10" s="109"/>
      <c r="D10" s="105"/>
      <c r="E10" s="105"/>
      <c r="F10" s="17" t="s">
        <v>17</v>
      </c>
      <c r="G10" s="105"/>
      <c r="H10" s="110" t="s">
        <v>18</v>
      </c>
      <c r="I10" s="111"/>
      <c r="J10" s="110" t="s">
        <v>19</v>
      </c>
      <c r="K10" s="111"/>
      <c r="L10" s="120"/>
    </row>
    <row r="11" spans="1:12" ht="15.65" customHeight="1" x14ac:dyDescent="0.35">
      <c r="A11" s="10">
        <v>1</v>
      </c>
      <c r="B11" s="86" t="s">
        <v>132</v>
      </c>
      <c r="C11" s="87"/>
      <c r="D11" s="3" t="s">
        <v>112</v>
      </c>
      <c r="E11" s="40">
        <v>210</v>
      </c>
      <c r="F11" s="40"/>
      <c r="G11" s="40">
        <v>18</v>
      </c>
      <c r="H11" s="80"/>
      <c r="I11" s="81"/>
      <c r="J11" s="82"/>
      <c r="K11" s="83"/>
      <c r="L11" s="11"/>
    </row>
    <row r="12" spans="1:12" ht="15.65" customHeight="1" x14ac:dyDescent="0.35">
      <c r="A12" s="10">
        <v>2</v>
      </c>
      <c r="B12" s="86" t="s">
        <v>133</v>
      </c>
      <c r="C12" s="87"/>
      <c r="D12" s="4" t="s">
        <v>113</v>
      </c>
      <c r="E12" s="40">
        <v>58</v>
      </c>
      <c r="F12" s="40"/>
      <c r="G12" s="40">
        <v>9</v>
      </c>
      <c r="H12" s="80"/>
      <c r="I12" s="81"/>
      <c r="J12" s="82"/>
      <c r="K12" s="83"/>
      <c r="L12" s="11"/>
    </row>
    <row r="13" spans="1:12" ht="15.65" customHeight="1" x14ac:dyDescent="0.35">
      <c r="A13" s="10">
        <v>3</v>
      </c>
      <c r="B13" s="86" t="s">
        <v>132</v>
      </c>
      <c r="C13" s="87"/>
      <c r="D13" s="3" t="s">
        <v>112</v>
      </c>
      <c r="E13" s="40">
        <v>126</v>
      </c>
      <c r="F13" s="40"/>
      <c r="G13" s="40">
        <v>16</v>
      </c>
      <c r="H13" s="80"/>
      <c r="I13" s="81"/>
      <c r="J13" s="82"/>
      <c r="K13" s="83"/>
      <c r="L13" s="11"/>
    </row>
    <row r="14" spans="1:12" ht="15.65" customHeight="1" x14ac:dyDescent="0.35">
      <c r="A14" s="10">
        <v>4</v>
      </c>
      <c r="B14" s="86" t="s">
        <v>134</v>
      </c>
      <c r="C14" s="87"/>
      <c r="D14" s="3" t="s">
        <v>114</v>
      </c>
      <c r="E14" s="40">
        <v>142</v>
      </c>
      <c r="F14" s="40"/>
      <c r="G14" s="40">
        <v>17</v>
      </c>
      <c r="H14" s="80"/>
      <c r="I14" s="81"/>
      <c r="J14" s="82"/>
      <c r="K14" s="83"/>
      <c r="L14" s="11"/>
    </row>
    <row r="15" spans="1:12" ht="15.65" customHeight="1" x14ac:dyDescent="0.35">
      <c r="A15" s="10">
        <v>5</v>
      </c>
      <c r="B15" s="86" t="s">
        <v>133</v>
      </c>
      <c r="C15" s="87"/>
      <c r="D15" s="7" t="s">
        <v>113</v>
      </c>
      <c r="E15" s="41">
        <v>56</v>
      </c>
      <c r="F15" s="40"/>
      <c r="G15" s="40">
        <v>10</v>
      </c>
      <c r="H15" s="80"/>
      <c r="I15" s="81"/>
      <c r="J15" s="82"/>
      <c r="K15" s="83"/>
      <c r="L15" s="11"/>
    </row>
    <row r="16" spans="1:12" ht="15.65" customHeight="1" x14ac:dyDescent="0.35">
      <c r="A16" s="10">
        <v>6</v>
      </c>
      <c r="B16" s="86" t="s">
        <v>136</v>
      </c>
      <c r="C16" s="87"/>
      <c r="D16" s="4" t="s">
        <v>135</v>
      </c>
      <c r="E16" s="40">
        <v>98</v>
      </c>
      <c r="F16" s="41"/>
      <c r="G16" s="41">
        <v>14</v>
      </c>
      <c r="H16" s="84"/>
      <c r="I16" s="85"/>
      <c r="J16" s="82"/>
      <c r="K16" s="83"/>
      <c r="L16" s="11"/>
    </row>
    <row r="17" spans="1:12" ht="15.65" customHeight="1" x14ac:dyDescent="0.35">
      <c r="A17" s="10">
        <v>7</v>
      </c>
      <c r="B17" s="86" t="s">
        <v>139</v>
      </c>
      <c r="C17" s="87"/>
      <c r="D17" s="7" t="s">
        <v>115</v>
      </c>
      <c r="E17" s="40">
        <v>110</v>
      </c>
      <c r="F17" s="41"/>
      <c r="G17" s="41">
        <v>13</v>
      </c>
      <c r="H17" s="84"/>
      <c r="I17" s="85"/>
      <c r="J17" s="82"/>
      <c r="K17" s="83"/>
      <c r="L17" s="11"/>
    </row>
    <row r="18" spans="1:12" ht="15.65" customHeight="1" x14ac:dyDescent="0.35">
      <c r="A18" s="10">
        <v>8</v>
      </c>
      <c r="B18" s="86" t="s">
        <v>140</v>
      </c>
      <c r="C18" s="87"/>
      <c r="D18" s="3" t="s">
        <v>116</v>
      </c>
      <c r="E18" s="40">
        <v>142</v>
      </c>
      <c r="F18" s="41"/>
      <c r="G18" s="41">
        <v>16</v>
      </c>
      <c r="H18" s="84"/>
      <c r="I18" s="85"/>
      <c r="J18" s="82"/>
      <c r="K18" s="83"/>
      <c r="L18" s="11"/>
    </row>
    <row r="19" spans="1:12" ht="15.5" x14ac:dyDescent="0.35">
      <c r="A19" s="10">
        <v>9</v>
      </c>
      <c r="B19" s="86" t="s">
        <v>141</v>
      </c>
      <c r="C19" s="87"/>
      <c r="D19" s="18" t="s">
        <v>117</v>
      </c>
      <c r="E19" s="40">
        <v>82</v>
      </c>
      <c r="F19" s="41"/>
      <c r="G19" s="41">
        <v>13</v>
      </c>
      <c r="H19" s="84"/>
      <c r="I19" s="85"/>
      <c r="J19" s="82"/>
      <c r="K19" s="83"/>
      <c r="L19" s="11"/>
    </row>
    <row r="20" spans="1:12" ht="15.65" customHeight="1" x14ac:dyDescent="0.35">
      <c r="A20" s="10">
        <v>10</v>
      </c>
      <c r="B20" s="86" t="s">
        <v>133</v>
      </c>
      <c r="C20" s="87"/>
      <c r="D20" s="4" t="s">
        <v>113</v>
      </c>
      <c r="E20" s="40">
        <v>62</v>
      </c>
      <c r="F20" s="41"/>
      <c r="G20" s="41">
        <v>10</v>
      </c>
      <c r="H20" s="84"/>
      <c r="I20" s="85"/>
      <c r="J20" s="82"/>
      <c r="K20" s="83"/>
      <c r="L20" s="11"/>
    </row>
    <row r="21" spans="1:12" ht="15.65" customHeight="1" x14ac:dyDescent="0.35">
      <c r="A21" s="10">
        <v>11</v>
      </c>
      <c r="B21" s="86" t="s">
        <v>132</v>
      </c>
      <c r="C21" s="87"/>
      <c r="D21" s="7" t="s">
        <v>112</v>
      </c>
      <c r="E21" s="40">
        <v>96</v>
      </c>
      <c r="F21" s="41"/>
      <c r="G21" s="41">
        <v>13</v>
      </c>
      <c r="H21" s="84"/>
      <c r="I21" s="85"/>
      <c r="J21" s="82"/>
      <c r="K21" s="83"/>
      <c r="L21" s="11"/>
    </row>
    <row r="22" spans="1:12" ht="15.65" customHeight="1" x14ac:dyDescent="0.35">
      <c r="A22" s="10">
        <v>12</v>
      </c>
      <c r="B22" s="86" t="s">
        <v>133</v>
      </c>
      <c r="C22" s="87"/>
      <c r="D22" s="7" t="s">
        <v>113</v>
      </c>
      <c r="E22" s="40">
        <v>74</v>
      </c>
      <c r="F22" s="41"/>
      <c r="G22" s="41">
        <v>12</v>
      </c>
      <c r="H22" s="84"/>
      <c r="I22" s="85"/>
      <c r="J22" s="82"/>
      <c r="K22" s="83"/>
      <c r="L22" s="11"/>
    </row>
    <row r="23" spans="1:12" ht="15.65" customHeight="1" x14ac:dyDescent="0.35">
      <c r="A23" s="10">
        <v>13</v>
      </c>
      <c r="B23" s="86" t="s">
        <v>142</v>
      </c>
      <c r="C23" s="87"/>
      <c r="D23" s="3" t="s">
        <v>118</v>
      </c>
      <c r="E23" s="40">
        <v>56</v>
      </c>
      <c r="F23" s="41"/>
      <c r="G23" s="41">
        <v>9</v>
      </c>
      <c r="H23" s="84"/>
      <c r="I23" s="85"/>
      <c r="J23" s="82"/>
      <c r="K23" s="83"/>
      <c r="L23" s="11"/>
    </row>
  </sheetData>
  <mergeCells count="64">
    <mergeCell ref="B11:C11"/>
    <mergeCell ref="B12:C12"/>
    <mergeCell ref="B13:C13"/>
    <mergeCell ref="H11:I11"/>
    <mergeCell ref="H12:I12"/>
    <mergeCell ref="H13:I13"/>
    <mergeCell ref="A9:A10"/>
    <mergeCell ref="D9:D10"/>
    <mergeCell ref="B9:C10"/>
    <mergeCell ref="J10:K10"/>
    <mergeCell ref="A6:B6"/>
    <mergeCell ref="G6:I6"/>
    <mergeCell ref="E9:E10"/>
    <mergeCell ref="G9:G10"/>
    <mergeCell ref="H10:I10"/>
    <mergeCell ref="H9:K9"/>
    <mergeCell ref="K6:L6"/>
    <mergeCell ref="K7:L7"/>
    <mergeCell ref="G7:I7"/>
    <mergeCell ref="L9:L10"/>
    <mergeCell ref="E5:I5"/>
    <mergeCell ref="A7:B7"/>
    <mergeCell ref="C6:D6"/>
    <mergeCell ref="C7:D7"/>
    <mergeCell ref="A1:L1"/>
    <mergeCell ref="A2:L2"/>
    <mergeCell ref="A3:L3"/>
    <mergeCell ref="A4:L4"/>
    <mergeCell ref="A5:B5"/>
    <mergeCell ref="C5:D5"/>
    <mergeCell ref="K5:L5"/>
    <mergeCell ref="B21:C21"/>
    <mergeCell ref="B22:C22"/>
    <mergeCell ref="B23:C23"/>
    <mergeCell ref="B14:C14"/>
    <mergeCell ref="B15:C15"/>
    <mergeCell ref="H19:I19"/>
    <mergeCell ref="H20:I20"/>
    <mergeCell ref="B16:C16"/>
    <mergeCell ref="B17:C17"/>
    <mergeCell ref="B18:C18"/>
    <mergeCell ref="B19:C19"/>
    <mergeCell ref="B20:C20"/>
    <mergeCell ref="J11:K11"/>
    <mergeCell ref="J12:K12"/>
    <mergeCell ref="J13:K13"/>
    <mergeCell ref="J14:K14"/>
    <mergeCell ref="J15:K15"/>
    <mergeCell ref="H14:I14"/>
    <mergeCell ref="H15:I15"/>
    <mergeCell ref="J21:K21"/>
    <mergeCell ref="J22:K22"/>
    <mergeCell ref="J23:K23"/>
    <mergeCell ref="J16:K16"/>
    <mergeCell ref="J17:K17"/>
    <mergeCell ref="J18:K18"/>
    <mergeCell ref="J19:K19"/>
    <mergeCell ref="J20:K20"/>
    <mergeCell ref="H21:I21"/>
    <mergeCell ref="H22:I22"/>
    <mergeCell ref="H23:I23"/>
    <mergeCell ref="H16:I16"/>
    <mergeCell ref="H17:I17"/>
    <mergeCell ref="H18:I18"/>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Views>
    <sheetView workbookViewId="0">
      <selection sqref="A1:Q1"/>
    </sheetView>
  </sheetViews>
  <sheetFormatPr defaultRowHeight="14.5" x14ac:dyDescent="0.35"/>
  <cols>
    <col min="1" max="1" width="3.81640625" customWidth="1"/>
    <col min="2" max="2" width="12.36328125" customWidth="1"/>
    <col min="3" max="3" width="12.6328125" customWidth="1"/>
    <col min="4" max="4" width="7.7265625" customWidth="1"/>
    <col min="5" max="13" width="4.26953125" customWidth="1"/>
    <col min="15" max="15" width="7.26953125" bestFit="1" customWidth="1"/>
    <col min="17" max="17" width="11.7265625" customWidth="1"/>
  </cols>
  <sheetData>
    <row r="1" spans="1:17" ht="21" x14ac:dyDescent="0.35">
      <c r="A1" s="124" t="s">
        <v>65</v>
      </c>
      <c r="B1" s="124"/>
      <c r="C1" s="124"/>
      <c r="D1" s="124"/>
      <c r="E1" s="124"/>
      <c r="F1" s="124"/>
      <c r="G1" s="124"/>
      <c r="H1" s="124"/>
      <c r="I1" s="124"/>
      <c r="J1" s="124"/>
      <c r="K1" s="124"/>
      <c r="L1" s="124"/>
      <c r="M1" s="124"/>
      <c r="N1" s="124"/>
      <c r="O1" s="124"/>
      <c r="P1" s="124"/>
      <c r="Q1" s="124"/>
    </row>
    <row r="2" spans="1:17" ht="21" x14ac:dyDescent="0.35">
      <c r="A2" s="124" t="s">
        <v>66</v>
      </c>
      <c r="B2" s="124"/>
      <c r="C2" s="124"/>
      <c r="D2" s="124"/>
      <c r="E2" s="124"/>
      <c r="F2" s="124"/>
      <c r="G2" s="124"/>
      <c r="H2" s="124"/>
      <c r="I2" s="124"/>
      <c r="J2" s="124"/>
      <c r="K2" s="124"/>
      <c r="L2" s="124"/>
      <c r="M2" s="124"/>
      <c r="N2" s="124"/>
      <c r="O2" s="124"/>
      <c r="P2" s="124"/>
      <c r="Q2" s="124"/>
    </row>
    <row r="3" spans="1:17" x14ac:dyDescent="0.35">
      <c r="A3" s="20"/>
    </row>
    <row r="4" spans="1:17" ht="15" thickBot="1" x14ac:dyDescent="0.4">
      <c r="A4" s="20"/>
    </row>
    <row r="5" spans="1:17" ht="16" thickBot="1" x14ac:dyDescent="0.4">
      <c r="A5" s="125" t="s">
        <v>10</v>
      </c>
      <c r="B5" s="125" t="s">
        <v>11</v>
      </c>
      <c r="C5" s="125" t="s">
        <v>12</v>
      </c>
      <c r="D5" s="125" t="s">
        <v>67</v>
      </c>
      <c r="E5" s="129" t="s">
        <v>68</v>
      </c>
      <c r="F5" s="130"/>
      <c r="G5" s="130"/>
      <c r="H5" s="130"/>
      <c r="I5" s="130"/>
      <c r="J5" s="130"/>
      <c r="K5" s="130"/>
      <c r="L5" s="130"/>
      <c r="M5" s="131"/>
      <c r="N5" s="125" t="s">
        <v>69</v>
      </c>
      <c r="O5" s="129" t="s">
        <v>70</v>
      </c>
      <c r="P5" s="131"/>
      <c r="Q5" s="125" t="s">
        <v>71</v>
      </c>
    </row>
    <row r="6" spans="1:17" ht="15.5" x14ac:dyDescent="0.35">
      <c r="A6" s="126"/>
      <c r="B6" s="126"/>
      <c r="C6" s="126"/>
      <c r="D6" s="126"/>
      <c r="E6" s="132" t="s">
        <v>72</v>
      </c>
      <c r="F6" s="133"/>
      <c r="G6" s="134"/>
      <c r="H6" s="132" t="s">
        <v>73</v>
      </c>
      <c r="I6" s="133"/>
      <c r="J6" s="134"/>
      <c r="K6" s="132" t="s">
        <v>74</v>
      </c>
      <c r="L6" s="133"/>
      <c r="M6" s="134"/>
      <c r="N6" s="126"/>
      <c r="O6" s="125" t="s">
        <v>75</v>
      </c>
      <c r="P6" s="125" t="s">
        <v>76</v>
      </c>
      <c r="Q6" s="126"/>
    </row>
    <row r="7" spans="1:17" ht="16" thickBot="1" x14ac:dyDescent="0.4">
      <c r="A7" s="126"/>
      <c r="B7" s="126"/>
      <c r="C7" s="128"/>
      <c r="D7" s="126"/>
      <c r="E7" s="121" t="s">
        <v>77</v>
      </c>
      <c r="F7" s="122"/>
      <c r="G7" s="123"/>
      <c r="H7" s="121" t="s">
        <v>78</v>
      </c>
      <c r="I7" s="122"/>
      <c r="J7" s="123"/>
      <c r="K7" s="121" t="s">
        <v>77</v>
      </c>
      <c r="L7" s="122"/>
      <c r="M7" s="123"/>
      <c r="N7" s="126"/>
      <c r="O7" s="126"/>
      <c r="P7" s="126"/>
      <c r="Q7" s="126"/>
    </row>
    <row r="8" spans="1:17" ht="16" thickBot="1" x14ac:dyDescent="0.4">
      <c r="A8" s="127"/>
      <c r="B8" s="127"/>
      <c r="C8" s="127"/>
      <c r="D8" s="127"/>
      <c r="E8" s="21" t="s">
        <v>79</v>
      </c>
      <c r="F8" s="21" t="s">
        <v>80</v>
      </c>
      <c r="G8" s="21" t="s">
        <v>81</v>
      </c>
      <c r="H8" s="21" t="s">
        <v>79</v>
      </c>
      <c r="I8" s="21" t="s">
        <v>80</v>
      </c>
      <c r="J8" s="21" t="s">
        <v>81</v>
      </c>
      <c r="K8" s="21" t="s">
        <v>79</v>
      </c>
      <c r="L8" s="21" t="s">
        <v>80</v>
      </c>
      <c r="M8" s="21" t="s">
        <v>81</v>
      </c>
      <c r="N8" s="127"/>
      <c r="O8" s="127"/>
      <c r="P8" s="127"/>
      <c r="Q8" s="127"/>
    </row>
    <row r="9" spans="1:17" ht="33.5" customHeight="1" x14ac:dyDescent="0.35">
      <c r="A9" s="70">
        <v>1</v>
      </c>
      <c r="B9" s="32" t="s">
        <v>143</v>
      </c>
      <c r="C9" s="71" t="s">
        <v>131</v>
      </c>
      <c r="D9" s="71">
        <v>826</v>
      </c>
      <c r="E9" s="72"/>
      <c r="F9" s="73">
        <v>2</v>
      </c>
      <c r="G9" s="71"/>
      <c r="H9" s="73">
        <v>5</v>
      </c>
      <c r="I9" s="71"/>
      <c r="J9" s="73"/>
      <c r="K9" s="71">
        <v>28</v>
      </c>
      <c r="L9" s="73"/>
      <c r="M9" s="71"/>
      <c r="N9" s="74">
        <v>5</v>
      </c>
      <c r="O9" s="75"/>
      <c r="P9" s="74"/>
      <c r="Q9" s="76"/>
    </row>
    <row r="10" spans="1:17" ht="33.5" customHeight="1" x14ac:dyDescent="0.35">
      <c r="A10" s="70">
        <v>2</v>
      </c>
      <c r="B10" s="32" t="s">
        <v>143</v>
      </c>
      <c r="C10" s="71" t="s">
        <v>131</v>
      </c>
      <c r="D10" s="71">
        <v>912</v>
      </c>
      <c r="E10" s="72"/>
      <c r="F10" s="73">
        <v>4</v>
      </c>
      <c r="G10" s="71"/>
      <c r="H10" s="73">
        <v>3</v>
      </c>
      <c r="I10" s="71"/>
      <c r="J10" s="73"/>
      <c r="K10" s="71">
        <v>32</v>
      </c>
      <c r="L10" s="73"/>
      <c r="M10" s="71"/>
      <c r="N10" s="74">
        <v>4</v>
      </c>
      <c r="O10" s="75"/>
      <c r="P10" s="74"/>
      <c r="Q10" s="76"/>
    </row>
    <row r="11" spans="1:17" ht="33.5" customHeight="1" x14ac:dyDescent="0.35">
      <c r="A11" s="70">
        <v>3</v>
      </c>
      <c r="B11" s="32" t="s">
        <v>143</v>
      </c>
      <c r="C11" s="71" t="s">
        <v>131</v>
      </c>
      <c r="D11" s="71">
        <v>720</v>
      </c>
      <c r="E11" s="72"/>
      <c r="F11" s="73">
        <v>5</v>
      </c>
      <c r="G11" s="71"/>
      <c r="H11" s="73">
        <v>3</v>
      </c>
      <c r="I11" s="71"/>
      <c r="J11" s="73"/>
      <c r="K11" s="71">
        <v>22</v>
      </c>
      <c r="L11" s="73"/>
      <c r="M11" s="71"/>
      <c r="N11" s="74">
        <v>6</v>
      </c>
      <c r="O11" s="75"/>
      <c r="P11" s="74"/>
      <c r="Q11" s="76"/>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election activeCell="B6" sqref="B6"/>
    </sheetView>
  </sheetViews>
  <sheetFormatPr defaultRowHeight="14.5" x14ac:dyDescent="0.35"/>
  <cols>
    <col min="1" max="1" width="5.1796875" customWidth="1"/>
    <col min="2" max="2" width="36.453125" customWidth="1"/>
    <col min="3" max="3" width="11.7265625" bestFit="1"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4" t="s">
        <v>82</v>
      </c>
      <c r="B1" s="124"/>
      <c r="C1" s="124"/>
      <c r="D1" s="124"/>
      <c r="E1" s="124"/>
      <c r="F1" s="124"/>
      <c r="G1" s="124"/>
      <c r="H1" s="124"/>
      <c r="I1" s="124"/>
    </row>
    <row r="2" spans="1:9" x14ac:dyDescent="0.35">
      <c r="A2" s="139"/>
      <c r="B2" s="139"/>
      <c r="H2" t="s">
        <v>83</v>
      </c>
      <c r="I2" s="9">
        <f>'Form 1'!C9</f>
        <v>358</v>
      </c>
    </row>
    <row r="3" spans="1:9" ht="24" customHeight="1" x14ac:dyDescent="0.35">
      <c r="A3" s="136" t="s">
        <v>10</v>
      </c>
      <c r="B3" s="136" t="s">
        <v>11</v>
      </c>
      <c r="C3" s="136" t="s">
        <v>12</v>
      </c>
      <c r="D3" s="136" t="s">
        <v>84</v>
      </c>
      <c r="E3" s="136" t="s">
        <v>108</v>
      </c>
      <c r="F3" s="136" t="s">
        <v>85</v>
      </c>
      <c r="G3" s="110" t="s">
        <v>15</v>
      </c>
      <c r="H3" s="111"/>
      <c r="I3" s="136" t="s">
        <v>86</v>
      </c>
    </row>
    <row r="4" spans="1:9" ht="60" x14ac:dyDescent="0.35">
      <c r="A4" s="137"/>
      <c r="B4" s="137"/>
      <c r="C4" s="137"/>
      <c r="D4" s="137"/>
      <c r="E4" s="137"/>
      <c r="F4" s="137"/>
      <c r="G4" s="19" t="s">
        <v>87</v>
      </c>
      <c r="H4" s="19" t="s">
        <v>19</v>
      </c>
      <c r="I4" s="137"/>
    </row>
    <row r="5" spans="1:9" ht="15.65" customHeight="1" x14ac:dyDescent="0.35">
      <c r="A5" s="22">
        <v>1</v>
      </c>
      <c r="B5" s="32" t="s">
        <v>139</v>
      </c>
      <c r="C5" s="4" t="s">
        <v>115</v>
      </c>
      <c r="D5" s="4"/>
      <c r="E5" s="4">
        <v>32.6</v>
      </c>
      <c r="F5" s="41">
        <v>2</v>
      </c>
      <c r="G5" s="22"/>
      <c r="H5" s="22"/>
      <c r="I5" s="22"/>
    </row>
    <row r="6" spans="1:9" ht="15.65" customHeight="1" x14ac:dyDescent="0.35">
      <c r="A6" s="22">
        <v>2</v>
      </c>
      <c r="B6" s="32" t="s">
        <v>145</v>
      </c>
      <c r="C6" s="4" t="s">
        <v>119</v>
      </c>
      <c r="D6" s="4"/>
      <c r="E6" s="4">
        <v>20.100000000000001</v>
      </c>
      <c r="F6" s="41">
        <v>1.5</v>
      </c>
      <c r="G6" s="22"/>
      <c r="H6" s="22"/>
      <c r="I6" s="22"/>
    </row>
    <row r="7" spans="1:9" ht="15.65" customHeight="1" x14ac:dyDescent="0.35">
      <c r="A7" s="22">
        <v>3</v>
      </c>
      <c r="B7" s="44" t="s">
        <v>132</v>
      </c>
      <c r="C7" s="4" t="s">
        <v>112</v>
      </c>
      <c r="D7" s="4"/>
      <c r="E7" s="4">
        <v>20.100000000000001</v>
      </c>
      <c r="F7" s="41">
        <v>1</v>
      </c>
      <c r="G7" s="22"/>
      <c r="H7" s="22"/>
      <c r="I7" s="22"/>
    </row>
    <row r="8" spans="1:9" ht="15.5" x14ac:dyDescent="0.35">
      <c r="A8" s="24"/>
      <c r="B8" s="25"/>
      <c r="C8" s="26"/>
      <c r="D8" s="27"/>
      <c r="E8" s="27"/>
      <c r="F8" s="27"/>
      <c r="G8" s="24"/>
      <c r="H8" s="24"/>
      <c r="I8" s="24"/>
    </row>
    <row r="9" spans="1:9" ht="21" x14ac:dyDescent="0.35">
      <c r="A9" s="124" t="s">
        <v>88</v>
      </c>
      <c r="B9" s="124"/>
      <c r="C9" s="124"/>
      <c r="D9" s="124"/>
      <c r="E9" s="124"/>
      <c r="F9" s="124"/>
      <c r="G9" s="124"/>
      <c r="H9" s="124"/>
      <c r="I9" s="124"/>
    </row>
    <row r="10" spans="1:9" ht="15.5" x14ac:dyDescent="0.35">
      <c r="A10" s="138"/>
      <c r="B10" s="138"/>
      <c r="H10" t="s">
        <v>83</v>
      </c>
      <c r="I10" s="9">
        <f>'Form 1'!C9</f>
        <v>358</v>
      </c>
    </row>
    <row r="11" spans="1:9" ht="15.75" customHeight="1" x14ac:dyDescent="0.35">
      <c r="A11" s="105" t="s">
        <v>10</v>
      </c>
      <c r="B11" s="105" t="s">
        <v>11</v>
      </c>
      <c r="C11" s="105" t="s">
        <v>12</v>
      </c>
      <c r="D11" s="105" t="s">
        <v>84</v>
      </c>
      <c r="E11" s="136" t="s">
        <v>108</v>
      </c>
      <c r="F11" s="105" t="s">
        <v>85</v>
      </c>
      <c r="G11" s="105" t="s">
        <v>15</v>
      </c>
      <c r="H11" s="105"/>
      <c r="I11" s="136" t="s">
        <v>86</v>
      </c>
    </row>
    <row r="12" spans="1:9" ht="60" x14ac:dyDescent="0.35">
      <c r="A12" s="105"/>
      <c r="B12" s="105"/>
      <c r="C12" s="105"/>
      <c r="D12" s="105"/>
      <c r="E12" s="137"/>
      <c r="F12" s="105"/>
      <c r="G12" s="19" t="s">
        <v>87</v>
      </c>
      <c r="H12" s="19" t="s">
        <v>19</v>
      </c>
      <c r="I12" s="137"/>
    </row>
    <row r="13" spans="1:9" ht="15.5" x14ac:dyDescent="0.35">
      <c r="A13" s="65">
        <v>1</v>
      </c>
      <c r="B13" s="32" t="s">
        <v>138</v>
      </c>
      <c r="C13" s="67" t="s">
        <v>130</v>
      </c>
      <c r="D13" s="65"/>
      <c r="E13" s="28">
        <v>26.7</v>
      </c>
      <c r="F13" s="22">
        <v>1</v>
      </c>
      <c r="G13" s="65"/>
      <c r="H13" s="65"/>
      <c r="I13" s="66"/>
    </row>
    <row r="14" spans="1:9" ht="15.5" x14ac:dyDescent="0.35">
      <c r="A14" s="65">
        <v>2</v>
      </c>
      <c r="B14" s="32" t="s">
        <v>143</v>
      </c>
      <c r="C14" s="3" t="s">
        <v>131</v>
      </c>
      <c r="D14" s="65"/>
      <c r="E14" s="28">
        <v>58.6</v>
      </c>
      <c r="F14" s="22">
        <v>5</v>
      </c>
      <c r="G14" s="65"/>
      <c r="H14" s="65"/>
      <c r="I14" s="66"/>
    </row>
    <row r="15" spans="1:9" ht="15.5" x14ac:dyDescent="0.35">
      <c r="A15" s="65">
        <v>3</v>
      </c>
      <c r="B15" s="32" t="s">
        <v>143</v>
      </c>
      <c r="C15" s="3" t="s">
        <v>131</v>
      </c>
      <c r="D15" s="65"/>
      <c r="E15" s="28">
        <v>52.2</v>
      </c>
      <c r="F15" s="22">
        <v>2</v>
      </c>
      <c r="G15" s="65"/>
      <c r="H15" s="65"/>
      <c r="I15" s="66"/>
    </row>
    <row r="17" spans="1:9" ht="21" x14ac:dyDescent="0.35">
      <c r="A17" s="124" t="s">
        <v>89</v>
      </c>
      <c r="B17" s="124"/>
      <c r="C17" s="124"/>
      <c r="D17" s="124"/>
      <c r="E17" s="124"/>
      <c r="F17" s="124"/>
      <c r="G17" s="124"/>
      <c r="H17" s="124"/>
      <c r="I17" s="124"/>
    </row>
    <row r="18" spans="1:9" ht="15.5" x14ac:dyDescent="0.35">
      <c r="A18" s="138"/>
      <c r="B18" s="138"/>
      <c r="H18" s="9" t="s">
        <v>83</v>
      </c>
      <c r="I18" s="9">
        <f>'Form 1'!C9</f>
        <v>358</v>
      </c>
    </row>
    <row r="19" spans="1:9" ht="15.75" customHeight="1" x14ac:dyDescent="0.35">
      <c r="A19" s="105" t="s">
        <v>10</v>
      </c>
      <c r="B19" s="105" t="s">
        <v>11</v>
      </c>
      <c r="C19" s="105" t="s">
        <v>12</v>
      </c>
      <c r="D19" s="105" t="s">
        <v>84</v>
      </c>
      <c r="E19" s="136" t="s">
        <v>108</v>
      </c>
      <c r="F19" s="105" t="s">
        <v>85</v>
      </c>
      <c r="G19" s="105" t="s">
        <v>15</v>
      </c>
      <c r="H19" s="105"/>
      <c r="I19" s="136" t="s">
        <v>86</v>
      </c>
    </row>
    <row r="20" spans="1:9" ht="60" x14ac:dyDescent="0.35">
      <c r="A20" s="105"/>
      <c r="B20" s="105"/>
      <c r="C20" s="105"/>
      <c r="D20" s="105"/>
      <c r="E20" s="137"/>
      <c r="F20" s="105"/>
      <c r="G20" s="19" t="s">
        <v>87</v>
      </c>
      <c r="H20" s="19" t="s">
        <v>19</v>
      </c>
      <c r="I20" s="137"/>
    </row>
    <row r="21" spans="1:9" ht="15.65" customHeight="1" x14ac:dyDescent="0.35">
      <c r="A21" s="22">
        <v>1</v>
      </c>
      <c r="B21" s="23" t="s">
        <v>133</v>
      </c>
      <c r="C21" s="3" t="s">
        <v>113</v>
      </c>
      <c r="D21" s="40"/>
      <c r="E21" s="3">
        <v>23.1</v>
      </c>
      <c r="F21" s="40">
        <v>1.5</v>
      </c>
      <c r="G21" s="22"/>
      <c r="H21" s="22"/>
      <c r="I21" s="22"/>
    </row>
    <row r="22" spans="1:9" ht="15.65" customHeight="1" x14ac:dyDescent="0.35">
      <c r="A22" s="22">
        <v>2</v>
      </c>
      <c r="B22" s="32" t="s">
        <v>144</v>
      </c>
      <c r="C22" s="3" t="s">
        <v>126</v>
      </c>
      <c r="D22" s="40"/>
      <c r="E22" s="3">
        <v>20.100000000000001</v>
      </c>
      <c r="F22" s="40">
        <v>1</v>
      </c>
      <c r="G22" s="22"/>
      <c r="H22" s="22"/>
      <c r="I22" s="22"/>
    </row>
    <row r="23" spans="1:9" ht="15.5" x14ac:dyDescent="0.35">
      <c r="D23" s="27"/>
      <c r="F23" s="29"/>
    </row>
    <row r="24" spans="1:9" ht="21" x14ac:dyDescent="0.35">
      <c r="A24" s="124" t="s">
        <v>90</v>
      </c>
      <c r="B24" s="124"/>
      <c r="C24" s="124"/>
      <c r="D24" s="124"/>
      <c r="E24" s="124"/>
      <c r="F24" s="124"/>
      <c r="G24" s="124"/>
      <c r="H24" s="124"/>
      <c r="I24" s="124"/>
    </row>
    <row r="25" spans="1:9" x14ac:dyDescent="0.35">
      <c r="A25" s="135"/>
      <c r="B25" s="135"/>
      <c r="H25" t="s">
        <v>83</v>
      </c>
      <c r="I25" s="9">
        <f>'Form 1'!C9</f>
        <v>358</v>
      </c>
    </row>
    <row r="26" spans="1:9" ht="15.75" customHeight="1" x14ac:dyDescent="0.35">
      <c r="A26" s="105" t="s">
        <v>10</v>
      </c>
      <c r="B26" s="105" t="s">
        <v>11</v>
      </c>
      <c r="C26" s="105" t="s">
        <v>12</v>
      </c>
      <c r="D26" s="105" t="s">
        <v>84</v>
      </c>
      <c r="E26" s="136" t="s">
        <v>108</v>
      </c>
      <c r="F26" s="105" t="s">
        <v>85</v>
      </c>
      <c r="G26" s="105" t="s">
        <v>15</v>
      </c>
      <c r="H26" s="105"/>
      <c r="I26" s="105" t="s">
        <v>86</v>
      </c>
    </row>
    <row r="27" spans="1:9" ht="60" x14ac:dyDescent="0.35">
      <c r="A27" s="105"/>
      <c r="B27" s="105"/>
      <c r="C27" s="105"/>
      <c r="D27" s="105"/>
      <c r="E27" s="137"/>
      <c r="F27" s="105"/>
      <c r="G27" s="38" t="s">
        <v>87</v>
      </c>
      <c r="H27" s="38" t="s">
        <v>19</v>
      </c>
      <c r="I27" s="105"/>
    </row>
    <row r="28" spans="1:9" ht="30.75" customHeight="1" x14ac:dyDescent="0.35">
      <c r="A28" s="22">
        <v>1</v>
      </c>
      <c r="B28" s="44" t="s">
        <v>137</v>
      </c>
      <c r="C28" s="3" t="s">
        <v>113</v>
      </c>
      <c r="D28" s="42"/>
      <c r="E28" s="43">
        <v>20.100000000000001</v>
      </c>
      <c r="F28" s="42">
        <v>1</v>
      </c>
      <c r="G28" s="22"/>
      <c r="H28" s="22"/>
      <c r="I28" s="22"/>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7:I17"/>
    <mergeCell ref="A18:B18"/>
    <mergeCell ref="A19:A20"/>
    <mergeCell ref="B19:B20"/>
    <mergeCell ref="C19:C20"/>
    <mergeCell ref="D19:D20"/>
    <mergeCell ref="E19:E20"/>
    <mergeCell ref="F19:F20"/>
    <mergeCell ref="G19:H19"/>
    <mergeCell ref="I19:I20"/>
    <mergeCell ref="A24:I24"/>
    <mergeCell ref="A25:B25"/>
    <mergeCell ref="A26:A27"/>
    <mergeCell ref="B26:B27"/>
    <mergeCell ref="C26:C27"/>
    <mergeCell ref="D26:D27"/>
    <mergeCell ref="E26:E27"/>
    <mergeCell ref="F26:F27"/>
    <mergeCell ref="G26:H26"/>
    <mergeCell ref="I26:I27"/>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tabSelected="1" workbookViewId="0">
      <selection activeCell="B25" sqref="B25"/>
    </sheetView>
  </sheetViews>
  <sheetFormatPr defaultRowHeight="14.5" x14ac:dyDescent="0.35"/>
  <cols>
    <col min="1" max="1" width="5.1796875" customWidth="1"/>
    <col min="2" max="2" width="26.54296875" customWidth="1"/>
    <col min="3" max="3" width="12.7265625" customWidth="1"/>
    <col min="5" max="5" width="11.54296875" customWidth="1"/>
    <col min="6" max="6" width="11.1796875" customWidth="1"/>
    <col min="7" max="7" width="17.1796875" customWidth="1"/>
    <col min="12" max="12" width="18.81640625" customWidth="1"/>
  </cols>
  <sheetData>
    <row r="1" spans="1:12" ht="15" x14ac:dyDescent="0.35">
      <c r="A1" s="146" t="s">
        <v>91</v>
      </c>
      <c r="B1" s="146"/>
      <c r="C1" s="146"/>
      <c r="D1" s="146"/>
      <c r="E1" s="146"/>
      <c r="F1" s="146"/>
      <c r="G1" s="146"/>
    </row>
    <row r="2" spans="1:12" ht="15.5" x14ac:dyDescent="0.35">
      <c r="A2" s="147"/>
      <c r="B2" s="147"/>
      <c r="C2" s="2"/>
      <c r="D2" s="2"/>
      <c r="E2" s="2"/>
      <c r="F2" t="s">
        <v>83</v>
      </c>
      <c r="G2" s="9">
        <f>'Form 1'!C9</f>
        <v>358</v>
      </c>
    </row>
    <row r="3" spans="1:12" ht="15" x14ac:dyDescent="0.35">
      <c r="A3" s="105" t="s">
        <v>10</v>
      </c>
      <c r="B3" s="105" t="s">
        <v>11</v>
      </c>
      <c r="C3" s="105" t="s">
        <v>12</v>
      </c>
      <c r="D3" s="105" t="s">
        <v>92</v>
      </c>
      <c r="E3" s="105" t="s">
        <v>15</v>
      </c>
      <c r="F3" s="105"/>
      <c r="G3" s="105" t="s">
        <v>93</v>
      </c>
    </row>
    <row r="4" spans="1:12" ht="30" x14ac:dyDescent="0.35">
      <c r="A4" s="105"/>
      <c r="B4" s="105"/>
      <c r="C4" s="105"/>
      <c r="D4" s="105"/>
      <c r="E4" s="30" t="s">
        <v>94</v>
      </c>
      <c r="F4" s="30" t="s">
        <v>95</v>
      </c>
      <c r="G4" s="105"/>
    </row>
    <row r="5" spans="1:12" ht="15" x14ac:dyDescent="0.35">
      <c r="A5" s="105"/>
      <c r="B5" s="105"/>
      <c r="C5" s="105"/>
      <c r="D5" s="105"/>
      <c r="E5" s="31" t="s">
        <v>96</v>
      </c>
      <c r="F5" s="31" t="s">
        <v>97</v>
      </c>
      <c r="G5" s="105"/>
    </row>
    <row r="6" spans="1:12" ht="15.5" x14ac:dyDescent="0.35">
      <c r="A6" s="22">
        <v>1</v>
      </c>
      <c r="B6" s="44" t="s">
        <v>146</v>
      </c>
      <c r="C6" s="3" t="s">
        <v>127</v>
      </c>
      <c r="D6" s="40">
        <v>40</v>
      </c>
      <c r="E6" s="22"/>
      <c r="F6" s="30"/>
      <c r="G6" s="22"/>
    </row>
    <row r="7" spans="1:12" ht="15.5" x14ac:dyDescent="0.35">
      <c r="A7" s="22">
        <v>2</v>
      </c>
      <c r="B7" s="32" t="s">
        <v>144</v>
      </c>
      <c r="C7" s="3" t="s">
        <v>126</v>
      </c>
      <c r="D7" s="40">
        <v>27</v>
      </c>
      <c r="E7" s="22"/>
      <c r="F7" s="22"/>
      <c r="G7" s="22"/>
    </row>
    <row r="8" spans="1:12" ht="15.5" x14ac:dyDescent="0.35">
      <c r="A8" s="22">
        <v>3</v>
      </c>
      <c r="B8" s="32" t="s">
        <v>144</v>
      </c>
      <c r="C8" s="3" t="s">
        <v>126</v>
      </c>
      <c r="D8" s="40">
        <v>14</v>
      </c>
      <c r="E8" s="22"/>
      <c r="F8" s="39"/>
      <c r="G8" s="22"/>
    </row>
    <row r="9" spans="1:12" ht="15.5" x14ac:dyDescent="0.35">
      <c r="A9" s="22">
        <v>4</v>
      </c>
      <c r="B9" s="32" t="s">
        <v>144</v>
      </c>
      <c r="C9" s="3" t="s">
        <v>126</v>
      </c>
      <c r="D9" s="40">
        <v>18</v>
      </c>
      <c r="E9" s="22"/>
      <c r="F9" s="22"/>
      <c r="G9" s="22"/>
    </row>
    <row r="10" spans="1:12" ht="15" x14ac:dyDescent="0.35">
      <c r="A10" s="110" t="s">
        <v>103</v>
      </c>
      <c r="B10" s="143"/>
      <c r="C10" s="143"/>
      <c r="D10" s="143"/>
      <c r="E10" s="143"/>
      <c r="F10" s="143"/>
      <c r="G10" s="111"/>
    </row>
    <row r="11" spans="1:12" ht="15.5" x14ac:dyDescent="0.35">
      <c r="A11" s="22">
        <v>1</v>
      </c>
      <c r="B11" s="140" t="s">
        <v>104</v>
      </c>
      <c r="C11" s="141"/>
      <c r="D11" s="141"/>
      <c r="E11" s="141"/>
      <c r="F11" s="142"/>
      <c r="G11" s="3" t="s">
        <v>120</v>
      </c>
    </row>
    <row r="12" spans="1:12" ht="15.5" x14ac:dyDescent="0.35">
      <c r="A12" s="22">
        <v>2</v>
      </c>
      <c r="B12" s="140" t="s">
        <v>105</v>
      </c>
      <c r="C12" s="141"/>
      <c r="D12" s="141"/>
      <c r="E12" s="141"/>
      <c r="F12" s="142"/>
      <c r="G12" s="3" t="s">
        <v>121</v>
      </c>
    </row>
    <row r="13" spans="1:12" ht="15.5" x14ac:dyDescent="0.35">
      <c r="A13" s="22">
        <v>3</v>
      </c>
      <c r="B13" s="140" t="s">
        <v>106</v>
      </c>
      <c r="C13" s="141"/>
      <c r="D13" s="141"/>
      <c r="E13" s="141"/>
      <c r="F13" s="142"/>
      <c r="G13" s="3" t="s">
        <v>122</v>
      </c>
    </row>
    <row r="14" spans="1:12" ht="15.5" x14ac:dyDescent="0.35">
      <c r="A14" s="22">
        <v>4</v>
      </c>
      <c r="B14" s="140" t="s">
        <v>107</v>
      </c>
      <c r="C14" s="141"/>
      <c r="D14" s="141"/>
      <c r="E14" s="141"/>
      <c r="F14" s="142"/>
      <c r="G14" s="3" t="s">
        <v>123</v>
      </c>
    </row>
    <row r="15" spans="1:12" ht="15.5" x14ac:dyDescent="0.35">
      <c r="A15" s="24"/>
      <c r="B15" s="34"/>
      <c r="C15" s="34"/>
      <c r="D15" s="24"/>
      <c r="E15" s="24"/>
      <c r="F15" s="24"/>
      <c r="G15" s="24"/>
      <c r="L15" s="33"/>
    </row>
    <row r="16" spans="1:12" s="35" customFormat="1" ht="19.899999999999999" customHeight="1" x14ac:dyDescent="0.35">
      <c r="A16" s="145" t="s">
        <v>98</v>
      </c>
      <c r="B16" s="145"/>
      <c r="C16" s="145"/>
      <c r="D16" s="145"/>
      <c r="E16" s="145"/>
      <c r="F16" s="145"/>
      <c r="G16" s="145"/>
      <c r="L16" s="33"/>
    </row>
    <row r="17" spans="1:12" ht="15.5" x14ac:dyDescent="0.35">
      <c r="A17" s="35"/>
      <c r="B17" s="35"/>
      <c r="C17" s="35"/>
      <c r="D17" s="35"/>
      <c r="E17" s="35"/>
      <c r="F17" t="s">
        <v>83</v>
      </c>
      <c r="G17" s="9">
        <f>'Form 1'!C9</f>
        <v>358</v>
      </c>
      <c r="L17" s="33"/>
    </row>
    <row r="18" spans="1:12" ht="15.75" customHeight="1" x14ac:dyDescent="0.35">
      <c r="A18" s="136" t="s">
        <v>10</v>
      </c>
      <c r="B18" s="136" t="s">
        <v>11</v>
      </c>
      <c r="C18" s="136" t="s">
        <v>12</v>
      </c>
      <c r="D18" s="136" t="s">
        <v>99</v>
      </c>
      <c r="E18" s="110" t="s">
        <v>15</v>
      </c>
      <c r="F18" s="111"/>
      <c r="G18" s="136" t="s">
        <v>100</v>
      </c>
      <c r="L18" s="33"/>
    </row>
    <row r="19" spans="1:12" ht="30" x14ac:dyDescent="0.35">
      <c r="A19" s="144"/>
      <c r="B19" s="144"/>
      <c r="C19" s="144"/>
      <c r="D19" s="144"/>
      <c r="E19" s="30" t="s">
        <v>94</v>
      </c>
      <c r="F19" s="30" t="s">
        <v>95</v>
      </c>
      <c r="G19" s="144"/>
      <c r="L19" s="33"/>
    </row>
    <row r="20" spans="1:12" ht="15.5" x14ac:dyDescent="0.35">
      <c r="A20" s="137"/>
      <c r="B20" s="137"/>
      <c r="C20" s="137"/>
      <c r="D20" s="137"/>
      <c r="E20" s="31" t="s">
        <v>96</v>
      </c>
      <c r="F20" s="31" t="s">
        <v>97</v>
      </c>
      <c r="G20" s="137"/>
      <c r="L20" s="33"/>
    </row>
    <row r="21" spans="1:12" ht="15.5" x14ac:dyDescent="0.35">
      <c r="A21" s="22">
        <v>1</v>
      </c>
      <c r="B21" s="69" t="s">
        <v>147</v>
      </c>
      <c r="C21" s="3" t="s">
        <v>128</v>
      </c>
      <c r="D21" s="40">
        <v>25</v>
      </c>
      <c r="E21" s="22"/>
      <c r="F21" s="22"/>
      <c r="G21" s="22"/>
      <c r="L21" s="33"/>
    </row>
    <row r="22" spans="1:12" ht="15.5" x14ac:dyDescent="0.35">
      <c r="A22" s="22">
        <v>2</v>
      </c>
      <c r="B22" s="32" t="s">
        <v>148</v>
      </c>
      <c r="C22" s="3" t="s">
        <v>129</v>
      </c>
      <c r="D22" s="40">
        <v>7</v>
      </c>
      <c r="E22" s="22"/>
      <c r="F22" s="22"/>
      <c r="G22" s="22"/>
      <c r="L22" s="33"/>
    </row>
    <row r="23" spans="1:12" ht="15.5" x14ac:dyDescent="0.35">
      <c r="A23" s="22">
        <v>3</v>
      </c>
      <c r="B23" s="32" t="s">
        <v>148</v>
      </c>
      <c r="C23" s="3" t="s">
        <v>129</v>
      </c>
      <c r="D23" s="40">
        <v>3</v>
      </c>
      <c r="E23" s="22"/>
      <c r="F23" s="22"/>
      <c r="G23" s="22"/>
      <c r="L23" s="33"/>
    </row>
    <row r="24" spans="1:12" ht="15.5" x14ac:dyDescent="0.35">
      <c r="A24" s="22">
        <v>4</v>
      </c>
      <c r="B24" s="32" t="s">
        <v>148</v>
      </c>
      <c r="C24" s="3" t="s">
        <v>129</v>
      </c>
      <c r="D24" s="40">
        <v>3</v>
      </c>
      <c r="E24" s="22"/>
      <c r="F24" s="22"/>
      <c r="G24" s="22"/>
      <c r="L24" s="33"/>
    </row>
    <row r="25" spans="1:12" ht="15.5" x14ac:dyDescent="0.35">
      <c r="A25" s="22">
        <v>5</v>
      </c>
      <c r="B25" s="32" t="s">
        <v>148</v>
      </c>
      <c r="C25" s="3" t="s">
        <v>129</v>
      </c>
      <c r="D25" s="40">
        <v>2</v>
      </c>
      <c r="E25" s="22"/>
      <c r="F25" s="22"/>
      <c r="G25" s="22"/>
      <c r="L25" s="33"/>
    </row>
    <row r="26" spans="1:12" ht="15" x14ac:dyDescent="0.35">
      <c r="A26" s="110" t="s">
        <v>103</v>
      </c>
      <c r="B26" s="143"/>
      <c r="C26" s="143"/>
      <c r="D26" s="143"/>
      <c r="E26" s="143"/>
      <c r="F26" s="143"/>
      <c r="G26" s="111"/>
    </row>
    <row r="27" spans="1:12" ht="15.5" x14ac:dyDescent="0.35">
      <c r="A27" s="22">
        <v>1</v>
      </c>
      <c r="B27" s="140" t="s">
        <v>104</v>
      </c>
      <c r="C27" s="141"/>
      <c r="D27" s="141"/>
      <c r="E27" s="141"/>
      <c r="F27" s="142"/>
      <c r="G27" s="3" t="s">
        <v>124</v>
      </c>
    </row>
    <row r="28" spans="1:12" ht="15.5" x14ac:dyDescent="0.35">
      <c r="A28" s="22">
        <v>2</v>
      </c>
      <c r="B28" s="140" t="s">
        <v>105</v>
      </c>
      <c r="C28" s="141"/>
      <c r="D28" s="141"/>
      <c r="E28" s="141"/>
      <c r="F28" s="142"/>
      <c r="G28" s="3" t="s">
        <v>121</v>
      </c>
    </row>
    <row r="29" spans="1:12" ht="15.5" x14ac:dyDescent="0.35">
      <c r="A29" s="22">
        <v>3</v>
      </c>
      <c r="B29" s="140" t="s">
        <v>106</v>
      </c>
      <c r="C29" s="141"/>
      <c r="D29" s="141"/>
      <c r="E29" s="141"/>
      <c r="F29" s="142"/>
      <c r="G29" s="3" t="s">
        <v>122</v>
      </c>
    </row>
    <row r="30" spans="1:12" ht="15.5" x14ac:dyDescent="0.35">
      <c r="A30" s="22">
        <v>4</v>
      </c>
      <c r="B30" s="140" t="s">
        <v>107</v>
      </c>
      <c r="C30" s="141"/>
      <c r="D30" s="141"/>
      <c r="E30" s="141"/>
      <c r="F30" s="142"/>
      <c r="G30" s="3" t="s">
        <v>125</v>
      </c>
    </row>
  </sheetData>
  <mergeCells count="25">
    <mergeCell ref="E18:F18"/>
    <mergeCell ref="A1:G1"/>
    <mergeCell ref="A2:B2"/>
    <mergeCell ref="A3:A5"/>
    <mergeCell ref="B3:B5"/>
    <mergeCell ref="C3:C5"/>
    <mergeCell ref="D3:D5"/>
    <mergeCell ref="E3:F3"/>
    <mergeCell ref="G3:G5"/>
    <mergeCell ref="B29:F29"/>
    <mergeCell ref="B30:F30"/>
    <mergeCell ref="A10:G10"/>
    <mergeCell ref="B11:F11"/>
    <mergeCell ref="A26:G26"/>
    <mergeCell ref="B27:F27"/>
    <mergeCell ref="B28:F28"/>
    <mergeCell ref="G18:G20"/>
    <mergeCell ref="A16:G16"/>
    <mergeCell ref="B12:F12"/>
    <mergeCell ref="B13:F13"/>
    <mergeCell ref="B14:F14"/>
    <mergeCell ref="A18:A20"/>
    <mergeCell ref="B18:B20"/>
    <mergeCell ref="C18:C20"/>
    <mergeCell ref="D18:D20"/>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2024-10-28T01:40:00Z</dcterms:modified>
</cp:coreProperties>
</file>