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6" i="11"/>
  <c r="I15" i="11"/>
  <c r="I9" i="11"/>
  <c r="I2" i="11"/>
  <c r="C13" i="8"/>
  <c r="C12" i="8"/>
  <c r="C11" i="8"/>
  <c r="C10" i="8"/>
  <c r="C5" i="6" s="1"/>
  <c r="C9" i="8"/>
</calcChain>
</file>

<file path=xl/sharedStrings.xml><?xml version="1.0" encoding="utf-8"?>
<sst xmlns="http://schemas.openxmlformats.org/spreadsheetml/2006/main" count="333" uniqueCount="182">
  <si>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</si>
  <si>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</si>
  <si>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</si>
  <si>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</si>
  <si>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</si>
  <si>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</si>
  <si>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</si>
  <si>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</si>
  <si>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</si>
  <si>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</si>
  <si>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</si>
  <si>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</si>
  <si>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</si>
  <si>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</si>
  <si>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</si>
  <si>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</si>
  <si>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</si>
  <si>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</si>
  <si>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</si>
  <si>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</si>
  <si>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</si>
  <si>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</si>
  <si>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</si>
  <si>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</si>
  <si>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</si>
  <si>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</si>
  <si>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</si>
  <si>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</si>
  <si>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</si>
  <si>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</si>
  <si>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</si>
  <si>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</si>
  <si>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</si>
  <si>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</si>
  <si>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</si>
  <si>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</si>
  <si>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</si>
  <si>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</si>
  <si>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</si>
  <si>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</si>
  <si>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</si>
  <si>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</si>
  <si>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</si>
  <si>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</si>
  <si>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</si>
  <si>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</si>
  <si>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</si>
  <si>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</si>
  <si>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</si>
  <si>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</si>
  <si>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</si>
  <si>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</si>
  <si>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</si>
  <si>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</si>
  <si>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</si>
  <si>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</si>
  <si>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</si>
  <si>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</si>
  <si>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</si>
  <si>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</si>
  <si>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</si>
  <si>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</si>
  <si>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</si>
  <si>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</si>
  <si>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</si>
  <si>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</si>
  <si>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</si>
  <si>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</si>
  <si>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</si>
  <si>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</si>
  <si>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</si>
  <si>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</si>
  <si>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</si>
  <si>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</si>
  <si>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</si>
  <si>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</si>
  <si>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</si>
  <si>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</si>
  <si>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</si>
  <si>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</si>
  <si>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</si>
  <si>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</si>
  <si>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</si>
  <si>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</si>
  <si>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</si>
  <si>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</si>
  <si>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</si>
  <si>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</si>
  <si>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</si>
  <si>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</si>
  <si>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</si>
  <si>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</si>
  <si>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</si>
  <si>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</si>
  <si>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</si>
  <si>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</si>
  <si>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</si>
  <si>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</si>
  <si>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</si>
  <si>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</si>
  <si>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</si>
  <si>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</si>
  <si>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</si>
  <si>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</si>
  <si>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</si>
  <si>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</si>
  <si>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</si>
  <si>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</si>
  <si>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</si>
  <si>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</si>
  <si>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</si>
  <si>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</si>
  <si>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</si>
  <si>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</si>
  <si>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</si>
  <si>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Not Degrated</t>
  </si>
  <si>
    <t>Subramany</t>
  </si>
  <si>
    <t>Lataritesoil, Texture - Hard, Depth - 30cm, Permiability - Good.</t>
  </si>
  <si>
    <t>Moderate</t>
  </si>
  <si>
    <t>Absent</t>
  </si>
  <si>
    <t>Natural forest</t>
  </si>
  <si>
    <t>Elephant traces and dung</t>
  </si>
  <si>
    <t>Start from Nettana Timber Dipo to towards Sulya road to Ainakidu for 13.6 km N-12.654940, E- 75.598100. Then left turn to Kiribag RF for 12.6 km N- 12.531280, E- 75.636845 (By jeep). Then walked towards left for 25 mtr to reached center of the plot.</t>
  </si>
  <si>
    <t>2. Aspect - Eastern</t>
  </si>
  <si>
    <t>3.Canopy density - Closed forest and 80% canopy closed.</t>
  </si>
  <si>
    <t>Closed forest forest, Canopy 80% closed</t>
  </si>
  <si>
    <t>Eastern</t>
  </si>
  <si>
    <t>Moderate Erosion</t>
  </si>
  <si>
    <t>Aparosa lindlyana (Salle) - 20%, Terminalea paniculata (Marva) - 30%</t>
  </si>
  <si>
    <t>Salle</t>
  </si>
  <si>
    <t>Agasalle</t>
  </si>
  <si>
    <t>Marva</t>
  </si>
  <si>
    <t>Hebbalasu</t>
  </si>
  <si>
    <t>Jambe</t>
  </si>
  <si>
    <t>Godda</t>
  </si>
  <si>
    <t>Kanagalu</t>
  </si>
  <si>
    <t>Mullusampige</t>
  </si>
  <si>
    <t>Aparosa lindlyana</t>
  </si>
  <si>
    <t>Olea dioca</t>
  </si>
  <si>
    <t xml:space="preserve">Terminalea paniculata </t>
  </si>
  <si>
    <t>Artocarpus hirsutus</t>
  </si>
  <si>
    <t>Xylea xylocarpa</t>
  </si>
  <si>
    <t>Garuga pinnata</t>
  </si>
  <si>
    <t>Dennilea pentageyna</t>
  </si>
  <si>
    <t>Booruga</t>
  </si>
  <si>
    <t>Bombax ceaba</t>
  </si>
  <si>
    <t>Flacourita montana</t>
  </si>
  <si>
    <t>Bambussa bamboo</t>
  </si>
  <si>
    <t>Hebbidiru</t>
  </si>
  <si>
    <t>Betta</t>
  </si>
  <si>
    <t>360 gm</t>
  </si>
  <si>
    <t>1.2 kg</t>
  </si>
  <si>
    <t>Nill</t>
  </si>
  <si>
    <t>180 gm</t>
  </si>
  <si>
    <t>410 gm</t>
  </si>
  <si>
    <t>670 gm</t>
  </si>
  <si>
    <t>135 gm</t>
  </si>
  <si>
    <t>Hebiscus aculeatus</t>
  </si>
  <si>
    <t>Vaatmadike</t>
  </si>
  <si>
    <t>Kaadarisina</t>
  </si>
  <si>
    <t>Phycotrea dalzelli</t>
  </si>
  <si>
    <t>Curcuma aromatica</t>
  </si>
  <si>
    <r>
      <t xml:space="preserve">Semi Evergreen Closed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lindliana</t>
    </r>
    <r>
      <rPr>
        <sz val="12"/>
        <color theme="1"/>
        <rFont val="Calibri"/>
        <family val="2"/>
        <scheme val="minor"/>
      </rPr>
      <t xml:space="preserve"> (Salle), </t>
    </r>
    <r>
      <rPr>
        <i/>
        <sz val="12"/>
        <color theme="1"/>
        <rFont val="Calibri"/>
        <family val="2"/>
        <scheme val="minor"/>
      </rPr>
      <t>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</si>
  <si>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</si>
  <si>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xml:space="preserve"> Eupatorium.</t>
    </r>
  </si>
  <si>
    <r>
      <t>7. Bamboo - Present -</t>
    </r>
    <r>
      <rPr>
        <i/>
        <sz val="12"/>
        <color theme="1"/>
        <rFont val="Calibri"/>
        <family val="2"/>
        <scheme val="minor"/>
      </rPr>
      <t xml:space="preserve"> Bambussa bamboo</t>
    </r>
    <r>
      <rPr>
        <sz val="12"/>
        <color theme="1"/>
        <rFont val="Calibri"/>
        <family val="2"/>
        <scheme val="minor"/>
      </rPr>
      <t xml:space="preserve"> (Hebbidiru).</t>
    </r>
  </si>
  <si>
    <r>
      <t xml:space="preserve">8. Herbs - </t>
    </r>
    <r>
      <rPr>
        <i/>
        <sz val="12"/>
        <color theme="1"/>
        <rFont val="Calibri"/>
        <family val="2"/>
        <scheme val="minor"/>
      </rPr>
      <t>Carculigo orchid, Memecylon talbotianum</t>
    </r>
    <r>
      <rPr>
        <sz val="12"/>
        <color theme="1"/>
        <rFont val="Calibri"/>
        <family val="2"/>
        <scheme val="minor"/>
      </rPr>
      <t xml:space="preserve"> (Adchari),  </t>
    </r>
    <r>
      <rPr>
        <i/>
        <sz val="12"/>
        <color theme="1"/>
        <rFont val="Calibri"/>
        <family val="2"/>
        <scheme val="minor"/>
      </rPr>
      <t>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</si>
  <si>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</si>
  <si>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  </t>
    </r>
    <r>
      <rPr>
        <i/>
        <sz val="12"/>
        <color theme="1"/>
        <rFont val="Calibri"/>
        <family val="2"/>
        <scheme val="minor"/>
      </rPr>
      <t xml:space="preserve">Ixora brachiata </t>
    </r>
    <r>
      <rPr>
        <sz val="12"/>
        <color theme="1"/>
        <rFont val="Calibri"/>
        <family val="2"/>
        <scheme val="minor"/>
      </rPr>
      <t xml:space="preserve">(KaanSurgi),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Tabariena montana</t>
    </r>
    <r>
      <rPr>
        <sz val="12"/>
        <color theme="1"/>
        <rFont val="Calibri"/>
        <family val="2"/>
        <scheme val="minor"/>
      </rPr>
      <t xml:space="preserve"> (Maddarsa),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</si>
  <si>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</si>
  <si>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 xml:space="preserve"> Hebiscus aculeatus</t>
    </r>
    <r>
      <rPr>
        <sz val="12"/>
        <color theme="1"/>
        <rFont val="Calibri"/>
        <family val="2"/>
        <scheme val="minor"/>
      </rPr>
      <t xml:space="preserve"> (Betta).</t>
    </r>
  </si>
  <si>
    <r>
      <t xml:space="preserve">13. NTFP yielding sps -  </t>
    </r>
    <r>
      <rPr>
        <i/>
        <sz val="12"/>
        <color theme="1"/>
        <rFont val="Calibri"/>
        <family val="2"/>
        <scheme val="minor"/>
      </rPr>
      <t xml:space="preserve">Cinnamomum zalenicum </t>
    </r>
    <r>
      <rPr>
        <sz val="12"/>
        <color theme="1"/>
        <rFont val="Calibri"/>
        <family val="2"/>
        <scheme val="minor"/>
      </rPr>
      <t xml:space="preserve">(Dalchinni), </t>
    </r>
    <r>
      <rPr>
        <i/>
        <sz val="12"/>
        <color theme="1"/>
        <rFont val="Calibri"/>
        <family val="2"/>
        <scheme val="minor"/>
      </rPr>
      <t>Senegalea rugta</t>
    </r>
    <r>
      <rPr>
        <sz val="12"/>
        <color theme="1"/>
        <rFont val="Calibri"/>
        <family val="2"/>
        <scheme val="minor"/>
      </rPr>
      <t xml:space="preserve"> (Seege).</t>
    </r>
  </si>
  <si>
    <r>
      <t xml:space="preserve">Present - </t>
    </r>
    <r>
      <rPr>
        <i/>
        <sz val="12"/>
        <color theme="1"/>
        <rFont val="Calibri"/>
        <family val="2"/>
        <scheme val="minor"/>
      </rPr>
      <t xml:space="preserve">Bambussa bamboo </t>
    </r>
    <r>
      <rPr>
        <sz val="12"/>
        <color theme="1"/>
        <rFont val="Calibri"/>
        <family val="2"/>
        <scheme val="minor"/>
      </rPr>
      <t>(Hebbidiru).</t>
    </r>
  </si>
  <si>
    <t>Kilarmale RF</t>
  </si>
  <si>
    <t>XII-31</t>
  </si>
  <si>
    <t>12.524034°</t>
  </si>
  <si>
    <t xml:space="preserve"> 75.623075°</t>
  </si>
  <si>
    <t>1. Track -Hilly</t>
  </si>
  <si>
    <t>Hilly</t>
  </si>
  <si>
    <t>16-40</t>
  </si>
  <si>
    <t>287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</si>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</sst>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H16" sqref="H16"/>
    </sheetView>
  </sheetViews>
  <sheetFormatPr defaultColWidth="9.1796875" defaultRowHeight="15.5" x14ac:dyDescent="0.35"/>
  <cols>
    <col min="1" max="1" width="5" style="45" bestFit="1" customWidth="1"/>
    <col min="2" max="2" width="15.7265625" style="45" customWidth="1"/>
    <col min="3" max="3" width="51.08984375" style="45" customWidth="1"/>
    <col min="4" max="16384" width="9.1796875" style="45"/>
  </cols>
  <sheetData>
    <row r="1" spans="1:3" x14ac:dyDescent="0.35">
      <c r="A1" s="73" t="s">
        <v>21</v>
      </c>
      <c r="B1" s="73"/>
      <c r="C1" s="73"/>
    </row>
    <row r="2" spans="1:3" x14ac:dyDescent="0.35">
      <c r="A2" s="73" t="s">
        <v>22</v>
      </c>
      <c r="B2" s="73"/>
      <c r="C2" s="73"/>
    </row>
    <row r="3" spans="1:3" x14ac:dyDescent="0.35">
      <c r="A3" s="74" t="s">
        <v>102</v>
      </c>
      <c r="B3" s="74"/>
      <c r="C3" s="56" t="s">
        <v>110</v>
      </c>
    </row>
    <row r="4" spans="1:3" x14ac:dyDescent="0.35">
      <c r="A4" s="48"/>
    </row>
    <row r="5" spans="1:3" x14ac:dyDescent="0.35">
      <c r="A5" s="49" t="s">
        <v>23</v>
      </c>
      <c r="B5" s="51" t="s">
        <v>24</v>
      </c>
      <c r="C5" s="51" t="s">
        <v>25</v>
      </c>
    </row>
    <row r="6" spans="1:3" x14ac:dyDescent="0.35">
      <c r="A6" s="52">
        <v>1</v>
      </c>
      <c r="B6" s="53" t="s">
        <v>26</v>
      </c>
      <c r="C6" s="57" t="s">
        <v>116</v>
      </c>
    </row>
    <row r="7" spans="1:3" ht="31" x14ac:dyDescent="0.35">
      <c r="A7" s="52">
        <v>2</v>
      </c>
      <c r="B7" s="53" t="s">
        <v>27</v>
      </c>
      <c r="C7" s="57" t="s">
        <v>173</v>
      </c>
    </row>
    <row r="8" spans="1:3" x14ac:dyDescent="0.35">
      <c r="A8" s="52">
        <v>3</v>
      </c>
      <c r="B8" s="53" t="s">
        <v>28</v>
      </c>
      <c r="C8" s="57" t="s">
        <v>174</v>
      </c>
    </row>
    <row r="9" spans="1:3" x14ac:dyDescent="0.35">
      <c r="A9" s="52">
        <v>4</v>
      </c>
      <c r="B9" s="53" t="s">
        <v>29</v>
      </c>
      <c r="C9" s="44">
        <v>253</v>
      </c>
    </row>
    <row r="10" spans="1:3" ht="20.25" customHeight="1" x14ac:dyDescent="0.35">
      <c r="A10" s="52">
        <v>5</v>
      </c>
      <c r="B10" s="53" t="s">
        <v>30</v>
      </c>
      <c r="C10" s="58" t="s">
        <v>175</v>
      </c>
    </row>
    <row r="11" spans="1:3" ht="23.25" customHeight="1" x14ac:dyDescent="0.35">
      <c r="A11" s="52"/>
      <c r="B11" s="53" t="s">
        <v>31</v>
      </c>
      <c r="C11" s="58" t="s">
        <v>176</v>
      </c>
    </row>
    <row r="12" spans="1:3" ht="80.25" customHeight="1" x14ac:dyDescent="0.35">
      <c r="A12" s="52">
        <v>7</v>
      </c>
      <c r="B12" s="53" t="s">
        <v>32</v>
      </c>
      <c r="C12" s="44" t="s">
        <v>122</v>
      </c>
    </row>
    <row r="13" spans="1:3" ht="84.75" customHeight="1" x14ac:dyDescent="0.35">
      <c r="A13" s="52">
        <v>8</v>
      </c>
      <c r="B13" s="53" t="s">
        <v>33</v>
      </c>
      <c r="C13" s="59" t="s">
        <v>162</v>
      </c>
    </row>
    <row r="14" spans="1:3" ht="15.75" customHeight="1" x14ac:dyDescent="0.35">
      <c r="A14" s="70">
        <v>9</v>
      </c>
      <c r="B14" s="147" t="s">
        <v>34</v>
      </c>
      <c r="C14" s="59" t="s">
        <v>177</v>
      </c>
    </row>
    <row r="15" spans="1:3" x14ac:dyDescent="0.35">
      <c r="A15" s="71"/>
      <c r="B15" s="148"/>
      <c r="C15" s="59" t="s">
        <v>123</v>
      </c>
    </row>
    <row r="16" spans="1:3" ht="31" x14ac:dyDescent="0.35">
      <c r="A16" s="71"/>
      <c r="B16" s="148"/>
      <c r="C16" s="59" t="s">
        <v>124</v>
      </c>
    </row>
    <row r="17" spans="1:3" x14ac:dyDescent="0.35">
      <c r="A17" s="71"/>
      <c r="B17" s="148"/>
      <c r="C17" s="59" t="s">
        <v>112</v>
      </c>
    </row>
    <row r="18" spans="1:3" x14ac:dyDescent="0.35">
      <c r="A18" s="71"/>
      <c r="B18" s="148"/>
      <c r="C18" s="61" t="s">
        <v>163</v>
      </c>
    </row>
    <row r="19" spans="1:3" x14ac:dyDescent="0.35">
      <c r="A19" s="71"/>
      <c r="B19" s="148"/>
      <c r="C19" s="59" t="s">
        <v>164</v>
      </c>
    </row>
    <row r="20" spans="1:3" x14ac:dyDescent="0.35">
      <c r="A20" s="71"/>
      <c r="B20" s="148"/>
      <c r="C20" s="59" t="s">
        <v>165</v>
      </c>
    </row>
    <row r="21" spans="1:3" ht="46.5" x14ac:dyDescent="0.35">
      <c r="A21" s="71"/>
      <c r="B21" s="148"/>
      <c r="C21" s="59" t="s">
        <v>166</v>
      </c>
    </row>
    <row r="22" spans="1:3" ht="31" x14ac:dyDescent="0.35">
      <c r="A22" s="71"/>
      <c r="B22" s="148"/>
      <c r="C22" s="59" t="s">
        <v>167</v>
      </c>
    </row>
    <row r="23" spans="1:3" ht="46.5" x14ac:dyDescent="0.35">
      <c r="A23" s="71"/>
      <c r="B23" s="148"/>
      <c r="C23" s="59" t="s">
        <v>168</v>
      </c>
    </row>
    <row r="24" spans="1:3" ht="50.25" customHeight="1" x14ac:dyDescent="0.35">
      <c r="A24" s="71"/>
      <c r="B24" s="148"/>
      <c r="C24" s="59" t="s">
        <v>169</v>
      </c>
    </row>
    <row r="25" spans="1:3" x14ac:dyDescent="0.35">
      <c r="A25" s="71"/>
      <c r="B25" s="148"/>
      <c r="C25" s="59" t="s">
        <v>170</v>
      </c>
    </row>
    <row r="26" spans="1:3" ht="31" x14ac:dyDescent="0.35">
      <c r="A26" s="71"/>
      <c r="B26" s="149"/>
      <c r="C26" s="59" t="s">
        <v>171</v>
      </c>
    </row>
    <row r="27" spans="1:3" ht="31" x14ac:dyDescent="0.35">
      <c r="A27" s="52">
        <v>10</v>
      </c>
      <c r="B27" s="53" t="s">
        <v>35</v>
      </c>
      <c r="C27" s="53" t="s">
        <v>113</v>
      </c>
    </row>
    <row r="28" spans="1:3" ht="46.5" x14ac:dyDescent="0.35">
      <c r="A28" s="52">
        <v>11</v>
      </c>
      <c r="B28" s="53" t="s">
        <v>36</v>
      </c>
      <c r="C28" s="53" t="s">
        <v>113</v>
      </c>
    </row>
    <row r="29" spans="1:3" ht="61.5" customHeight="1" x14ac:dyDescent="0.35">
      <c r="A29" s="48"/>
    </row>
    <row r="30" spans="1:3" ht="15.75" customHeight="1" x14ac:dyDescent="0.35">
      <c r="A30" s="48"/>
    </row>
    <row r="31" spans="1:3" x14ac:dyDescent="0.35">
      <c r="A31" s="48"/>
    </row>
    <row r="32" spans="1:3" x14ac:dyDescent="0.35">
      <c r="A32" s="69"/>
    </row>
    <row r="33" spans="1:1" x14ac:dyDescent="0.35">
      <c r="A33" s="60"/>
    </row>
    <row r="34" spans="1:1" x14ac:dyDescent="0.35">
      <c r="A34" s="60"/>
    </row>
    <row r="35" spans="1:1" x14ac:dyDescent="0.35">
      <c r="A35" s="60"/>
    </row>
    <row r="36" spans="1:1" x14ac:dyDescent="0.35">
      <c r="A36" s="60"/>
    </row>
    <row r="37" spans="1:1" x14ac:dyDescent="0.35">
      <c r="A37" s="60"/>
    </row>
    <row r="38" spans="1:1" x14ac:dyDescent="0.35">
      <c r="A38" s="60"/>
    </row>
    <row r="49" spans="1:1" x14ac:dyDescent="0.35">
      <c r="A49" s="60"/>
    </row>
    <row r="50" spans="1:1" ht="62.25" customHeight="1" x14ac:dyDescent="0.35">
      <c r="A50" s="60"/>
    </row>
    <row r="51" spans="1:1" x14ac:dyDescent="0.35">
      <c r="A51" s="60"/>
    </row>
    <row r="52" spans="1:1" x14ac:dyDescent="0.35">
      <c r="A52" s="60"/>
    </row>
    <row r="53" spans="1:1" x14ac:dyDescent="0.35">
      <c r="A53" s="60"/>
    </row>
    <row r="54" spans="1:1" x14ac:dyDescent="0.35">
      <c r="A54" s="60"/>
    </row>
    <row r="55" spans="1:1" x14ac:dyDescent="0.35">
      <c r="A55" s="60"/>
    </row>
    <row r="56" spans="1:1" x14ac:dyDescent="0.35">
      <c r="A56" s="60"/>
    </row>
    <row r="57" spans="1:1" x14ac:dyDescent="0.35">
      <c r="A57" s="60"/>
    </row>
    <row r="58" spans="1:1" x14ac:dyDescent="0.35">
      <c r="A58" s="69"/>
    </row>
    <row r="66" spans="1:1" x14ac:dyDescent="0.35">
      <c r="A66" s="60"/>
    </row>
    <row r="74" spans="1:1" x14ac:dyDescent="0.35">
      <c r="A74" s="48"/>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G10" sqref="G10"/>
    </sheetView>
  </sheetViews>
  <sheetFormatPr defaultColWidth="9.1796875" defaultRowHeight="15.5" x14ac:dyDescent="0.35"/>
  <cols>
    <col min="1" max="1" width="4.7265625" style="45" bestFit="1" customWidth="1"/>
    <col min="2" max="2" width="16.453125" style="45" customWidth="1"/>
    <col min="3" max="3" width="50.36328125" style="45" customWidth="1"/>
    <col min="4" max="16384" width="9.1796875" style="45"/>
  </cols>
  <sheetData>
    <row r="1" spans="1:3" x14ac:dyDescent="0.35">
      <c r="A1" s="73" t="s">
        <v>37</v>
      </c>
      <c r="B1" s="73"/>
      <c r="C1" s="73"/>
    </row>
    <row r="2" spans="1:3" x14ac:dyDescent="0.35">
      <c r="A2" s="73" t="s">
        <v>38</v>
      </c>
      <c r="B2" s="73"/>
      <c r="C2" s="73"/>
    </row>
    <row r="3" spans="1:3" x14ac:dyDescent="0.35">
      <c r="A3" s="46"/>
    </row>
    <row r="4" spans="1:3" ht="70.900000000000006" customHeight="1" x14ac:dyDescent="0.35">
      <c r="A4" s="75" t="s">
        <v>39</v>
      </c>
      <c r="B4" s="75"/>
      <c r="C4" s="75"/>
    </row>
    <row r="5" spans="1:3" x14ac:dyDescent="0.35">
      <c r="A5" s="74" t="s">
        <v>102</v>
      </c>
      <c r="B5" s="74"/>
      <c r="C5" s="47" t="str">
        <f>'Form 1'!C3</f>
        <v>Mangalore</v>
      </c>
    </row>
    <row r="6" spans="1:3" x14ac:dyDescent="0.35">
      <c r="A6" s="48"/>
    </row>
    <row r="7" spans="1:3" ht="31" x14ac:dyDescent="0.35">
      <c r="A7" s="49" t="s">
        <v>23</v>
      </c>
      <c r="B7" s="50" t="s">
        <v>25</v>
      </c>
      <c r="C7" s="51" t="s">
        <v>40</v>
      </c>
    </row>
    <row r="8" spans="1:3" x14ac:dyDescent="0.35">
      <c r="A8" s="52">
        <v>1</v>
      </c>
      <c r="B8" s="53" t="s">
        <v>26</v>
      </c>
      <c r="C8" s="4" t="s">
        <v>111</v>
      </c>
    </row>
    <row r="9" spans="1:3" ht="31" x14ac:dyDescent="0.35">
      <c r="A9" s="52">
        <v>2</v>
      </c>
      <c r="B9" s="53" t="s">
        <v>41</v>
      </c>
      <c r="C9" s="54" t="str">
        <f>'Form 1'!C7</f>
        <v>Kilarmale RF</v>
      </c>
    </row>
    <row r="10" spans="1:3" x14ac:dyDescent="0.35">
      <c r="A10" s="52">
        <v>3</v>
      </c>
      <c r="B10" s="53" t="s">
        <v>28</v>
      </c>
      <c r="C10" s="54" t="str">
        <f>'Form 1'!C8</f>
        <v>XII-31</v>
      </c>
    </row>
    <row r="11" spans="1:3" x14ac:dyDescent="0.35">
      <c r="A11" s="52">
        <v>4</v>
      </c>
      <c r="B11" s="53" t="s">
        <v>29</v>
      </c>
      <c r="C11" s="54">
        <f>'Form 1'!C9</f>
        <v>253</v>
      </c>
    </row>
    <row r="12" spans="1:3" x14ac:dyDescent="0.35">
      <c r="A12" s="52">
        <v>5</v>
      </c>
      <c r="B12" s="53" t="s">
        <v>42</v>
      </c>
      <c r="C12" s="54" t="str">
        <f>'Form 1'!C10</f>
        <v>12.524034°</v>
      </c>
    </row>
    <row r="13" spans="1:3" x14ac:dyDescent="0.35">
      <c r="A13" s="52">
        <v>6</v>
      </c>
      <c r="B13" s="53" t="s">
        <v>43</v>
      </c>
      <c r="C13" s="54" t="str">
        <f>'Form 1'!C11</f>
        <v xml:space="preserve"> 75.623075°</v>
      </c>
    </row>
    <row r="14" spans="1:3" x14ac:dyDescent="0.35">
      <c r="A14" s="52">
        <v>7</v>
      </c>
      <c r="B14" s="53" t="s">
        <v>44</v>
      </c>
      <c r="C14" s="54" t="s">
        <v>180</v>
      </c>
    </row>
    <row r="15" spans="1:3" x14ac:dyDescent="0.35">
      <c r="A15" s="52">
        <v>8</v>
      </c>
      <c r="B15" s="53" t="s">
        <v>45</v>
      </c>
      <c r="C15" s="54" t="s">
        <v>181</v>
      </c>
    </row>
    <row r="16" spans="1:3" x14ac:dyDescent="0.35">
      <c r="A16" s="52">
        <v>9</v>
      </c>
      <c r="B16" s="53" t="s">
        <v>46</v>
      </c>
      <c r="C16" s="54" t="s">
        <v>125</v>
      </c>
    </row>
    <row r="17" spans="1:3" ht="31" x14ac:dyDescent="0.35">
      <c r="A17" s="52">
        <v>10</v>
      </c>
      <c r="B17" s="53" t="s">
        <v>47</v>
      </c>
      <c r="C17" s="54" t="s">
        <v>178</v>
      </c>
    </row>
    <row r="18" spans="1:3" x14ac:dyDescent="0.35">
      <c r="A18" s="52">
        <v>11</v>
      </c>
      <c r="B18" s="53" t="s">
        <v>48</v>
      </c>
      <c r="C18" s="55" t="s">
        <v>179</v>
      </c>
    </row>
    <row r="19" spans="1:3" x14ac:dyDescent="0.35">
      <c r="A19" s="52">
        <v>12</v>
      </c>
      <c r="B19" s="53" t="s">
        <v>49</v>
      </c>
      <c r="C19" s="55" t="s">
        <v>126</v>
      </c>
    </row>
    <row r="20" spans="1:3" ht="31" x14ac:dyDescent="0.35">
      <c r="A20" s="52">
        <v>13</v>
      </c>
      <c r="B20" s="53" t="s">
        <v>50</v>
      </c>
      <c r="C20" s="55" t="s">
        <v>114</v>
      </c>
    </row>
    <row r="21" spans="1:3" ht="31" x14ac:dyDescent="0.35">
      <c r="A21" s="52">
        <v>14</v>
      </c>
      <c r="B21" s="53" t="s">
        <v>51</v>
      </c>
      <c r="C21" s="55" t="s">
        <v>117</v>
      </c>
    </row>
    <row r="22" spans="1:3" x14ac:dyDescent="0.35">
      <c r="A22" s="52">
        <v>15</v>
      </c>
      <c r="B22" s="53" t="s">
        <v>52</v>
      </c>
      <c r="C22" s="55" t="s">
        <v>127</v>
      </c>
    </row>
    <row r="23" spans="1:3" ht="31" x14ac:dyDescent="0.35">
      <c r="A23" s="52">
        <v>16</v>
      </c>
      <c r="B23" s="53" t="s">
        <v>53</v>
      </c>
      <c r="C23" s="55" t="s">
        <v>128</v>
      </c>
    </row>
    <row r="24" spans="1:3" ht="31" x14ac:dyDescent="0.35">
      <c r="A24" s="52">
        <v>17</v>
      </c>
      <c r="B24" s="53" t="s">
        <v>54</v>
      </c>
      <c r="C24" s="55" t="s">
        <v>118</v>
      </c>
    </row>
    <row r="25" spans="1:3" ht="31" x14ac:dyDescent="0.35">
      <c r="A25" s="52">
        <v>18</v>
      </c>
      <c r="B25" s="53" t="s">
        <v>55</v>
      </c>
      <c r="C25" s="55" t="s">
        <v>113</v>
      </c>
    </row>
    <row r="26" spans="1:3" ht="31" x14ac:dyDescent="0.35">
      <c r="A26" s="52">
        <v>19</v>
      </c>
      <c r="B26" s="53" t="s">
        <v>56</v>
      </c>
      <c r="C26" s="55" t="s">
        <v>113</v>
      </c>
    </row>
    <row r="27" spans="1:3" ht="31" x14ac:dyDescent="0.35">
      <c r="A27" s="52">
        <v>20</v>
      </c>
      <c r="B27" s="53" t="s">
        <v>57</v>
      </c>
      <c r="C27" s="55" t="s">
        <v>172</v>
      </c>
    </row>
    <row r="28" spans="1:3" ht="31" x14ac:dyDescent="0.35">
      <c r="A28" s="52">
        <v>21</v>
      </c>
      <c r="B28" s="53" t="s">
        <v>58</v>
      </c>
      <c r="C28" s="55" t="s">
        <v>119</v>
      </c>
    </row>
    <row r="29" spans="1:3" ht="31" x14ac:dyDescent="0.35">
      <c r="A29" s="52">
        <v>22</v>
      </c>
      <c r="B29" s="53" t="s">
        <v>59</v>
      </c>
      <c r="C29" s="55" t="s">
        <v>119</v>
      </c>
    </row>
    <row r="30" spans="1:3" x14ac:dyDescent="0.35">
      <c r="A30" s="52">
        <v>23</v>
      </c>
      <c r="B30" s="53" t="s">
        <v>60</v>
      </c>
      <c r="C30" s="55" t="s">
        <v>120</v>
      </c>
    </row>
    <row r="31" spans="1:3" x14ac:dyDescent="0.35">
      <c r="A31" s="52">
        <v>24</v>
      </c>
      <c r="B31" s="53" t="s">
        <v>61</v>
      </c>
      <c r="C31" s="55" t="s">
        <v>113</v>
      </c>
    </row>
    <row r="32" spans="1:3" ht="31" x14ac:dyDescent="0.35">
      <c r="A32" s="52">
        <v>25</v>
      </c>
      <c r="B32" s="53" t="s">
        <v>62</v>
      </c>
      <c r="C32" s="55" t="s">
        <v>115</v>
      </c>
    </row>
    <row r="33" spans="1:3" ht="31" x14ac:dyDescent="0.35">
      <c r="A33" s="52">
        <v>26</v>
      </c>
      <c r="B33" s="53" t="s">
        <v>63</v>
      </c>
      <c r="C33" s="55" t="s">
        <v>113</v>
      </c>
    </row>
    <row r="34" spans="1:3" ht="31" x14ac:dyDescent="0.35">
      <c r="A34" s="52">
        <v>27</v>
      </c>
      <c r="B34" s="53" t="s">
        <v>64</v>
      </c>
      <c r="C34" s="55" t="s">
        <v>121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opLeftCell="A10" workbookViewId="0">
      <selection activeCell="D21" sqref="D21"/>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3" t="s">
        <v>0</v>
      </c>
      <c r="B1" s="93"/>
      <c r="C1" s="93"/>
      <c r="D1" s="93"/>
      <c r="E1" s="93"/>
      <c r="F1" s="93"/>
      <c r="G1" s="93"/>
      <c r="H1" s="93"/>
      <c r="I1" s="93"/>
      <c r="J1" s="93"/>
      <c r="K1" s="93"/>
      <c r="L1" s="93"/>
    </row>
    <row r="2" spans="1:12" ht="15.65" customHeight="1" x14ac:dyDescent="0.35">
      <c r="A2" s="93" t="s">
        <v>1</v>
      </c>
      <c r="B2" s="93"/>
      <c r="C2" s="93"/>
      <c r="D2" s="93"/>
      <c r="E2" s="93"/>
      <c r="F2" s="93"/>
      <c r="G2" s="93"/>
      <c r="H2" s="93"/>
      <c r="I2" s="93"/>
      <c r="J2" s="93"/>
      <c r="K2" s="93"/>
      <c r="L2" s="93"/>
    </row>
    <row r="3" spans="1:12" ht="15.65" customHeight="1" x14ac:dyDescent="0.35">
      <c r="A3" s="93" t="s">
        <v>2</v>
      </c>
      <c r="B3" s="93"/>
      <c r="C3" s="93"/>
      <c r="D3" s="93"/>
      <c r="E3" s="93"/>
      <c r="F3" s="93"/>
      <c r="G3" s="93"/>
      <c r="H3" s="93"/>
      <c r="I3" s="93"/>
      <c r="J3" s="93"/>
      <c r="K3" s="93"/>
      <c r="L3" s="93"/>
    </row>
    <row r="4" spans="1:12" ht="15.65" customHeight="1" thickBot="1" x14ac:dyDescent="0.4">
      <c r="A4" s="94"/>
      <c r="B4" s="94"/>
      <c r="C4" s="94"/>
      <c r="D4" s="94"/>
      <c r="E4" s="94"/>
      <c r="F4" s="94"/>
      <c r="G4" s="94"/>
      <c r="H4" s="94"/>
      <c r="I4" s="94"/>
      <c r="J4" s="94"/>
      <c r="K4" s="94"/>
      <c r="L4" s="94"/>
    </row>
    <row r="5" spans="1:12" ht="15.65" customHeight="1" x14ac:dyDescent="0.35">
      <c r="A5" s="95" t="s">
        <v>3</v>
      </c>
      <c r="B5" s="96"/>
      <c r="C5" s="85" t="str">
        <f>'Form II'!C10</f>
        <v>XII-31</v>
      </c>
      <c r="D5" s="86"/>
      <c r="E5" s="84" t="s">
        <v>109</v>
      </c>
      <c r="F5" s="85"/>
      <c r="G5" s="85"/>
      <c r="H5" s="85"/>
      <c r="I5" s="86"/>
      <c r="J5" s="13" t="s">
        <v>4</v>
      </c>
      <c r="K5" s="96"/>
      <c r="L5" s="97"/>
    </row>
    <row r="6" spans="1:12" ht="15.65" customHeight="1" x14ac:dyDescent="0.35">
      <c r="A6" s="108" t="s">
        <v>5</v>
      </c>
      <c r="B6" s="109"/>
      <c r="C6" s="89" t="str">
        <f>'Form 1'!C6</f>
        <v>Subramany</v>
      </c>
      <c r="D6" s="90"/>
      <c r="E6" s="37" t="s">
        <v>101</v>
      </c>
      <c r="F6" s="36"/>
      <c r="G6" s="89" t="str">
        <f>'Form 1'!C3</f>
        <v>Mangalore</v>
      </c>
      <c r="H6" s="89"/>
      <c r="I6" s="90"/>
      <c r="J6" s="14" t="s">
        <v>6</v>
      </c>
      <c r="K6" s="89" t="str">
        <f>'Form II'!C14</f>
        <v>287 m</v>
      </c>
      <c r="L6" s="113"/>
    </row>
    <row r="7" spans="1:12" ht="15.65" customHeight="1" thickBot="1" x14ac:dyDescent="0.4">
      <c r="A7" s="87" t="s">
        <v>7</v>
      </c>
      <c r="B7" s="88"/>
      <c r="C7" s="91" t="str">
        <f>'Form 1'!C10</f>
        <v>12.524034°</v>
      </c>
      <c r="D7" s="92"/>
      <c r="E7" s="15" t="s">
        <v>8</v>
      </c>
      <c r="F7" s="12"/>
      <c r="G7" s="91" t="str">
        <f>'Form 1'!C11</f>
        <v xml:space="preserve"> 75.623075°</v>
      </c>
      <c r="H7" s="91"/>
      <c r="I7" s="92"/>
      <c r="J7" s="15" t="s">
        <v>9</v>
      </c>
      <c r="K7" s="91">
        <f>'Form 1'!C9</f>
        <v>253</v>
      </c>
      <c r="L7" s="114"/>
    </row>
    <row r="8" spans="1:12" ht="15.65" customHeight="1" thickBot="1" x14ac:dyDescent="0.4">
      <c r="A8" s="1"/>
      <c r="B8" s="1"/>
      <c r="C8" s="5"/>
      <c r="D8" s="6"/>
      <c r="E8" s="2"/>
      <c r="F8" s="2"/>
      <c r="G8" s="2"/>
      <c r="H8" s="2"/>
      <c r="I8" s="2"/>
      <c r="J8" s="2"/>
      <c r="K8" s="2"/>
      <c r="L8" s="2"/>
    </row>
    <row r="9" spans="1:12" ht="18.649999999999999" customHeight="1" x14ac:dyDescent="0.35">
      <c r="A9" s="98" t="s">
        <v>10</v>
      </c>
      <c r="B9" s="102" t="s">
        <v>11</v>
      </c>
      <c r="C9" s="103"/>
      <c r="D9" s="100" t="s">
        <v>12</v>
      </c>
      <c r="E9" s="100" t="s">
        <v>13</v>
      </c>
      <c r="F9" s="16" t="s">
        <v>14</v>
      </c>
      <c r="G9" s="100" t="s">
        <v>20</v>
      </c>
      <c r="H9" s="110" t="s">
        <v>15</v>
      </c>
      <c r="I9" s="111"/>
      <c r="J9" s="111"/>
      <c r="K9" s="112"/>
      <c r="L9" s="115" t="s">
        <v>16</v>
      </c>
    </row>
    <row r="10" spans="1:12" ht="57" customHeight="1" x14ac:dyDescent="0.35">
      <c r="A10" s="99"/>
      <c r="B10" s="104"/>
      <c r="C10" s="105"/>
      <c r="D10" s="101"/>
      <c r="E10" s="101"/>
      <c r="F10" s="17" t="s">
        <v>17</v>
      </c>
      <c r="G10" s="101"/>
      <c r="H10" s="106" t="s">
        <v>18</v>
      </c>
      <c r="I10" s="107"/>
      <c r="J10" s="106" t="s">
        <v>19</v>
      </c>
      <c r="K10" s="107"/>
      <c r="L10" s="116"/>
    </row>
    <row r="11" spans="1:12" ht="15.65" customHeight="1" x14ac:dyDescent="0.35">
      <c r="A11" s="10">
        <v>1</v>
      </c>
      <c r="B11" s="82" t="s">
        <v>137</v>
      </c>
      <c r="C11" s="83"/>
      <c r="D11" s="3" t="s">
        <v>129</v>
      </c>
      <c r="E11" s="40">
        <v>95</v>
      </c>
      <c r="F11" s="40"/>
      <c r="G11" s="40">
        <v>12</v>
      </c>
      <c r="H11" s="76"/>
      <c r="I11" s="77"/>
      <c r="J11" s="78"/>
      <c r="K11" s="79"/>
      <c r="L11" s="11"/>
    </row>
    <row r="12" spans="1:12" ht="15.65" customHeight="1" x14ac:dyDescent="0.35">
      <c r="A12" s="10">
        <v>2</v>
      </c>
      <c r="B12" s="82" t="s">
        <v>138</v>
      </c>
      <c r="C12" s="83"/>
      <c r="D12" s="4" t="s">
        <v>130</v>
      </c>
      <c r="E12" s="40">
        <v>87</v>
      </c>
      <c r="F12" s="40"/>
      <c r="G12" s="40">
        <v>13</v>
      </c>
      <c r="H12" s="76"/>
      <c r="I12" s="77"/>
      <c r="J12" s="78"/>
      <c r="K12" s="79"/>
      <c r="L12" s="11"/>
    </row>
    <row r="13" spans="1:12" ht="15.65" customHeight="1" x14ac:dyDescent="0.35">
      <c r="A13" s="10">
        <v>3</v>
      </c>
      <c r="B13" s="82" t="s">
        <v>137</v>
      </c>
      <c r="C13" s="83"/>
      <c r="D13" s="3" t="s">
        <v>129</v>
      </c>
      <c r="E13" s="40">
        <v>36</v>
      </c>
      <c r="F13" s="40"/>
      <c r="G13" s="40">
        <v>6</v>
      </c>
      <c r="H13" s="76"/>
      <c r="I13" s="77"/>
      <c r="J13" s="78"/>
      <c r="K13" s="79"/>
      <c r="L13" s="11"/>
    </row>
    <row r="14" spans="1:12" ht="15.65" customHeight="1" x14ac:dyDescent="0.35">
      <c r="A14" s="10">
        <v>4</v>
      </c>
      <c r="B14" s="82" t="s">
        <v>137</v>
      </c>
      <c r="C14" s="83"/>
      <c r="D14" s="3" t="s">
        <v>129</v>
      </c>
      <c r="E14" s="40">
        <v>52</v>
      </c>
      <c r="F14" s="40"/>
      <c r="G14" s="40">
        <v>8</v>
      </c>
      <c r="H14" s="76"/>
      <c r="I14" s="77"/>
      <c r="J14" s="78"/>
      <c r="K14" s="79"/>
      <c r="L14" s="11"/>
    </row>
    <row r="15" spans="1:12" ht="15.65" customHeight="1" x14ac:dyDescent="0.35">
      <c r="A15" s="10">
        <v>5</v>
      </c>
      <c r="B15" s="82" t="s">
        <v>139</v>
      </c>
      <c r="C15" s="83"/>
      <c r="D15" s="7" t="s">
        <v>131</v>
      </c>
      <c r="E15" s="41">
        <v>83</v>
      </c>
      <c r="F15" s="40"/>
      <c r="G15" s="40">
        <v>12</v>
      </c>
      <c r="H15" s="76"/>
      <c r="I15" s="77"/>
      <c r="J15" s="78"/>
      <c r="K15" s="79"/>
      <c r="L15" s="11"/>
    </row>
    <row r="16" spans="1:12" ht="15.65" customHeight="1" x14ac:dyDescent="0.35">
      <c r="A16" s="10">
        <v>6</v>
      </c>
      <c r="B16" s="82" t="s">
        <v>140</v>
      </c>
      <c r="C16" s="83"/>
      <c r="D16" s="4" t="s">
        <v>132</v>
      </c>
      <c r="E16" s="40">
        <v>44</v>
      </c>
      <c r="F16" s="41"/>
      <c r="G16" s="41">
        <v>10</v>
      </c>
      <c r="H16" s="80"/>
      <c r="I16" s="81"/>
      <c r="J16" s="78"/>
      <c r="K16" s="79"/>
      <c r="L16" s="11"/>
    </row>
    <row r="17" spans="1:12" ht="15.65" customHeight="1" x14ac:dyDescent="0.35">
      <c r="A17" s="10">
        <v>7</v>
      </c>
      <c r="B17" s="82" t="s">
        <v>141</v>
      </c>
      <c r="C17" s="83"/>
      <c r="D17" s="7" t="s">
        <v>133</v>
      </c>
      <c r="E17" s="40">
        <v>100</v>
      </c>
      <c r="F17" s="41"/>
      <c r="G17" s="41">
        <v>14</v>
      </c>
      <c r="H17" s="80"/>
      <c r="I17" s="81"/>
      <c r="J17" s="78"/>
      <c r="K17" s="79"/>
      <c r="L17" s="11"/>
    </row>
    <row r="18" spans="1:12" ht="15.65" customHeight="1" x14ac:dyDescent="0.35">
      <c r="A18" s="10">
        <v>8</v>
      </c>
      <c r="B18" s="82" t="s">
        <v>138</v>
      </c>
      <c r="C18" s="83"/>
      <c r="D18" s="3" t="s">
        <v>130</v>
      </c>
      <c r="E18" s="40">
        <v>70</v>
      </c>
      <c r="F18" s="41"/>
      <c r="G18" s="41">
        <v>10</v>
      </c>
      <c r="H18" s="80"/>
      <c r="I18" s="81"/>
      <c r="J18" s="78"/>
      <c r="K18" s="79"/>
      <c r="L18" s="11"/>
    </row>
    <row r="19" spans="1:12" ht="15.5" x14ac:dyDescent="0.35">
      <c r="A19" s="10">
        <v>9</v>
      </c>
      <c r="B19" s="82" t="s">
        <v>142</v>
      </c>
      <c r="C19" s="83"/>
      <c r="D19" s="18" t="s">
        <v>134</v>
      </c>
      <c r="E19" s="40">
        <v>165</v>
      </c>
      <c r="F19" s="41"/>
      <c r="G19" s="41">
        <v>18</v>
      </c>
      <c r="H19" s="80"/>
      <c r="I19" s="81"/>
      <c r="J19" s="78"/>
      <c r="K19" s="79"/>
      <c r="L19" s="11"/>
    </row>
    <row r="20" spans="1:12" ht="15.65" customHeight="1" x14ac:dyDescent="0.35">
      <c r="A20" s="10">
        <v>10</v>
      </c>
      <c r="B20" s="82" t="s">
        <v>143</v>
      </c>
      <c r="C20" s="83"/>
      <c r="D20" s="4" t="s">
        <v>135</v>
      </c>
      <c r="E20" s="40">
        <v>110</v>
      </c>
      <c r="F20" s="41"/>
      <c r="G20" s="41">
        <v>14</v>
      </c>
      <c r="H20" s="80"/>
      <c r="I20" s="81"/>
      <c r="J20" s="78"/>
      <c r="K20" s="79"/>
      <c r="L20" s="11"/>
    </row>
    <row r="21" spans="1:12" ht="15.65" customHeight="1" x14ac:dyDescent="0.35">
      <c r="A21" s="10">
        <v>11</v>
      </c>
      <c r="B21" s="82" t="s">
        <v>145</v>
      </c>
      <c r="C21" s="83"/>
      <c r="D21" s="7" t="s">
        <v>144</v>
      </c>
      <c r="E21" s="40">
        <v>97</v>
      </c>
      <c r="F21" s="41"/>
      <c r="G21" s="41">
        <v>16</v>
      </c>
      <c r="H21" s="80"/>
      <c r="I21" s="81"/>
      <c r="J21" s="78"/>
      <c r="K21" s="79"/>
      <c r="L21" s="11"/>
    </row>
    <row r="22" spans="1:12" ht="15.65" customHeight="1" x14ac:dyDescent="0.35">
      <c r="A22" s="10">
        <v>12</v>
      </c>
      <c r="B22" s="82" t="s">
        <v>139</v>
      </c>
      <c r="C22" s="83"/>
      <c r="D22" s="7" t="s">
        <v>131</v>
      </c>
      <c r="E22" s="40">
        <v>64</v>
      </c>
      <c r="F22" s="41"/>
      <c r="G22" s="41">
        <v>5</v>
      </c>
      <c r="H22" s="80"/>
      <c r="I22" s="81"/>
      <c r="J22" s="78"/>
      <c r="K22" s="79"/>
      <c r="L22" s="11"/>
    </row>
    <row r="23" spans="1:12" ht="15.65" customHeight="1" x14ac:dyDescent="0.35">
      <c r="A23" s="10">
        <v>13</v>
      </c>
      <c r="B23" s="82" t="s">
        <v>139</v>
      </c>
      <c r="C23" s="83"/>
      <c r="D23" s="3" t="s">
        <v>131</v>
      </c>
      <c r="E23" s="40">
        <v>124</v>
      </c>
      <c r="F23" s="41"/>
      <c r="G23" s="41">
        <v>15</v>
      </c>
      <c r="H23" s="80"/>
      <c r="I23" s="81"/>
      <c r="J23" s="78"/>
      <c r="K23" s="79"/>
      <c r="L23" s="11"/>
    </row>
    <row r="24" spans="1:12" ht="15.65" customHeight="1" x14ac:dyDescent="0.35">
      <c r="A24" s="10">
        <v>14</v>
      </c>
      <c r="B24" s="82" t="s">
        <v>146</v>
      </c>
      <c r="C24" s="83"/>
      <c r="D24" s="3" t="s">
        <v>136</v>
      </c>
      <c r="E24" s="40">
        <v>42</v>
      </c>
      <c r="F24" s="41"/>
      <c r="G24" s="41">
        <v>7</v>
      </c>
      <c r="H24" s="80"/>
      <c r="I24" s="81"/>
      <c r="J24" s="78"/>
      <c r="K24" s="79"/>
      <c r="L24" s="11"/>
    </row>
  </sheetData>
  <mergeCells count="67">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21:C21"/>
    <mergeCell ref="B22:C22"/>
    <mergeCell ref="B23:C23"/>
    <mergeCell ref="B24:C24"/>
    <mergeCell ref="B14:C14"/>
    <mergeCell ref="B15:C15"/>
    <mergeCell ref="B16:C16"/>
    <mergeCell ref="B17:C17"/>
    <mergeCell ref="B18:C18"/>
    <mergeCell ref="B19:C19"/>
    <mergeCell ref="B20:C20"/>
    <mergeCell ref="H24:I24"/>
    <mergeCell ref="H16:I16"/>
    <mergeCell ref="H17:I17"/>
    <mergeCell ref="H18:I18"/>
    <mergeCell ref="H19:I19"/>
    <mergeCell ref="H20:I20"/>
    <mergeCell ref="J11:K11"/>
    <mergeCell ref="J12:K12"/>
    <mergeCell ref="J13:K13"/>
    <mergeCell ref="J14:K14"/>
    <mergeCell ref="J15:K15"/>
    <mergeCell ref="J24:K24"/>
    <mergeCell ref="J16:K16"/>
    <mergeCell ref="J17:K17"/>
    <mergeCell ref="J18:K18"/>
    <mergeCell ref="J19:K19"/>
    <mergeCell ref="J20:K20"/>
    <mergeCell ref="H14:I14"/>
    <mergeCell ref="H15:I15"/>
    <mergeCell ref="J21:K21"/>
    <mergeCell ref="J22:K22"/>
    <mergeCell ref="J23:K23"/>
    <mergeCell ref="H21:I21"/>
    <mergeCell ref="H22:I22"/>
    <mergeCell ref="H23:I2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topLeftCell="A4" workbookViewId="0">
      <selection activeCell="O20" sqref="O20"/>
    </sheetView>
  </sheetViews>
  <sheetFormatPr defaultRowHeight="14.5" x14ac:dyDescent="0.35"/>
  <cols>
    <col min="1" max="1" width="3.1796875" customWidth="1"/>
    <col min="2" max="2" width="10.36328125" customWidth="1"/>
    <col min="3" max="3" width="11.81640625" customWidth="1"/>
    <col min="4" max="4" width="6.36328125" customWidth="1"/>
    <col min="5" max="13" width="4.26953125" customWidth="1"/>
    <col min="15" max="15" width="6.36328125" customWidth="1"/>
    <col min="16" max="16" width="8.54296875"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0"/>
    </row>
    <row r="4" spans="1:17" ht="15" thickBot="1" x14ac:dyDescent="0.4">
      <c r="A4" s="20"/>
    </row>
    <row r="5" spans="1:17" ht="16" thickBot="1" x14ac:dyDescent="0.4">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17" t="s">
        <v>77</v>
      </c>
      <c r="F7" s="118"/>
      <c r="G7" s="119"/>
      <c r="H7" s="117" t="s">
        <v>78</v>
      </c>
      <c r="I7" s="118"/>
      <c r="J7" s="119"/>
      <c r="K7" s="117" t="s">
        <v>77</v>
      </c>
      <c r="L7" s="118"/>
      <c r="M7" s="119"/>
      <c r="N7" s="122"/>
      <c r="O7" s="122"/>
      <c r="P7" s="122"/>
      <c r="Q7" s="122"/>
    </row>
    <row r="8" spans="1:17" ht="16" thickBot="1" x14ac:dyDescent="0.4">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31.5" customHeight="1" x14ac:dyDescent="0.35">
      <c r="A9" s="62">
        <v>1</v>
      </c>
      <c r="B9" s="32" t="s">
        <v>147</v>
      </c>
      <c r="C9" s="63" t="s">
        <v>148</v>
      </c>
      <c r="D9" s="63">
        <v>1235</v>
      </c>
      <c r="E9" s="64"/>
      <c r="F9" s="65"/>
      <c r="G9" s="63">
        <v>2</v>
      </c>
      <c r="H9" s="65"/>
      <c r="I9" s="63"/>
      <c r="J9" s="65">
        <v>6</v>
      </c>
      <c r="K9" s="63"/>
      <c r="L9" s="65"/>
      <c r="M9" s="63">
        <v>35</v>
      </c>
      <c r="N9" s="66">
        <v>2</v>
      </c>
      <c r="O9" s="67"/>
      <c r="P9" s="66"/>
      <c r="Q9" s="68"/>
    </row>
    <row r="10" spans="1:17" ht="31.5" customHeight="1" x14ac:dyDescent="0.35">
      <c r="A10" s="62">
        <v>2</v>
      </c>
      <c r="B10" s="32" t="s">
        <v>147</v>
      </c>
      <c r="C10" s="63" t="s">
        <v>148</v>
      </c>
      <c r="D10" s="63">
        <v>978</v>
      </c>
      <c r="E10" s="64"/>
      <c r="F10" s="65"/>
      <c r="G10" s="63">
        <v>5</v>
      </c>
      <c r="H10" s="65"/>
      <c r="I10" s="63"/>
      <c r="J10" s="65">
        <v>9</v>
      </c>
      <c r="K10" s="63"/>
      <c r="L10" s="65"/>
      <c r="M10" s="63">
        <v>28</v>
      </c>
      <c r="N10" s="66">
        <v>1</v>
      </c>
      <c r="O10" s="67"/>
      <c r="P10" s="66"/>
      <c r="Q10" s="68"/>
    </row>
    <row r="11" spans="1:17" ht="31.5" customHeight="1" x14ac:dyDescent="0.35">
      <c r="A11" s="62">
        <v>3</v>
      </c>
      <c r="B11" s="32" t="s">
        <v>147</v>
      </c>
      <c r="C11" s="63" t="s">
        <v>148</v>
      </c>
      <c r="D11" s="63">
        <v>1102</v>
      </c>
      <c r="E11" s="64"/>
      <c r="F11" s="65"/>
      <c r="G11" s="63">
        <v>4</v>
      </c>
      <c r="H11" s="65"/>
      <c r="I11" s="63"/>
      <c r="J11" s="65">
        <v>11</v>
      </c>
      <c r="K11" s="63"/>
      <c r="L11" s="65"/>
      <c r="M11" s="63">
        <v>40</v>
      </c>
      <c r="N11" s="66">
        <v>2</v>
      </c>
      <c r="O11" s="67"/>
      <c r="P11" s="66"/>
      <c r="Q11" s="68"/>
    </row>
    <row r="12" spans="1:17" ht="31.5" customHeight="1" x14ac:dyDescent="0.35">
      <c r="A12" s="62">
        <v>4</v>
      </c>
      <c r="B12" s="32" t="s">
        <v>147</v>
      </c>
      <c r="C12" s="63" t="s">
        <v>148</v>
      </c>
      <c r="D12" s="63">
        <v>1210</v>
      </c>
      <c r="E12" s="64"/>
      <c r="F12" s="65"/>
      <c r="G12" s="63">
        <v>3</v>
      </c>
      <c r="H12" s="65"/>
      <c r="I12" s="63"/>
      <c r="J12" s="65">
        <v>7</v>
      </c>
      <c r="K12" s="63"/>
      <c r="L12" s="65"/>
      <c r="M12" s="63">
        <v>36</v>
      </c>
      <c r="N12" s="66">
        <v>3</v>
      </c>
      <c r="O12" s="67"/>
      <c r="P12" s="66"/>
      <c r="Q12" s="68"/>
    </row>
    <row r="13" spans="1:17" ht="31.5" customHeight="1" x14ac:dyDescent="0.35">
      <c r="A13" s="72">
        <v>5</v>
      </c>
      <c r="B13" s="32" t="s">
        <v>147</v>
      </c>
      <c r="C13" s="63" t="s">
        <v>148</v>
      </c>
      <c r="D13" s="63">
        <v>870</v>
      </c>
      <c r="E13" s="64"/>
      <c r="F13" s="65"/>
      <c r="G13" s="63">
        <v>5</v>
      </c>
      <c r="H13" s="65"/>
      <c r="I13" s="63"/>
      <c r="J13" s="65">
        <v>8</v>
      </c>
      <c r="K13" s="63"/>
      <c r="L13" s="65"/>
      <c r="M13" s="63">
        <v>40</v>
      </c>
      <c r="N13" s="66">
        <v>5</v>
      </c>
      <c r="O13" s="67"/>
      <c r="P13" s="66"/>
      <c r="Q13" s="68"/>
    </row>
    <row r="14" spans="1:17" ht="31.5" customHeight="1" x14ac:dyDescent="0.35">
      <c r="A14" s="72">
        <v>6</v>
      </c>
      <c r="B14" s="32" t="s">
        <v>147</v>
      </c>
      <c r="C14" s="63" t="s">
        <v>148</v>
      </c>
      <c r="D14" s="63">
        <v>974</v>
      </c>
      <c r="E14" s="64"/>
      <c r="F14" s="65"/>
      <c r="G14" s="63">
        <v>3</v>
      </c>
      <c r="H14" s="65"/>
      <c r="I14" s="63"/>
      <c r="J14" s="65">
        <v>8</v>
      </c>
      <c r="K14" s="63"/>
      <c r="L14" s="65"/>
      <c r="M14" s="63">
        <v>35</v>
      </c>
      <c r="N14" s="66">
        <v>4</v>
      </c>
      <c r="O14" s="67"/>
      <c r="P14" s="66"/>
      <c r="Q14" s="68"/>
    </row>
    <row r="15" spans="1:17" ht="31.5" customHeight="1" x14ac:dyDescent="0.35">
      <c r="A15" s="72">
        <v>7</v>
      </c>
      <c r="B15" s="32" t="s">
        <v>147</v>
      </c>
      <c r="C15" s="63" t="s">
        <v>148</v>
      </c>
      <c r="D15" s="63">
        <v>563</v>
      </c>
      <c r="E15" s="64"/>
      <c r="F15" s="65"/>
      <c r="G15" s="63">
        <v>5</v>
      </c>
      <c r="H15" s="65"/>
      <c r="I15" s="63"/>
      <c r="J15" s="65">
        <v>11</v>
      </c>
      <c r="K15" s="63"/>
      <c r="L15" s="65"/>
      <c r="M15" s="63">
        <v>25</v>
      </c>
      <c r="N15" s="66">
        <v>3</v>
      </c>
      <c r="O15" s="67"/>
      <c r="P15" s="66"/>
      <c r="Q15" s="68"/>
    </row>
    <row r="16" spans="1:17" ht="31.5" customHeight="1" x14ac:dyDescent="0.35">
      <c r="A16" s="72">
        <v>8</v>
      </c>
      <c r="B16" s="32" t="s">
        <v>147</v>
      </c>
      <c r="C16" s="63" t="s">
        <v>148</v>
      </c>
      <c r="D16" s="63">
        <v>795</v>
      </c>
      <c r="E16" s="64"/>
      <c r="F16" s="65"/>
      <c r="G16" s="63">
        <v>4</v>
      </c>
      <c r="H16" s="65"/>
      <c r="I16" s="63"/>
      <c r="J16" s="65">
        <v>13</v>
      </c>
      <c r="K16" s="63"/>
      <c r="L16" s="65"/>
      <c r="M16" s="63">
        <v>34</v>
      </c>
      <c r="N16" s="66">
        <v>1</v>
      </c>
      <c r="O16" s="67"/>
      <c r="P16" s="66"/>
      <c r="Q16" s="68"/>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7" workbookViewId="0">
      <selection activeCell="I21" sqref="I21"/>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8"/>
      <c r="B2" s="138"/>
      <c r="H2" t="s">
        <v>83</v>
      </c>
      <c r="I2" s="9">
        <f>'Form 1'!C9</f>
        <v>253</v>
      </c>
    </row>
    <row r="3" spans="1:9" ht="24" customHeight="1" x14ac:dyDescent="0.35">
      <c r="A3" s="135" t="s">
        <v>10</v>
      </c>
      <c r="B3" s="135" t="s">
        <v>11</v>
      </c>
      <c r="C3" s="135" t="s">
        <v>12</v>
      </c>
      <c r="D3" s="135" t="s">
        <v>84</v>
      </c>
      <c r="E3" s="135" t="s">
        <v>108</v>
      </c>
      <c r="F3" s="135" t="s">
        <v>85</v>
      </c>
      <c r="G3" s="106" t="s">
        <v>15</v>
      </c>
      <c r="H3" s="107"/>
      <c r="I3" s="135" t="s">
        <v>86</v>
      </c>
    </row>
    <row r="4" spans="1:9" ht="60" x14ac:dyDescent="0.35">
      <c r="A4" s="136"/>
      <c r="B4" s="136"/>
      <c r="C4" s="136"/>
      <c r="D4" s="136"/>
      <c r="E4" s="136"/>
      <c r="F4" s="136"/>
      <c r="G4" s="19" t="s">
        <v>87</v>
      </c>
      <c r="H4" s="19" t="s">
        <v>19</v>
      </c>
      <c r="I4" s="136"/>
    </row>
    <row r="5" spans="1:9" ht="15.65" customHeight="1" x14ac:dyDescent="0.35">
      <c r="A5" s="22">
        <v>1</v>
      </c>
      <c r="B5" s="43" t="s">
        <v>157</v>
      </c>
      <c r="C5" s="4" t="s">
        <v>149</v>
      </c>
      <c r="D5" s="4"/>
      <c r="E5" s="4">
        <v>36.700000000000003</v>
      </c>
      <c r="F5" s="41">
        <v>3</v>
      </c>
      <c r="G5" s="22"/>
      <c r="H5" s="22"/>
      <c r="I5" s="22"/>
    </row>
    <row r="6" spans="1:9" ht="15.65" customHeight="1" x14ac:dyDescent="0.35">
      <c r="A6" s="22">
        <v>2</v>
      </c>
      <c r="B6" s="43" t="s">
        <v>157</v>
      </c>
      <c r="C6" s="4" t="s">
        <v>149</v>
      </c>
      <c r="D6" s="4"/>
      <c r="E6" s="4">
        <v>35.6</v>
      </c>
      <c r="F6" s="41">
        <v>2.5</v>
      </c>
      <c r="G6" s="22"/>
      <c r="H6" s="22"/>
      <c r="I6" s="22"/>
    </row>
    <row r="7" spans="1:9" ht="15.5" x14ac:dyDescent="0.35">
      <c r="A7" s="24"/>
      <c r="B7" s="25"/>
      <c r="C7" s="26"/>
      <c r="D7" s="27"/>
      <c r="E7" s="27"/>
      <c r="F7" s="27"/>
      <c r="G7" s="24"/>
      <c r="H7" s="24"/>
      <c r="I7" s="24"/>
    </row>
    <row r="8" spans="1:9" ht="21" x14ac:dyDescent="0.35">
      <c r="A8" s="120" t="s">
        <v>88</v>
      </c>
      <c r="B8" s="120"/>
      <c r="C8" s="120"/>
      <c r="D8" s="120"/>
      <c r="E8" s="120"/>
      <c r="F8" s="120"/>
      <c r="G8" s="120"/>
      <c r="H8" s="120"/>
      <c r="I8" s="120"/>
    </row>
    <row r="9" spans="1:9" ht="15.5" x14ac:dyDescent="0.35">
      <c r="A9" s="137"/>
      <c r="B9" s="137"/>
      <c r="H9" t="s">
        <v>83</v>
      </c>
      <c r="I9" s="9">
        <f>'Form 1'!C9</f>
        <v>253</v>
      </c>
    </row>
    <row r="10" spans="1:9" ht="15.75" customHeight="1" x14ac:dyDescent="0.35">
      <c r="A10" s="101" t="s">
        <v>10</v>
      </c>
      <c r="B10" s="101" t="s">
        <v>11</v>
      </c>
      <c r="C10" s="101" t="s">
        <v>12</v>
      </c>
      <c r="D10" s="101" t="s">
        <v>84</v>
      </c>
      <c r="E10" s="135" t="s">
        <v>108</v>
      </c>
      <c r="F10" s="101" t="s">
        <v>85</v>
      </c>
      <c r="G10" s="101" t="s">
        <v>15</v>
      </c>
      <c r="H10" s="101"/>
      <c r="I10" s="135" t="s">
        <v>86</v>
      </c>
    </row>
    <row r="11" spans="1:9" ht="60" x14ac:dyDescent="0.35">
      <c r="A11" s="101"/>
      <c r="B11" s="101"/>
      <c r="C11" s="101"/>
      <c r="D11" s="101"/>
      <c r="E11" s="136"/>
      <c r="F11" s="101"/>
      <c r="G11" s="19" t="s">
        <v>87</v>
      </c>
      <c r="H11" s="19" t="s">
        <v>19</v>
      </c>
      <c r="I11" s="136"/>
    </row>
    <row r="12" spans="1:9" ht="15.5" x14ac:dyDescent="0.35">
      <c r="A12" s="22">
        <v>1</v>
      </c>
      <c r="B12" s="23" t="s">
        <v>137</v>
      </c>
      <c r="C12" s="3" t="s">
        <v>129</v>
      </c>
      <c r="D12" s="40"/>
      <c r="E12" s="42">
        <v>35.200000000000003</v>
      </c>
      <c r="F12" s="40">
        <v>2</v>
      </c>
      <c r="G12" s="22"/>
      <c r="H12" s="22"/>
      <c r="I12" s="28"/>
    </row>
    <row r="14" spans="1:9" ht="21" x14ac:dyDescent="0.35">
      <c r="A14" s="120" t="s">
        <v>89</v>
      </c>
      <c r="B14" s="120"/>
      <c r="C14" s="120"/>
      <c r="D14" s="120"/>
      <c r="E14" s="120"/>
      <c r="F14" s="120"/>
      <c r="G14" s="120"/>
      <c r="H14" s="120"/>
      <c r="I14" s="120"/>
    </row>
    <row r="15" spans="1:9" ht="15.5" x14ac:dyDescent="0.35">
      <c r="A15" s="137"/>
      <c r="B15" s="137"/>
      <c r="H15" s="9" t="s">
        <v>83</v>
      </c>
      <c r="I15" s="9">
        <f>'Form 1'!C9</f>
        <v>253</v>
      </c>
    </row>
    <row r="16" spans="1:9" ht="15.75" customHeight="1" x14ac:dyDescent="0.35">
      <c r="A16" s="101" t="s">
        <v>10</v>
      </c>
      <c r="B16" s="101" t="s">
        <v>11</v>
      </c>
      <c r="C16" s="101" t="s">
        <v>12</v>
      </c>
      <c r="D16" s="101" t="s">
        <v>84</v>
      </c>
      <c r="E16" s="135" t="s">
        <v>108</v>
      </c>
      <c r="F16" s="101" t="s">
        <v>85</v>
      </c>
      <c r="G16" s="101" t="s">
        <v>15</v>
      </c>
      <c r="H16" s="101"/>
      <c r="I16" s="135" t="s">
        <v>86</v>
      </c>
    </row>
    <row r="17" spans="1:9" ht="60" x14ac:dyDescent="0.35">
      <c r="A17" s="101"/>
      <c r="B17" s="101"/>
      <c r="C17" s="101"/>
      <c r="D17" s="101"/>
      <c r="E17" s="136"/>
      <c r="F17" s="101"/>
      <c r="G17" s="19" t="s">
        <v>87</v>
      </c>
      <c r="H17" s="19" t="s">
        <v>19</v>
      </c>
      <c r="I17" s="136"/>
    </row>
    <row r="18" spans="1:9" ht="15.65" customHeight="1" x14ac:dyDescent="0.35">
      <c r="A18" s="22">
        <v>1</v>
      </c>
      <c r="B18" s="23" t="s">
        <v>147</v>
      </c>
      <c r="C18" s="3" t="s">
        <v>148</v>
      </c>
      <c r="D18" s="40"/>
      <c r="E18" s="3">
        <v>55.1</v>
      </c>
      <c r="F18" s="40">
        <v>7</v>
      </c>
      <c r="G18" s="22"/>
      <c r="H18" s="22"/>
      <c r="I18" s="22"/>
    </row>
    <row r="19" spans="1:9" ht="15.65" customHeight="1" x14ac:dyDescent="0.35">
      <c r="A19" s="22">
        <v>2</v>
      </c>
      <c r="B19" s="23" t="s">
        <v>147</v>
      </c>
      <c r="C19" s="3" t="s">
        <v>148</v>
      </c>
      <c r="D19" s="40"/>
      <c r="E19" s="3">
        <v>48.6</v>
      </c>
      <c r="F19" s="40">
        <v>7</v>
      </c>
      <c r="G19" s="22"/>
      <c r="H19" s="22"/>
      <c r="I19" s="22"/>
    </row>
    <row r="20" spans="1:9" ht="15.65" customHeight="1" x14ac:dyDescent="0.35">
      <c r="A20" s="22">
        <v>3</v>
      </c>
      <c r="B20" s="23" t="s">
        <v>147</v>
      </c>
      <c r="C20" s="3" t="s">
        <v>148</v>
      </c>
      <c r="D20" s="40"/>
      <c r="E20" s="3">
        <v>60.1</v>
      </c>
      <c r="F20" s="40">
        <v>10</v>
      </c>
      <c r="G20" s="22"/>
      <c r="H20" s="22"/>
      <c r="I20" s="22"/>
    </row>
    <row r="21" spans="1:9" ht="15.65" customHeight="1" x14ac:dyDescent="0.35">
      <c r="A21" s="22">
        <v>4</v>
      </c>
      <c r="B21" s="23" t="s">
        <v>147</v>
      </c>
      <c r="C21" s="3" t="s">
        <v>148</v>
      </c>
      <c r="D21" s="40"/>
      <c r="E21" s="3">
        <v>46.1</v>
      </c>
      <c r="F21" s="40">
        <v>8</v>
      </c>
      <c r="G21" s="22"/>
      <c r="H21" s="22"/>
      <c r="I21" s="22"/>
    </row>
    <row r="22" spans="1:9" ht="15.65" customHeight="1" x14ac:dyDescent="0.35">
      <c r="A22" s="22">
        <v>5</v>
      </c>
      <c r="B22" s="23" t="s">
        <v>147</v>
      </c>
      <c r="C22" s="3" t="s">
        <v>148</v>
      </c>
      <c r="D22" s="40"/>
      <c r="E22" s="3">
        <v>52.1</v>
      </c>
      <c r="F22" s="40">
        <v>8</v>
      </c>
      <c r="G22" s="22"/>
      <c r="H22" s="22"/>
      <c r="I22" s="22"/>
    </row>
    <row r="23" spans="1:9" ht="15.65" customHeight="1" x14ac:dyDescent="0.35">
      <c r="A23" s="22">
        <v>6</v>
      </c>
      <c r="B23" s="23" t="s">
        <v>147</v>
      </c>
      <c r="C23" s="3" t="s">
        <v>148</v>
      </c>
      <c r="D23" s="40"/>
      <c r="E23" s="3">
        <v>35.1</v>
      </c>
      <c r="F23" s="40">
        <v>6</v>
      </c>
      <c r="G23" s="22"/>
      <c r="H23" s="22"/>
      <c r="I23" s="22"/>
    </row>
    <row r="24" spans="1:9" ht="15.5" x14ac:dyDescent="0.35">
      <c r="D24" s="27"/>
      <c r="F24" s="29"/>
    </row>
    <row r="25" spans="1:9" ht="21" x14ac:dyDescent="0.35">
      <c r="A25" s="120" t="s">
        <v>90</v>
      </c>
      <c r="B25" s="120"/>
      <c r="C25" s="120"/>
      <c r="D25" s="120"/>
      <c r="E25" s="120"/>
      <c r="F25" s="120"/>
      <c r="G25" s="120"/>
      <c r="H25" s="120"/>
      <c r="I25" s="120"/>
    </row>
    <row r="26" spans="1:9" x14ac:dyDescent="0.35">
      <c r="A26" s="134"/>
      <c r="B26" s="134"/>
      <c r="H26" t="s">
        <v>83</v>
      </c>
      <c r="I26" s="9">
        <f>'Form 1'!C9</f>
        <v>253</v>
      </c>
    </row>
    <row r="27" spans="1:9" ht="15.75" customHeight="1" x14ac:dyDescent="0.35">
      <c r="A27" s="101" t="s">
        <v>10</v>
      </c>
      <c r="B27" s="101" t="s">
        <v>11</v>
      </c>
      <c r="C27" s="101" t="s">
        <v>12</v>
      </c>
      <c r="D27" s="101" t="s">
        <v>84</v>
      </c>
      <c r="E27" s="135" t="s">
        <v>108</v>
      </c>
      <c r="F27" s="101" t="s">
        <v>85</v>
      </c>
      <c r="G27" s="101" t="s">
        <v>15</v>
      </c>
      <c r="H27" s="101"/>
      <c r="I27" s="101" t="s">
        <v>86</v>
      </c>
    </row>
    <row r="28" spans="1:9" ht="60" x14ac:dyDescent="0.35">
      <c r="A28" s="101"/>
      <c r="B28" s="101"/>
      <c r="C28" s="101"/>
      <c r="D28" s="101"/>
      <c r="E28" s="136"/>
      <c r="F28" s="101"/>
      <c r="G28" s="38" t="s">
        <v>87</v>
      </c>
      <c r="H28" s="38" t="s">
        <v>19</v>
      </c>
      <c r="I28" s="101"/>
    </row>
    <row r="29" spans="1:9" ht="17.25" customHeight="1" x14ac:dyDescent="0.35">
      <c r="A29" s="22">
        <v>1</v>
      </c>
      <c r="B29" s="131" t="s">
        <v>152</v>
      </c>
      <c r="C29" s="132"/>
      <c r="D29" s="132"/>
      <c r="E29" s="132"/>
      <c r="F29" s="132"/>
      <c r="G29" s="132"/>
      <c r="H29" s="132"/>
      <c r="I29" s="133"/>
    </row>
  </sheetData>
  <mergeCells count="41">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4:I14"/>
    <mergeCell ref="A15:B15"/>
    <mergeCell ref="A16:A17"/>
    <mergeCell ref="B16:B17"/>
    <mergeCell ref="C16:C17"/>
    <mergeCell ref="D16:D17"/>
    <mergeCell ref="E16:E17"/>
    <mergeCell ref="F16:F17"/>
    <mergeCell ref="G16:H16"/>
    <mergeCell ref="I16:I17"/>
    <mergeCell ref="B29:I29"/>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8" sqref="B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9">
        <f>'Form 1'!C9</f>
        <v>253</v>
      </c>
    </row>
    <row r="3" spans="1:7" ht="15" x14ac:dyDescent="0.35">
      <c r="A3" s="101" t="s">
        <v>10</v>
      </c>
      <c r="B3" s="101" t="s">
        <v>11</v>
      </c>
      <c r="C3" s="101" t="s">
        <v>12</v>
      </c>
      <c r="D3" s="101" t="s">
        <v>92</v>
      </c>
      <c r="E3" s="101" t="s">
        <v>15</v>
      </c>
      <c r="F3" s="101"/>
      <c r="G3" s="101" t="s">
        <v>93</v>
      </c>
    </row>
    <row r="4" spans="1:7" ht="30" x14ac:dyDescent="0.35">
      <c r="A4" s="101"/>
      <c r="B4" s="101"/>
      <c r="C4" s="101"/>
      <c r="D4" s="101"/>
      <c r="E4" s="30" t="s">
        <v>94</v>
      </c>
      <c r="F4" s="30" t="s">
        <v>95</v>
      </c>
      <c r="G4" s="101"/>
    </row>
    <row r="5" spans="1:7" ht="15" x14ac:dyDescent="0.35">
      <c r="A5" s="101"/>
      <c r="B5" s="101"/>
      <c r="C5" s="101"/>
      <c r="D5" s="101"/>
      <c r="E5" s="31" t="s">
        <v>96</v>
      </c>
      <c r="F5" s="31" t="s">
        <v>97</v>
      </c>
      <c r="G5" s="101"/>
    </row>
    <row r="6" spans="1:7" ht="15.5" x14ac:dyDescent="0.35">
      <c r="A6" s="22">
        <v>1</v>
      </c>
      <c r="B6" s="23" t="s">
        <v>160</v>
      </c>
      <c r="C6" s="3" t="s">
        <v>158</v>
      </c>
      <c r="D6" s="40">
        <v>45</v>
      </c>
      <c r="E6" s="22"/>
      <c r="F6" s="30"/>
      <c r="G6" s="22"/>
    </row>
    <row r="7" spans="1:7" ht="15.5" x14ac:dyDescent="0.35">
      <c r="A7" s="22">
        <v>2</v>
      </c>
      <c r="B7" s="23" t="s">
        <v>137</v>
      </c>
      <c r="C7" s="3" t="s">
        <v>129</v>
      </c>
      <c r="D7" s="40">
        <v>10</v>
      </c>
      <c r="E7" s="22"/>
      <c r="F7" s="22"/>
      <c r="G7" s="22"/>
    </row>
    <row r="8" spans="1:7" ht="15.5" x14ac:dyDescent="0.35">
      <c r="A8" s="22">
        <v>3</v>
      </c>
      <c r="B8" s="23" t="s">
        <v>160</v>
      </c>
      <c r="C8" s="3" t="s">
        <v>158</v>
      </c>
      <c r="D8" s="40">
        <v>15</v>
      </c>
      <c r="E8" s="22"/>
      <c r="F8" s="39"/>
      <c r="G8" s="22"/>
    </row>
    <row r="9" spans="1:7" ht="15.5" x14ac:dyDescent="0.35">
      <c r="A9" s="22">
        <v>4</v>
      </c>
      <c r="B9" s="23" t="s">
        <v>160</v>
      </c>
      <c r="C9" s="3" t="s">
        <v>158</v>
      </c>
      <c r="D9" s="40">
        <v>27</v>
      </c>
      <c r="E9" s="22"/>
      <c r="F9" s="22"/>
      <c r="G9" s="22"/>
    </row>
    <row r="10" spans="1:7" ht="15.5" x14ac:dyDescent="0.35">
      <c r="A10" s="22">
        <v>5</v>
      </c>
      <c r="B10" s="23" t="s">
        <v>160</v>
      </c>
      <c r="C10" s="3" t="s">
        <v>158</v>
      </c>
      <c r="D10" s="40">
        <v>15</v>
      </c>
      <c r="E10" s="22"/>
      <c r="F10" s="39"/>
      <c r="G10" s="22"/>
    </row>
    <row r="11" spans="1:7" ht="15.5" x14ac:dyDescent="0.35">
      <c r="A11" s="22">
        <v>6</v>
      </c>
      <c r="B11" s="23" t="s">
        <v>160</v>
      </c>
      <c r="C11" s="3" t="s">
        <v>158</v>
      </c>
      <c r="D11" s="40">
        <v>25</v>
      </c>
      <c r="E11" s="22"/>
      <c r="F11" s="22"/>
      <c r="G11" s="22"/>
    </row>
    <row r="12" spans="1:7" ht="15.5" x14ac:dyDescent="0.35">
      <c r="A12" s="22">
        <v>7</v>
      </c>
      <c r="B12" s="23" t="s">
        <v>160</v>
      </c>
      <c r="C12" s="3" t="s">
        <v>158</v>
      </c>
      <c r="D12" s="40">
        <v>30</v>
      </c>
      <c r="E12" s="22"/>
      <c r="F12" s="39"/>
      <c r="G12" s="22"/>
    </row>
    <row r="13" spans="1:7" ht="15" x14ac:dyDescent="0.35">
      <c r="A13" s="106" t="s">
        <v>103</v>
      </c>
      <c r="B13" s="142"/>
      <c r="C13" s="142"/>
      <c r="D13" s="142"/>
      <c r="E13" s="142"/>
      <c r="F13" s="142"/>
      <c r="G13" s="107"/>
    </row>
    <row r="14" spans="1:7" ht="15.5" x14ac:dyDescent="0.35">
      <c r="A14" s="22">
        <v>1</v>
      </c>
      <c r="B14" s="139" t="s">
        <v>104</v>
      </c>
      <c r="C14" s="140"/>
      <c r="D14" s="140"/>
      <c r="E14" s="140"/>
      <c r="F14" s="141"/>
      <c r="G14" s="3" t="s">
        <v>150</v>
      </c>
    </row>
    <row r="15" spans="1:7" ht="15.5" x14ac:dyDescent="0.35">
      <c r="A15" s="22">
        <v>2</v>
      </c>
      <c r="B15" s="139" t="s">
        <v>105</v>
      </c>
      <c r="C15" s="140"/>
      <c r="D15" s="140"/>
      <c r="E15" s="140"/>
      <c r="F15" s="141"/>
      <c r="G15" s="3" t="s">
        <v>151</v>
      </c>
    </row>
    <row r="16" spans="1:7" ht="15.5" x14ac:dyDescent="0.35">
      <c r="A16" s="22">
        <v>3</v>
      </c>
      <c r="B16" s="139" t="s">
        <v>106</v>
      </c>
      <c r="C16" s="140"/>
      <c r="D16" s="140"/>
      <c r="E16" s="140"/>
      <c r="F16" s="141"/>
      <c r="G16" s="3" t="s">
        <v>152</v>
      </c>
    </row>
    <row r="17" spans="1:12" ht="15.5" x14ac:dyDescent="0.35">
      <c r="A17" s="22">
        <v>4</v>
      </c>
      <c r="B17" s="139" t="s">
        <v>107</v>
      </c>
      <c r="C17" s="140"/>
      <c r="D17" s="140"/>
      <c r="E17" s="140"/>
      <c r="F17" s="141"/>
      <c r="G17" s="3" t="s">
        <v>153</v>
      </c>
    </row>
    <row r="18" spans="1:12" ht="15.5" x14ac:dyDescent="0.35">
      <c r="A18" s="24"/>
      <c r="B18" s="34"/>
      <c r="C18" s="34"/>
      <c r="D18" s="24"/>
      <c r="E18" s="24"/>
      <c r="F18" s="24"/>
      <c r="G18" s="24"/>
      <c r="L18" s="33"/>
    </row>
    <row r="19" spans="1:12" s="35" customFormat="1" ht="19.899999999999999" customHeight="1" x14ac:dyDescent="0.35">
      <c r="A19" s="144" t="s">
        <v>98</v>
      </c>
      <c r="B19" s="144"/>
      <c r="C19" s="144"/>
      <c r="D19" s="144"/>
      <c r="E19" s="144"/>
      <c r="F19" s="144"/>
      <c r="G19" s="144"/>
      <c r="L19" s="33"/>
    </row>
    <row r="20" spans="1:12" ht="15.5" x14ac:dyDescent="0.35">
      <c r="A20" s="35"/>
      <c r="B20" s="35"/>
      <c r="C20" s="35"/>
      <c r="D20" s="35"/>
      <c r="E20" s="35"/>
      <c r="F20" t="s">
        <v>83</v>
      </c>
      <c r="G20" s="9">
        <f>'Form 1'!C9</f>
        <v>253</v>
      </c>
      <c r="L20" s="33"/>
    </row>
    <row r="21" spans="1:12" ht="15.75" customHeight="1" x14ac:dyDescent="0.35">
      <c r="A21" s="135" t="s">
        <v>10</v>
      </c>
      <c r="B21" s="135" t="s">
        <v>11</v>
      </c>
      <c r="C21" s="135" t="s">
        <v>12</v>
      </c>
      <c r="D21" s="135" t="s">
        <v>99</v>
      </c>
      <c r="E21" s="106" t="s">
        <v>15</v>
      </c>
      <c r="F21" s="107"/>
      <c r="G21" s="135" t="s">
        <v>100</v>
      </c>
      <c r="L21" s="33"/>
    </row>
    <row r="22" spans="1:12" ht="30" x14ac:dyDescent="0.35">
      <c r="A22" s="143"/>
      <c r="B22" s="143"/>
      <c r="C22" s="143"/>
      <c r="D22" s="143"/>
      <c r="E22" s="30" t="s">
        <v>94</v>
      </c>
      <c r="F22" s="30" t="s">
        <v>95</v>
      </c>
      <c r="G22" s="143"/>
      <c r="L22" s="33"/>
    </row>
    <row r="23" spans="1:12" ht="15.5" x14ac:dyDescent="0.35">
      <c r="A23" s="136"/>
      <c r="B23" s="136"/>
      <c r="C23" s="136"/>
      <c r="D23" s="136"/>
      <c r="E23" s="31" t="s">
        <v>96</v>
      </c>
      <c r="F23" s="31" t="s">
        <v>97</v>
      </c>
      <c r="G23" s="136"/>
      <c r="L23" s="33"/>
    </row>
    <row r="24" spans="1:12" ht="15.5" x14ac:dyDescent="0.35">
      <c r="A24" s="22">
        <v>1</v>
      </c>
      <c r="B24" s="32" t="s">
        <v>161</v>
      </c>
      <c r="C24" s="3" t="s">
        <v>159</v>
      </c>
      <c r="D24" s="40">
        <v>7</v>
      </c>
      <c r="E24" s="22"/>
      <c r="F24" s="22"/>
      <c r="G24" s="22"/>
      <c r="L24" s="33"/>
    </row>
    <row r="25" spans="1:12" ht="15.5" x14ac:dyDescent="0.35">
      <c r="A25" s="22">
        <v>2</v>
      </c>
      <c r="B25" s="23" t="s">
        <v>160</v>
      </c>
      <c r="C25" s="3" t="s">
        <v>158</v>
      </c>
      <c r="D25" s="40">
        <v>14</v>
      </c>
      <c r="E25" s="22"/>
      <c r="F25" s="22"/>
      <c r="G25" s="22"/>
      <c r="L25" s="33"/>
    </row>
    <row r="26" spans="1:12" ht="15.5" x14ac:dyDescent="0.35">
      <c r="A26" s="22">
        <v>3</v>
      </c>
      <c r="B26" s="32" t="s">
        <v>160</v>
      </c>
      <c r="C26" s="3" t="s">
        <v>158</v>
      </c>
      <c r="D26" s="40">
        <v>18</v>
      </c>
      <c r="E26" s="22"/>
      <c r="F26" s="22"/>
      <c r="G26" s="22"/>
      <c r="L26" s="33"/>
    </row>
    <row r="27" spans="1:12" ht="15.5" x14ac:dyDescent="0.35">
      <c r="A27" s="22">
        <v>4</v>
      </c>
      <c r="B27" s="23" t="s">
        <v>160</v>
      </c>
      <c r="C27" s="3" t="s">
        <v>158</v>
      </c>
      <c r="D27" s="40">
        <v>20</v>
      </c>
      <c r="E27" s="22"/>
      <c r="F27" s="22"/>
      <c r="G27" s="22"/>
      <c r="L27" s="33"/>
    </row>
    <row r="28" spans="1:12" ht="15.5" x14ac:dyDescent="0.35">
      <c r="A28" s="22">
        <v>5</v>
      </c>
      <c r="B28" s="32" t="s">
        <v>160</v>
      </c>
      <c r="C28" s="3" t="s">
        <v>158</v>
      </c>
      <c r="D28" s="40">
        <v>12</v>
      </c>
      <c r="E28" s="22"/>
      <c r="F28" s="22"/>
      <c r="G28" s="22"/>
      <c r="L28" s="33"/>
    </row>
    <row r="29" spans="1:12" ht="15.5" x14ac:dyDescent="0.35">
      <c r="A29" s="22">
        <v>6</v>
      </c>
      <c r="B29" s="32" t="s">
        <v>160</v>
      </c>
      <c r="C29" s="3" t="s">
        <v>158</v>
      </c>
      <c r="D29" s="40">
        <v>15</v>
      </c>
      <c r="E29" s="22"/>
      <c r="F29" s="22"/>
      <c r="G29" s="22"/>
      <c r="L29" s="33"/>
    </row>
    <row r="30" spans="1:12" ht="15.5" x14ac:dyDescent="0.35">
      <c r="A30" s="22">
        <v>7</v>
      </c>
      <c r="B30" s="32" t="s">
        <v>160</v>
      </c>
      <c r="C30" s="3" t="s">
        <v>158</v>
      </c>
      <c r="D30" s="40">
        <v>10</v>
      </c>
      <c r="E30" s="22"/>
      <c r="F30" s="22"/>
      <c r="G30" s="22"/>
      <c r="L30" s="33"/>
    </row>
    <row r="31" spans="1:12" ht="15.5" x14ac:dyDescent="0.35">
      <c r="A31" s="22">
        <v>8</v>
      </c>
      <c r="B31" s="32" t="s">
        <v>161</v>
      </c>
      <c r="C31" s="3" t="s">
        <v>159</v>
      </c>
      <c r="D31" s="40">
        <v>5</v>
      </c>
      <c r="E31" s="22"/>
      <c r="F31" s="22"/>
      <c r="G31" s="22"/>
      <c r="L31" s="33"/>
    </row>
    <row r="32" spans="1:12" ht="15.5" x14ac:dyDescent="0.35">
      <c r="A32" s="22">
        <v>9</v>
      </c>
      <c r="B32" s="32" t="s">
        <v>161</v>
      </c>
      <c r="C32" s="3" t="s">
        <v>159</v>
      </c>
      <c r="D32" s="40">
        <v>4</v>
      </c>
      <c r="E32" s="22"/>
      <c r="F32" s="22"/>
      <c r="G32" s="22"/>
      <c r="L32" s="33"/>
    </row>
    <row r="33" spans="1:12" ht="15.5" x14ac:dyDescent="0.35">
      <c r="A33" s="22">
        <v>10</v>
      </c>
      <c r="B33" s="32" t="s">
        <v>161</v>
      </c>
      <c r="C33" s="3" t="s">
        <v>159</v>
      </c>
      <c r="D33" s="40">
        <v>5</v>
      </c>
      <c r="E33" s="22"/>
      <c r="F33" s="22"/>
      <c r="G33" s="22"/>
      <c r="L33" s="33"/>
    </row>
    <row r="34" spans="1:12" ht="15" x14ac:dyDescent="0.35">
      <c r="A34" s="106" t="s">
        <v>103</v>
      </c>
      <c r="B34" s="142"/>
      <c r="C34" s="142"/>
      <c r="D34" s="142"/>
      <c r="E34" s="142"/>
      <c r="F34" s="142"/>
      <c r="G34" s="107"/>
    </row>
    <row r="35" spans="1:12" ht="15.5" x14ac:dyDescent="0.35">
      <c r="A35" s="22">
        <v>1</v>
      </c>
      <c r="B35" s="139" t="s">
        <v>104</v>
      </c>
      <c r="C35" s="140"/>
      <c r="D35" s="140"/>
      <c r="E35" s="140"/>
      <c r="F35" s="141"/>
      <c r="G35" s="3" t="s">
        <v>154</v>
      </c>
    </row>
    <row r="36" spans="1:12" ht="15.5" x14ac:dyDescent="0.35">
      <c r="A36" s="22">
        <v>2</v>
      </c>
      <c r="B36" s="139" t="s">
        <v>105</v>
      </c>
      <c r="C36" s="140"/>
      <c r="D36" s="140"/>
      <c r="E36" s="140"/>
      <c r="F36" s="141"/>
      <c r="G36" s="3" t="s">
        <v>155</v>
      </c>
    </row>
    <row r="37" spans="1:12" ht="15.5" x14ac:dyDescent="0.35">
      <c r="A37" s="22">
        <v>3</v>
      </c>
      <c r="B37" s="139" t="s">
        <v>106</v>
      </c>
      <c r="C37" s="140"/>
      <c r="D37" s="140"/>
      <c r="E37" s="140"/>
      <c r="F37" s="141"/>
      <c r="G37" s="3" t="s">
        <v>152</v>
      </c>
    </row>
    <row r="38" spans="1:12" ht="15.5" x14ac:dyDescent="0.35">
      <c r="A38" s="22">
        <v>4</v>
      </c>
      <c r="B38" s="139" t="s">
        <v>107</v>
      </c>
      <c r="C38" s="140"/>
      <c r="D38" s="140"/>
      <c r="E38" s="140"/>
      <c r="F38" s="141"/>
      <c r="G38" s="3" t="s">
        <v>156</v>
      </c>
    </row>
  </sheetData>
  <mergeCells count="25">
    <mergeCell ref="E21:F21"/>
    <mergeCell ref="A1:G1"/>
    <mergeCell ref="A2:B2"/>
    <mergeCell ref="A3:A5"/>
    <mergeCell ref="B3:B5"/>
    <mergeCell ref="C3:C5"/>
    <mergeCell ref="D3:D5"/>
    <mergeCell ref="E3:F3"/>
    <mergeCell ref="G3:G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2024-10-28T02:11:02Z</dcterms:modified>
</cp:coreProperties>
</file>