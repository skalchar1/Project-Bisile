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6" i="12"/>
  <c r="G2" i="12"/>
  <c r="I25" i="11"/>
  <c r="I16" i="11"/>
  <c r="I8" i="11"/>
  <c r="I2" i="11"/>
  <c r="C13" i="8"/>
  <c r="C12" i="8"/>
  <c r="C11" i="8"/>
  <c r="C10" i="8"/>
  <c r="C5" i="6" s="1"/>
  <c r="C9" i="8"/>
</calcChain>
</file>

<file path=xl/sharedStrings.xml><?xml version="1.0" encoding="utf-8"?>
<sst xmlns="http://schemas.openxmlformats.org/spreadsheetml/2006/main" count="439" uniqueCount="186">
  <si>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</si>
  <si>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</si>
  <si>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</si>
  <si>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</si>
  <si>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</si>
  <si>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</si>
  <si>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</si>
  <si>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</si>
  <si>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</si>
  <si>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</si>
  <si>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</si>
  <si>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</si>
  <si>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</si>
  <si>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</si>
  <si>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</si>
  <si>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</si>
  <si>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</si>
  <si>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</si>
  <si>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</si>
  <si>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</si>
  <si>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</si>
  <si>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</si>
  <si>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</si>
  <si>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</si>
  <si>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</si>
  <si>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</si>
  <si>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</si>
  <si>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</si>
  <si>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</si>
  <si>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</si>
  <si>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</si>
  <si>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</si>
  <si>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</si>
  <si>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</si>
  <si>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</si>
  <si>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</si>
  <si>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</si>
  <si>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</si>
  <si>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</si>
  <si>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</si>
  <si>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</si>
  <si>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</si>
  <si>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</si>
  <si>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</si>
  <si>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</si>
  <si>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</si>
  <si>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</si>
  <si>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</si>
  <si>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</si>
  <si>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</si>
  <si>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</si>
  <si>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</si>
  <si>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</si>
  <si>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</si>
  <si>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</si>
  <si>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</si>
  <si>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</si>
  <si>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</si>
  <si>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</si>
  <si>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</si>
  <si>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</si>
  <si>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</si>
  <si>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</si>
  <si>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</si>
  <si>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</si>
  <si>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</si>
  <si>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</si>
  <si>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</si>
  <si>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</si>
  <si>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</si>
  <si>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</si>
  <si>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</si>
  <si>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</si>
  <si>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</si>
  <si>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</si>
  <si>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</si>
  <si>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</si>
  <si>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</si>
  <si>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</si>
  <si>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</si>
  <si>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</si>
  <si>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</si>
  <si>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</si>
  <si>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</si>
  <si>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</si>
  <si>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</si>
  <si>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</si>
  <si>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</si>
  <si>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</si>
  <si>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</si>
  <si>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</si>
  <si>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</si>
  <si>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</si>
  <si>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</si>
  <si>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</si>
  <si>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</si>
  <si>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</si>
  <si>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</si>
  <si>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</si>
  <si>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</si>
  <si>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</si>
  <si>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</si>
  <si>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</si>
  <si>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</si>
  <si>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</si>
  <si>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</si>
  <si>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</si>
  <si>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</si>
  <si>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</si>
  <si>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</si>
  <si>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</si>
  <si>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</si>
  <si>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</si>
  <si>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</si>
  <si>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</si>
  <si>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</si>
  <si>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</si>
  <si>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</si>
  <si>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</si>
  <si>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6. Weeds - Scanty - Malastoma offine</t>
  </si>
  <si>
    <t>7. Bamboo -Absent</t>
  </si>
  <si>
    <t xml:space="preserve">10. Underwood species -  Ixora brachiata (KaanSurgi), Olea dioca (Agasalle), Tabariena montana (Maddarsa), Aparosa lindliana (Salle), </t>
  </si>
  <si>
    <t>13. NTFP yielding sps -  Cinnamomum zalenicum (Dalchinni), Senegalea rugta (Seege).</t>
  </si>
  <si>
    <t>Latarite soil, Texture - HArd, Depth - 30cm, Permiability - Good.</t>
  </si>
  <si>
    <t>Mild Erosion</t>
  </si>
  <si>
    <t>Absent</t>
  </si>
  <si>
    <t>Natural forest</t>
  </si>
  <si>
    <t>Start from Nettana Timber Dipo to towards Sulya road to Nadugallu for 20.3 km N-12.640254, E- 75.565393. Then left turn to Kiribag RF for 9.9 km N- 12.590937, E- 75.627531 (By jeep). Then walked towards left for 795 mtr to reached center of the plot.</t>
  </si>
  <si>
    <t>1. Track - Gently Rolling</t>
  </si>
  <si>
    <t>3.Canopy density - Closed forest and 80% canopy closed.</t>
  </si>
  <si>
    <t>8. Herbs - Memecylon talbotianum (Adchari),  Phychotrica dalzellii (Vaatmadike), Leea indica (Nedthi).</t>
  </si>
  <si>
    <t>9. Shrubs -  Calycopteris floribunda(Kumsa balli), Alangium salvifolium (Ankole).</t>
  </si>
  <si>
    <t>11. Climber - Pothos scandens (Adakeballi), Piper tioicum (Kaadu kalu menasu), Tinospora malabarica (Madari beelu), Strychonos wallichiana  (Balli kasarka).</t>
  </si>
  <si>
    <t>12. Rattans - Nil</t>
  </si>
  <si>
    <t>Closed forest forest, Canopy 80% closed</t>
  </si>
  <si>
    <t>Gently Rolling</t>
  </si>
  <si>
    <t>Upto 4 - 15</t>
  </si>
  <si>
    <t>North East</t>
  </si>
  <si>
    <t>2. Aspect - North East</t>
  </si>
  <si>
    <t xml:space="preserve">Semi Evergreen Densed forest, Species like Knema attiunata (Bannasampige), Acronychea padunculata,  Olea dioca (Agasalle), Holigarna arnottiana (Chaar), Aparosa lindliana (Salle), Terminalea paniculata (Marva), </t>
  </si>
  <si>
    <t>Aparosa lindlyana (Salle) - 40%,  Xylea xylocarpa (Jambe) - 10%</t>
  </si>
  <si>
    <t>Green leaf fodder collaction</t>
  </si>
  <si>
    <t>Salle</t>
  </si>
  <si>
    <t>Bogi</t>
  </si>
  <si>
    <t>Balpale</t>
  </si>
  <si>
    <t>Kodlimurka</t>
  </si>
  <si>
    <t>Marva</t>
  </si>
  <si>
    <t>Andipunar</t>
  </si>
  <si>
    <t>Hebbalasu</t>
  </si>
  <si>
    <t>Jambe</t>
  </si>
  <si>
    <t>Genasi</t>
  </si>
  <si>
    <t>Aparosa lindlyana</t>
  </si>
  <si>
    <t>Hopea parvifolea</t>
  </si>
  <si>
    <t>Terminalea paniculata</t>
  </si>
  <si>
    <t>Xylea xylocarpa</t>
  </si>
  <si>
    <t>Carallia brachiata</t>
  </si>
  <si>
    <t>Artocarpus hirsutus</t>
  </si>
  <si>
    <t>Lophopetalum wightianum</t>
  </si>
  <si>
    <t>Schleichera oleaosa</t>
  </si>
  <si>
    <t>Dolichandrone spsthacea</t>
  </si>
  <si>
    <t>Nill</t>
  </si>
  <si>
    <t>360 gm</t>
  </si>
  <si>
    <t>875 gm</t>
  </si>
  <si>
    <t>1.3 kg</t>
  </si>
  <si>
    <t>185 gm</t>
  </si>
  <si>
    <t>310 gm</t>
  </si>
  <si>
    <t>1.2 kg</t>
  </si>
  <si>
    <t>1.6 kg</t>
  </si>
  <si>
    <t>180 gm</t>
  </si>
  <si>
    <t>KaanSurgi</t>
  </si>
  <si>
    <t>Maddarsa</t>
  </si>
  <si>
    <t>Adchari</t>
  </si>
  <si>
    <t>Vaatmadike</t>
  </si>
  <si>
    <t>Adakeballi</t>
  </si>
  <si>
    <t>Climber</t>
  </si>
  <si>
    <t>Phycotrea dalzelli</t>
  </si>
  <si>
    <t>Pothos scandens</t>
  </si>
  <si>
    <t>Ixora brachiata</t>
  </si>
  <si>
    <t>Memecylon talbotianum</t>
  </si>
  <si>
    <t>Tabernaentana montana</t>
  </si>
  <si>
    <t>Kilarmale RF</t>
  </si>
  <si>
    <t>XII-26</t>
  </si>
  <si>
    <t>12.557975°</t>
  </si>
  <si>
    <t xml:space="preserve"> 75.609349°</t>
  </si>
  <si>
    <t>201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</si>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</sst>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0" zoomScaleSheetLayoutView="115" workbookViewId="0">
      <selection activeCell="B14" sqref="B14:B26"/>
    </sheetView>
  </sheetViews>
  <sheetFormatPr defaultColWidth="9.1796875" defaultRowHeight="15.5" x14ac:dyDescent="0.35"/>
  <cols>
    <col min="1" max="1" width="5" style="53" bestFit="1" customWidth="1"/>
    <col min="2" max="2" width="15.7265625" style="53" customWidth="1"/>
    <col min="3" max="3" width="54.90625" style="53" customWidth="1"/>
    <col min="4" max="16384" width="9.1796875" style="53"/>
  </cols>
  <sheetData>
    <row r="1" spans="1:3" x14ac:dyDescent="0.35">
      <c r="A1" s="78" t="s">
        <v>21</v>
      </c>
      <c r="B1" s="78"/>
      <c r="C1" s="78"/>
    </row>
    <row r="2" spans="1:3" x14ac:dyDescent="0.35">
      <c r="A2" s="78" t="s">
        <v>22</v>
      </c>
      <c r="B2" s="78"/>
      <c r="C2" s="78"/>
    </row>
    <row r="3" spans="1:3" x14ac:dyDescent="0.35">
      <c r="A3" s="79" t="s">
        <v>102</v>
      </c>
      <c r="B3" s="79"/>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180</v>
      </c>
    </row>
    <row r="8" spans="1:3" x14ac:dyDescent="0.35">
      <c r="A8" s="60">
        <v>3</v>
      </c>
      <c r="B8" s="61" t="s">
        <v>28</v>
      </c>
      <c r="C8" s="65" t="s">
        <v>181</v>
      </c>
    </row>
    <row r="9" spans="1:3" x14ac:dyDescent="0.35">
      <c r="A9" s="60">
        <v>4</v>
      </c>
      <c r="B9" s="61" t="s">
        <v>29</v>
      </c>
      <c r="C9" s="47">
        <v>531</v>
      </c>
    </row>
    <row r="10" spans="1:3" ht="20.25" customHeight="1" x14ac:dyDescent="0.35">
      <c r="A10" s="60">
        <v>5</v>
      </c>
      <c r="B10" s="61" t="s">
        <v>30</v>
      </c>
      <c r="C10" s="66" t="s">
        <v>182</v>
      </c>
    </row>
    <row r="11" spans="1:3" ht="23.25" customHeight="1" x14ac:dyDescent="0.35">
      <c r="A11" s="60"/>
      <c r="B11" s="61" t="s">
        <v>31</v>
      </c>
      <c r="C11" s="66" t="s">
        <v>183</v>
      </c>
    </row>
    <row r="12" spans="1:3" ht="80.25" customHeight="1" x14ac:dyDescent="0.35">
      <c r="A12" s="60">
        <v>7</v>
      </c>
      <c r="B12" s="61" t="s">
        <v>32</v>
      </c>
      <c r="C12" s="47" t="s">
        <v>127</v>
      </c>
    </row>
    <row r="13" spans="1:3" ht="84.75" customHeight="1" x14ac:dyDescent="0.35">
      <c r="A13" s="60">
        <v>8</v>
      </c>
      <c r="B13" s="61" t="s">
        <v>33</v>
      </c>
      <c r="C13" s="67" t="s">
        <v>139</v>
      </c>
    </row>
    <row r="14" spans="1:3" ht="15.75" customHeight="1" x14ac:dyDescent="0.35">
      <c r="A14" s="72">
        <v>9</v>
      </c>
      <c r="B14" s="155" t="s">
        <v>34</v>
      </c>
      <c r="C14" s="67" t="s">
        <v>128</v>
      </c>
    </row>
    <row r="15" spans="1:3" x14ac:dyDescent="0.35">
      <c r="A15" s="73"/>
      <c r="B15" s="156"/>
      <c r="C15" s="67" t="s">
        <v>138</v>
      </c>
    </row>
    <row r="16" spans="1:3" x14ac:dyDescent="0.35">
      <c r="A16" s="73"/>
      <c r="B16" s="156"/>
      <c r="C16" s="67" t="s">
        <v>129</v>
      </c>
    </row>
    <row r="17" spans="1:3" x14ac:dyDescent="0.35">
      <c r="A17" s="73"/>
      <c r="B17" s="156"/>
      <c r="C17" s="67" t="s">
        <v>112</v>
      </c>
    </row>
    <row r="18" spans="1:3" x14ac:dyDescent="0.35">
      <c r="A18" s="73"/>
      <c r="B18" s="156"/>
      <c r="C18" s="69" t="s">
        <v>118</v>
      </c>
    </row>
    <row r="19" spans="1:3" x14ac:dyDescent="0.35">
      <c r="A19" s="73"/>
      <c r="B19" s="156"/>
      <c r="C19" s="67" t="s">
        <v>119</v>
      </c>
    </row>
    <row r="20" spans="1:3" x14ac:dyDescent="0.35">
      <c r="A20" s="73"/>
      <c r="B20" s="156"/>
      <c r="C20" s="67" t="s">
        <v>120</v>
      </c>
    </row>
    <row r="21" spans="1:3" ht="31" x14ac:dyDescent="0.35">
      <c r="A21" s="73"/>
      <c r="B21" s="156"/>
      <c r="C21" s="67" t="s">
        <v>130</v>
      </c>
    </row>
    <row r="22" spans="1:3" ht="31" x14ac:dyDescent="0.35">
      <c r="A22" s="73"/>
      <c r="B22" s="156"/>
      <c r="C22" s="67" t="s">
        <v>131</v>
      </c>
    </row>
    <row r="23" spans="1:3" ht="46.5" x14ac:dyDescent="0.35">
      <c r="A23" s="73"/>
      <c r="B23" s="156"/>
      <c r="C23" s="67" t="s">
        <v>121</v>
      </c>
    </row>
    <row r="24" spans="1:3" ht="50.25" customHeight="1" x14ac:dyDescent="0.35">
      <c r="A24" s="73"/>
      <c r="B24" s="156"/>
      <c r="C24" s="67" t="s">
        <v>132</v>
      </c>
    </row>
    <row r="25" spans="1:3" x14ac:dyDescent="0.35">
      <c r="A25" s="73"/>
      <c r="B25" s="156"/>
      <c r="C25" s="67" t="s">
        <v>133</v>
      </c>
    </row>
    <row r="26" spans="1:3" ht="31" x14ac:dyDescent="0.35">
      <c r="A26" s="73"/>
      <c r="B26" s="157"/>
      <c r="C26" s="67" t="s">
        <v>122</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1"/>
    </row>
    <row r="33" spans="1:1" x14ac:dyDescent="0.35">
      <c r="A33" s="68"/>
    </row>
    <row r="34" spans="1:1" x14ac:dyDescent="0.35">
      <c r="A34" s="68"/>
    </row>
    <row r="35" spans="1:1" x14ac:dyDescent="0.35">
      <c r="A35" s="68"/>
    </row>
    <row r="36" spans="1:1" x14ac:dyDescent="0.35">
      <c r="A36" s="68"/>
    </row>
    <row r="37" spans="1:1" x14ac:dyDescent="0.35">
      <c r="A37" s="68"/>
    </row>
    <row r="38" spans="1:1" x14ac:dyDescent="0.35">
      <c r="A38" s="68"/>
    </row>
    <row r="49" spans="1:1" x14ac:dyDescent="0.35">
      <c r="A49" s="68"/>
    </row>
    <row r="50" spans="1:1" ht="62.25" customHeight="1" x14ac:dyDescent="0.35">
      <c r="A50" s="68"/>
    </row>
    <row r="51" spans="1:1" x14ac:dyDescent="0.35">
      <c r="A51" s="68"/>
    </row>
    <row r="52" spans="1:1" x14ac:dyDescent="0.35">
      <c r="A52" s="68"/>
    </row>
    <row r="53" spans="1:1" x14ac:dyDescent="0.35">
      <c r="A53" s="68"/>
    </row>
    <row r="54" spans="1:1" x14ac:dyDescent="0.35">
      <c r="A54" s="68"/>
    </row>
    <row r="55" spans="1:1" x14ac:dyDescent="0.35">
      <c r="A55" s="68"/>
    </row>
    <row r="56" spans="1:1" x14ac:dyDescent="0.35">
      <c r="A56" s="68"/>
    </row>
    <row r="57" spans="1:1" x14ac:dyDescent="0.35">
      <c r="A57" s="68"/>
    </row>
    <row r="58" spans="1:1" x14ac:dyDescent="0.35">
      <c r="A58" s="71"/>
    </row>
    <row r="66" spans="1:1" x14ac:dyDescent="0.35">
      <c r="A66" s="68"/>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13" sqref="C13"/>
    </sheetView>
  </sheetViews>
  <sheetFormatPr defaultColWidth="9.1796875" defaultRowHeight="15.5" x14ac:dyDescent="0.35"/>
  <cols>
    <col min="1" max="1" width="4.7265625" style="53" bestFit="1" customWidth="1"/>
    <col min="2" max="2" width="16.453125" style="53" customWidth="1"/>
    <col min="3" max="3" width="49.54296875" style="53" customWidth="1"/>
    <col min="4" max="16384" width="9.1796875" style="53"/>
  </cols>
  <sheetData>
    <row r="1" spans="1:3" x14ac:dyDescent="0.35">
      <c r="A1" s="78" t="s">
        <v>37</v>
      </c>
      <c r="B1" s="78"/>
      <c r="C1" s="78"/>
    </row>
    <row r="2" spans="1:3" x14ac:dyDescent="0.35">
      <c r="A2" s="78" t="s">
        <v>38</v>
      </c>
      <c r="B2" s="78"/>
      <c r="C2" s="78"/>
    </row>
    <row r="3" spans="1:3" x14ac:dyDescent="0.35">
      <c r="A3" s="54"/>
    </row>
    <row r="4" spans="1:3" ht="70.900000000000006" customHeight="1" x14ac:dyDescent="0.35">
      <c r="A4" s="80" t="s">
        <v>39</v>
      </c>
      <c r="B4" s="80"/>
      <c r="C4" s="80"/>
    </row>
    <row r="5" spans="1:3" x14ac:dyDescent="0.35">
      <c r="A5" s="79" t="s">
        <v>102</v>
      </c>
      <c r="B5" s="79"/>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Kilarmale RF</v>
      </c>
    </row>
    <row r="10" spans="1:3" x14ac:dyDescent="0.35">
      <c r="A10" s="60">
        <v>3</v>
      </c>
      <c r="B10" s="61" t="s">
        <v>28</v>
      </c>
      <c r="C10" s="62" t="str">
        <f>'Form 1'!C8</f>
        <v>XII-26</v>
      </c>
    </row>
    <row r="11" spans="1:3" x14ac:dyDescent="0.35">
      <c r="A11" s="60">
        <v>4</v>
      </c>
      <c r="B11" s="61" t="s">
        <v>29</v>
      </c>
      <c r="C11" s="62">
        <f>'Form 1'!C9</f>
        <v>531</v>
      </c>
    </row>
    <row r="12" spans="1:3" x14ac:dyDescent="0.35">
      <c r="A12" s="60">
        <v>5</v>
      </c>
      <c r="B12" s="61" t="s">
        <v>42</v>
      </c>
      <c r="C12" s="62" t="str">
        <f>'Form 1'!C10</f>
        <v>12.557975°</v>
      </c>
    </row>
    <row r="13" spans="1:3" x14ac:dyDescent="0.35">
      <c r="A13" s="60">
        <v>6</v>
      </c>
      <c r="B13" s="61" t="s">
        <v>43</v>
      </c>
      <c r="C13" s="62" t="str">
        <f>'Form 1'!C11</f>
        <v xml:space="preserve"> 75.609349°</v>
      </c>
    </row>
    <row r="14" spans="1:3" x14ac:dyDescent="0.35">
      <c r="A14" s="60">
        <v>7</v>
      </c>
      <c r="B14" s="61" t="s">
        <v>44</v>
      </c>
      <c r="C14" s="62" t="s">
        <v>184</v>
      </c>
    </row>
    <row r="15" spans="1:3" x14ac:dyDescent="0.35">
      <c r="A15" s="60">
        <v>8</v>
      </c>
      <c r="B15" s="61" t="s">
        <v>45</v>
      </c>
      <c r="C15" s="62" t="s">
        <v>185</v>
      </c>
    </row>
    <row r="16" spans="1:3" x14ac:dyDescent="0.35">
      <c r="A16" s="60">
        <v>9</v>
      </c>
      <c r="B16" s="61" t="s">
        <v>46</v>
      </c>
      <c r="C16" s="62" t="s">
        <v>134</v>
      </c>
    </row>
    <row r="17" spans="1:3" ht="31" x14ac:dyDescent="0.35">
      <c r="A17" s="60">
        <v>10</v>
      </c>
      <c r="B17" s="61" t="s">
        <v>47</v>
      </c>
      <c r="C17" s="62" t="s">
        <v>135</v>
      </c>
    </row>
    <row r="18" spans="1:3" x14ac:dyDescent="0.35">
      <c r="A18" s="60">
        <v>11</v>
      </c>
      <c r="B18" s="61" t="s">
        <v>48</v>
      </c>
      <c r="C18" s="63" t="s">
        <v>136</v>
      </c>
    </row>
    <row r="19" spans="1:3" x14ac:dyDescent="0.35">
      <c r="A19" s="60">
        <v>12</v>
      </c>
      <c r="B19" s="61" t="s">
        <v>49</v>
      </c>
      <c r="C19" s="63" t="s">
        <v>137</v>
      </c>
    </row>
    <row r="20" spans="1:3" ht="31" x14ac:dyDescent="0.35">
      <c r="A20" s="60">
        <v>13</v>
      </c>
      <c r="B20" s="61" t="s">
        <v>50</v>
      </c>
      <c r="C20" s="63" t="s">
        <v>114</v>
      </c>
    </row>
    <row r="21" spans="1:3" ht="31" x14ac:dyDescent="0.35">
      <c r="A21" s="60">
        <v>14</v>
      </c>
      <c r="B21" s="61" t="s">
        <v>51</v>
      </c>
      <c r="C21" s="63" t="s">
        <v>123</v>
      </c>
    </row>
    <row r="22" spans="1:3" x14ac:dyDescent="0.35">
      <c r="A22" s="60">
        <v>15</v>
      </c>
      <c r="B22" s="61" t="s">
        <v>52</v>
      </c>
      <c r="C22" s="63" t="s">
        <v>124</v>
      </c>
    </row>
    <row r="23" spans="1:3" ht="31" x14ac:dyDescent="0.35">
      <c r="A23" s="60">
        <v>16</v>
      </c>
      <c r="B23" s="61" t="s">
        <v>53</v>
      </c>
      <c r="C23" s="63" t="s">
        <v>140</v>
      </c>
    </row>
    <row r="24" spans="1:3" ht="31" x14ac:dyDescent="0.35">
      <c r="A24" s="60">
        <v>17</v>
      </c>
      <c r="B24" s="61" t="s">
        <v>54</v>
      </c>
      <c r="C24" s="63" t="s">
        <v>115</v>
      </c>
    </row>
    <row r="25" spans="1:3" ht="31" x14ac:dyDescent="0.35">
      <c r="A25" s="60">
        <v>18</v>
      </c>
      <c r="B25" s="61" t="s">
        <v>55</v>
      </c>
      <c r="C25" s="63" t="s">
        <v>141</v>
      </c>
    </row>
    <row r="26" spans="1:3" ht="31" x14ac:dyDescent="0.35">
      <c r="A26" s="60">
        <v>19</v>
      </c>
      <c r="B26" s="61" t="s">
        <v>56</v>
      </c>
      <c r="C26" s="63" t="s">
        <v>113</v>
      </c>
    </row>
    <row r="27" spans="1:3" ht="31" x14ac:dyDescent="0.35">
      <c r="A27" s="60">
        <v>20</v>
      </c>
      <c r="B27" s="61" t="s">
        <v>57</v>
      </c>
      <c r="C27" s="63" t="s">
        <v>125</v>
      </c>
    </row>
    <row r="28" spans="1:3" ht="31" x14ac:dyDescent="0.35">
      <c r="A28" s="60">
        <v>21</v>
      </c>
      <c r="B28" s="61" t="s">
        <v>58</v>
      </c>
      <c r="C28" s="63" t="s">
        <v>125</v>
      </c>
    </row>
    <row r="29" spans="1:3" ht="31" x14ac:dyDescent="0.35">
      <c r="A29" s="60">
        <v>22</v>
      </c>
      <c r="B29" s="61" t="s">
        <v>59</v>
      </c>
      <c r="C29" s="63" t="s">
        <v>125</v>
      </c>
    </row>
    <row r="30" spans="1:3" x14ac:dyDescent="0.35">
      <c r="A30" s="60">
        <v>23</v>
      </c>
      <c r="B30" s="61" t="s">
        <v>60</v>
      </c>
      <c r="C30" s="63" t="s">
        <v>126</v>
      </c>
    </row>
    <row r="31" spans="1:3" x14ac:dyDescent="0.35">
      <c r="A31" s="60">
        <v>24</v>
      </c>
      <c r="B31" s="61" t="s">
        <v>61</v>
      </c>
      <c r="C31" s="63" t="s">
        <v>113</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
  <sheetViews>
    <sheetView workbookViewId="0">
      <selection activeCell="B19" sqref="B19:C1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t="str">
        <f>'Form II'!C10</f>
        <v>XII-26</v>
      </c>
      <c r="D5" s="94"/>
      <c r="E5" s="100" t="s">
        <v>109</v>
      </c>
      <c r="F5" s="93"/>
      <c r="G5" s="93"/>
      <c r="H5" s="93"/>
      <c r="I5" s="94"/>
      <c r="J5" s="14" t="s">
        <v>4</v>
      </c>
      <c r="K5" s="92"/>
      <c r="L5" s="95"/>
    </row>
    <row r="6" spans="1:12" ht="15.65" customHeight="1" x14ac:dyDescent="0.35">
      <c r="A6" s="96" t="s">
        <v>5</v>
      </c>
      <c r="B6" s="97"/>
      <c r="C6" s="98" t="str">
        <f>'Form 1'!C6</f>
        <v>Subramany</v>
      </c>
      <c r="D6" s="99"/>
      <c r="E6" s="38" t="s">
        <v>101</v>
      </c>
      <c r="F6" s="37"/>
      <c r="G6" s="98" t="str">
        <f>'Form 1'!C3</f>
        <v>Mangalore</v>
      </c>
      <c r="H6" s="98"/>
      <c r="I6" s="99"/>
      <c r="J6" s="15" t="s">
        <v>6</v>
      </c>
      <c r="K6" s="98" t="str">
        <f>'Form II'!C14</f>
        <v>201 m</v>
      </c>
      <c r="L6" s="105"/>
    </row>
    <row r="7" spans="1:12" ht="15.65" customHeight="1" thickBot="1" x14ac:dyDescent="0.4">
      <c r="A7" s="101" t="s">
        <v>7</v>
      </c>
      <c r="B7" s="102"/>
      <c r="C7" s="103" t="str">
        <f>'Form 1'!C10</f>
        <v>12.557975°</v>
      </c>
      <c r="D7" s="104"/>
      <c r="E7" s="16" t="s">
        <v>8</v>
      </c>
      <c r="F7" s="13"/>
      <c r="G7" s="103" t="str">
        <f>'Form 1'!C11</f>
        <v xml:space="preserve"> 75.609349°</v>
      </c>
      <c r="H7" s="103"/>
      <c r="I7" s="104"/>
      <c r="J7" s="16" t="s">
        <v>9</v>
      </c>
      <c r="K7" s="103">
        <f>'Form 1'!C9</f>
        <v>531</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113" t="s">
        <v>11</v>
      </c>
      <c r="C9" s="114"/>
      <c r="D9" s="111" t="s">
        <v>12</v>
      </c>
      <c r="E9" s="111" t="s">
        <v>13</v>
      </c>
      <c r="F9" s="17" t="s">
        <v>14</v>
      </c>
      <c r="G9" s="111" t="s">
        <v>20</v>
      </c>
      <c r="H9" s="119" t="s">
        <v>15</v>
      </c>
      <c r="I9" s="120"/>
      <c r="J9" s="120"/>
      <c r="K9" s="121"/>
      <c r="L9" s="107" t="s">
        <v>16</v>
      </c>
    </row>
    <row r="10" spans="1:12" ht="57" customHeight="1" x14ac:dyDescent="0.35">
      <c r="A10" s="110"/>
      <c r="B10" s="115"/>
      <c r="C10" s="116"/>
      <c r="D10" s="112"/>
      <c r="E10" s="112"/>
      <c r="F10" s="18" t="s">
        <v>17</v>
      </c>
      <c r="G10" s="112"/>
      <c r="H10" s="117" t="s">
        <v>18</v>
      </c>
      <c r="I10" s="118"/>
      <c r="J10" s="117" t="s">
        <v>19</v>
      </c>
      <c r="K10" s="118"/>
      <c r="L10" s="108"/>
    </row>
    <row r="11" spans="1:12" ht="15.65" customHeight="1" x14ac:dyDescent="0.35">
      <c r="A11" s="11">
        <v>1</v>
      </c>
      <c r="B11" s="81" t="s">
        <v>151</v>
      </c>
      <c r="C11" s="82"/>
      <c r="D11" s="3" t="s">
        <v>142</v>
      </c>
      <c r="E11" s="41">
        <v>100</v>
      </c>
      <c r="F11" s="41"/>
      <c r="G11" s="41">
        <v>12</v>
      </c>
      <c r="H11" s="85"/>
      <c r="I11" s="86"/>
      <c r="J11" s="83"/>
      <c r="K11" s="84"/>
      <c r="L11" s="12"/>
    </row>
    <row r="12" spans="1:12" ht="15.65" customHeight="1" x14ac:dyDescent="0.35">
      <c r="A12" s="11">
        <v>2</v>
      </c>
      <c r="B12" s="81" t="s">
        <v>151</v>
      </c>
      <c r="C12" s="82"/>
      <c r="D12" s="4" t="s">
        <v>142</v>
      </c>
      <c r="E12" s="41">
        <v>90</v>
      </c>
      <c r="F12" s="41"/>
      <c r="G12" s="41">
        <v>11</v>
      </c>
      <c r="H12" s="85"/>
      <c r="I12" s="86"/>
      <c r="J12" s="83"/>
      <c r="K12" s="84"/>
      <c r="L12" s="12"/>
    </row>
    <row r="13" spans="1:12" ht="15.65" customHeight="1" x14ac:dyDescent="0.35">
      <c r="A13" s="11">
        <v>3</v>
      </c>
      <c r="B13" s="81" t="s">
        <v>151</v>
      </c>
      <c r="C13" s="82"/>
      <c r="D13" s="3" t="s">
        <v>142</v>
      </c>
      <c r="E13" s="41">
        <v>37</v>
      </c>
      <c r="F13" s="41"/>
      <c r="G13" s="41">
        <v>6</v>
      </c>
      <c r="H13" s="85"/>
      <c r="I13" s="86"/>
      <c r="J13" s="83"/>
      <c r="K13" s="84"/>
      <c r="L13" s="12"/>
    </row>
    <row r="14" spans="1:12" ht="15.65" customHeight="1" x14ac:dyDescent="0.35">
      <c r="A14" s="11">
        <v>4</v>
      </c>
      <c r="B14" s="81" t="s">
        <v>151</v>
      </c>
      <c r="C14" s="82"/>
      <c r="D14" s="3" t="s">
        <v>142</v>
      </c>
      <c r="E14" s="41">
        <v>73</v>
      </c>
      <c r="F14" s="41"/>
      <c r="G14" s="41">
        <v>12</v>
      </c>
      <c r="H14" s="85"/>
      <c r="I14" s="86"/>
      <c r="J14" s="83"/>
      <c r="K14" s="84"/>
      <c r="L14" s="12"/>
    </row>
    <row r="15" spans="1:12" ht="15.65" customHeight="1" x14ac:dyDescent="0.35">
      <c r="A15" s="11">
        <v>5</v>
      </c>
      <c r="B15" s="81" t="s">
        <v>151</v>
      </c>
      <c r="C15" s="82"/>
      <c r="D15" s="7" t="s">
        <v>142</v>
      </c>
      <c r="E15" s="42">
        <v>102</v>
      </c>
      <c r="F15" s="41"/>
      <c r="G15" s="41">
        <v>13</v>
      </c>
      <c r="H15" s="85"/>
      <c r="I15" s="86"/>
      <c r="J15" s="83"/>
      <c r="K15" s="84"/>
      <c r="L15" s="12"/>
    </row>
    <row r="16" spans="1:12" ht="15.65" customHeight="1" x14ac:dyDescent="0.35">
      <c r="A16" s="11">
        <v>6</v>
      </c>
      <c r="B16" s="81" t="s">
        <v>151</v>
      </c>
      <c r="C16" s="82"/>
      <c r="D16" s="4" t="s">
        <v>142</v>
      </c>
      <c r="E16" s="41">
        <v>64</v>
      </c>
      <c r="F16" s="42"/>
      <c r="G16" s="42">
        <v>10</v>
      </c>
      <c r="H16" s="87"/>
      <c r="I16" s="88"/>
      <c r="J16" s="83"/>
      <c r="K16" s="84"/>
      <c r="L16" s="12"/>
    </row>
    <row r="17" spans="1:12" ht="15.65" customHeight="1" x14ac:dyDescent="0.35">
      <c r="A17" s="11">
        <v>7</v>
      </c>
      <c r="B17" s="81" t="s">
        <v>151</v>
      </c>
      <c r="C17" s="82"/>
      <c r="D17" s="7" t="s">
        <v>142</v>
      </c>
      <c r="E17" s="41">
        <v>61</v>
      </c>
      <c r="F17" s="42"/>
      <c r="G17" s="42">
        <v>10</v>
      </c>
      <c r="H17" s="87"/>
      <c r="I17" s="88"/>
      <c r="J17" s="83"/>
      <c r="K17" s="84"/>
      <c r="L17" s="12"/>
    </row>
    <row r="18" spans="1:12" ht="15.65" customHeight="1" x14ac:dyDescent="0.35">
      <c r="A18" s="11">
        <v>8</v>
      </c>
      <c r="B18" s="81" t="s">
        <v>151</v>
      </c>
      <c r="C18" s="82"/>
      <c r="D18" s="3" t="s">
        <v>142</v>
      </c>
      <c r="E18" s="41">
        <v>41</v>
      </c>
      <c r="F18" s="42"/>
      <c r="G18" s="42">
        <v>6</v>
      </c>
      <c r="H18" s="87"/>
      <c r="I18" s="88"/>
      <c r="J18" s="83"/>
      <c r="K18" s="84"/>
      <c r="L18" s="12"/>
    </row>
    <row r="19" spans="1:12" ht="15.5" x14ac:dyDescent="0.35">
      <c r="A19" s="11">
        <v>9</v>
      </c>
      <c r="B19" s="81" t="s">
        <v>151</v>
      </c>
      <c r="C19" s="82"/>
      <c r="D19" s="19" t="s">
        <v>142</v>
      </c>
      <c r="E19" s="41">
        <v>90</v>
      </c>
      <c r="F19" s="42"/>
      <c r="G19" s="42">
        <v>13</v>
      </c>
      <c r="H19" s="87"/>
      <c r="I19" s="88"/>
      <c r="J19" s="83"/>
      <c r="K19" s="84"/>
      <c r="L19" s="12"/>
    </row>
    <row r="20" spans="1:12" ht="15.65" customHeight="1" x14ac:dyDescent="0.35">
      <c r="A20" s="11">
        <v>10</v>
      </c>
      <c r="B20" s="81" t="s">
        <v>151</v>
      </c>
      <c r="C20" s="82"/>
      <c r="D20" s="4" t="s">
        <v>142</v>
      </c>
      <c r="E20" s="41">
        <v>96</v>
      </c>
      <c r="F20" s="42"/>
      <c r="G20" s="42">
        <v>13</v>
      </c>
      <c r="H20" s="87"/>
      <c r="I20" s="88"/>
      <c r="J20" s="83"/>
      <c r="K20" s="84"/>
      <c r="L20" s="12"/>
    </row>
    <row r="21" spans="1:12" ht="15.65" customHeight="1" x14ac:dyDescent="0.35">
      <c r="A21" s="11">
        <v>11</v>
      </c>
      <c r="B21" s="81" t="s">
        <v>151</v>
      </c>
      <c r="C21" s="82"/>
      <c r="D21" s="7" t="s">
        <v>142</v>
      </c>
      <c r="E21" s="41">
        <v>55</v>
      </c>
      <c r="F21" s="42"/>
      <c r="G21" s="42">
        <v>4</v>
      </c>
      <c r="H21" s="87"/>
      <c r="I21" s="88"/>
      <c r="J21" s="83"/>
      <c r="K21" s="84"/>
      <c r="L21" s="12"/>
    </row>
    <row r="22" spans="1:12" ht="15.65" customHeight="1" x14ac:dyDescent="0.35">
      <c r="A22" s="11">
        <v>12</v>
      </c>
      <c r="B22" s="81" t="s">
        <v>151</v>
      </c>
      <c r="C22" s="82"/>
      <c r="D22" s="7" t="s">
        <v>142</v>
      </c>
      <c r="E22" s="41">
        <v>44</v>
      </c>
      <c r="F22" s="42"/>
      <c r="G22" s="42">
        <v>5</v>
      </c>
      <c r="H22" s="87"/>
      <c r="I22" s="88"/>
      <c r="J22" s="83"/>
      <c r="K22" s="84"/>
      <c r="L22" s="12"/>
    </row>
    <row r="23" spans="1:12" ht="15.65" customHeight="1" x14ac:dyDescent="0.35">
      <c r="A23" s="11">
        <v>13</v>
      </c>
      <c r="B23" s="81" t="s">
        <v>151</v>
      </c>
      <c r="C23" s="82"/>
      <c r="D23" s="3" t="s">
        <v>142</v>
      </c>
      <c r="E23" s="41">
        <v>75</v>
      </c>
      <c r="F23" s="42"/>
      <c r="G23" s="42">
        <v>10</v>
      </c>
      <c r="H23" s="87"/>
      <c r="I23" s="88"/>
      <c r="J23" s="83"/>
      <c r="K23" s="84"/>
      <c r="L23" s="12"/>
    </row>
    <row r="24" spans="1:12" ht="15.65" customHeight="1" x14ac:dyDescent="0.35">
      <c r="A24" s="11">
        <v>14</v>
      </c>
      <c r="B24" s="81" t="s">
        <v>152</v>
      </c>
      <c r="C24" s="82"/>
      <c r="D24" s="3" t="s">
        <v>143</v>
      </c>
      <c r="E24" s="41">
        <v>106</v>
      </c>
      <c r="F24" s="42"/>
      <c r="G24" s="42">
        <v>16</v>
      </c>
      <c r="H24" s="87"/>
      <c r="I24" s="88"/>
      <c r="J24" s="83"/>
      <c r="K24" s="84"/>
      <c r="L24" s="12"/>
    </row>
    <row r="25" spans="1:12" ht="15.65" customHeight="1" x14ac:dyDescent="0.35">
      <c r="A25" s="11">
        <v>15</v>
      </c>
      <c r="B25" s="81" t="s">
        <v>151</v>
      </c>
      <c r="C25" s="82"/>
      <c r="D25" s="4" t="s">
        <v>142</v>
      </c>
      <c r="E25" s="41">
        <v>42</v>
      </c>
      <c r="F25" s="42"/>
      <c r="G25" s="42">
        <v>7</v>
      </c>
      <c r="H25" s="87"/>
      <c r="I25" s="88"/>
      <c r="J25" s="83"/>
      <c r="K25" s="84"/>
      <c r="L25" s="12"/>
    </row>
    <row r="26" spans="1:12" ht="15.65" customHeight="1" x14ac:dyDescent="0.35">
      <c r="A26" s="11">
        <v>16</v>
      </c>
      <c r="B26" s="81" t="s">
        <v>151</v>
      </c>
      <c r="C26" s="82"/>
      <c r="D26" s="4" t="s">
        <v>142</v>
      </c>
      <c r="E26" s="41">
        <v>46</v>
      </c>
      <c r="F26" s="42"/>
      <c r="G26" s="42">
        <v>8</v>
      </c>
      <c r="H26" s="87"/>
      <c r="I26" s="88"/>
      <c r="J26" s="83"/>
      <c r="K26" s="84"/>
      <c r="L26" s="12"/>
    </row>
    <row r="27" spans="1:12" ht="15.65" customHeight="1" x14ac:dyDescent="0.35">
      <c r="A27" s="11">
        <v>17</v>
      </c>
      <c r="B27" s="81" t="s">
        <v>151</v>
      </c>
      <c r="C27" s="82"/>
      <c r="D27" s="4" t="s">
        <v>142</v>
      </c>
      <c r="E27" s="41">
        <v>56</v>
      </c>
      <c r="F27" s="42"/>
      <c r="G27" s="42">
        <v>9</v>
      </c>
      <c r="H27" s="87"/>
      <c r="I27" s="88"/>
      <c r="J27" s="83"/>
      <c r="K27" s="84"/>
      <c r="L27" s="12"/>
    </row>
    <row r="28" spans="1:12" ht="15.65" customHeight="1" x14ac:dyDescent="0.35">
      <c r="A28" s="11">
        <v>18</v>
      </c>
      <c r="B28" s="81" t="s">
        <v>151</v>
      </c>
      <c r="C28" s="82"/>
      <c r="D28" s="3" t="s">
        <v>142</v>
      </c>
      <c r="E28" s="41">
        <v>45</v>
      </c>
      <c r="F28" s="42"/>
      <c r="G28" s="42">
        <v>6</v>
      </c>
      <c r="H28" s="87"/>
      <c r="I28" s="88"/>
      <c r="J28" s="83"/>
      <c r="K28" s="84"/>
      <c r="L28" s="12"/>
    </row>
    <row r="29" spans="1:12" ht="15.65" customHeight="1" x14ac:dyDescent="0.35">
      <c r="A29" s="11">
        <v>19</v>
      </c>
      <c r="B29" s="81" t="s">
        <v>151</v>
      </c>
      <c r="C29" s="82"/>
      <c r="D29" s="8" t="s">
        <v>142</v>
      </c>
      <c r="E29" s="41">
        <v>49</v>
      </c>
      <c r="F29" s="42"/>
      <c r="G29" s="42">
        <v>8</v>
      </c>
      <c r="H29" s="87"/>
      <c r="I29" s="88"/>
      <c r="J29" s="83"/>
      <c r="K29" s="84"/>
      <c r="L29" s="12"/>
    </row>
    <row r="30" spans="1:12" ht="15.65" customHeight="1" x14ac:dyDescent="0.35">
      <c r="A30" s="11">
        <v>20</v>
      </c>
      <c r="B30" s="81" t="s">
        <v>157</v>
      </c>
      <c r="C30" s="82"/>
      <c r="D30" s="7" t="s">
        <v>144</v>
      </c>
      <c r="E30" s="41">
        <v>96</v>
      </c>
      <c r="F30" s="42"/>
      <c r="G30" s="42">
        <v>14</v>
      </c>
      <c r="H30" s="87"/>
      <c r="I30" s="88"/>
      <c r="J30" s="83"/>
      <c r="K30" s="84"/>
      <c r="L30" s="12"/>
    </row>
    <row r="31" spans="1:12" ht="15.65" customHeight="1" x14ac:dyDescent="0.35">
      <c r="A31" s="11">
        <v>21</v>
      </c>
      <c r="B31" s="81" t="s">
        <v>151</v>
      </c>
      <c r="C31" s="82"/>
      <c r="D31" s="8" t="s">
        <v>142</v>
      </c>
      <c r="E31" s="41">
        <v>65</v>
      </c>
      <c r="F31" s="42"/>
      <c r="G31" s="42">
        <v>10</v>
      </c>
      <c r="H31" s="87"/>
      <c r="I31" s="88"/>
      <c r="J31" s="83"/>
      <c r="K31" s="84"/>
      <c r="L31" s="12"/>
    </row>
    <row r="32" spans="1:12" ht="15.65" customHeight="1" x14ac:dyDescent="0.35">
      <c r="A32" s="11">
        <v>22</v>
      </c>
      <c r="B32" s="81" t="s">
        <v>151</v>
      </c>
      <c r="C32" s="82"/>
      <c r="D32" s="8" t="s">
        <v>142</v>
      </c>
      <c r="E32" s="41">
        <v>49</v>
      </c>
      <c r="F32" s="42"/>
      <c r="G32" s="42">
        <v>8</v>
      </c>
      <c r="H32" s="87"/>
      <c r="I32" s="88"/>
      <c r="J32" s="83"/>
      <c r="K32" s="84"/>
      <c r="L32" s="12"/>
    </row>
    <row r="33" spans="1:12" ht="15.65" customHeight="1" x14ac:dyDescent="0.35">
      <c r="A33" s="11">
        <v>23</v>
      </c>
      <c r="B33" s="81" t="s">
        <v>151</v>
      </c>
      <c r="C33" s="82"/>
      <c r="D33" s="4" t="s">
        <v>142</v>
      </c>
      <c r="E33" s="41">
        <v>80</v>
      </c>
      <c r="F33" s="42"/>
      <c r="G33" s="42">
        <v>12</v>
      </c>
      <c r="H33" s="87"/>
      <c r="I33" s="88"/>
      <c r="J33" s="83"/>
      <c r="K33" s="84"/>
      <c r="L33" s="12"/>
    </row>
    <row r="34" spans="1:12" ht="15.65" customHeight="1" x14ac:dyDescent="0.35">
      <c r="A34" s="11">
        <v>24</v>
      </c>
      <c r="B34" s="81" t="s">
        <v>151</v>
      </c>
      <c r="C34" s="82"/>
      <c r="D34" s="4" t="s">
        <v>142</v>
      </c>
      <c r="E34" s="41">
        <v>55</v>
      </c>
      <c r="F34" s="42"/>
      <c r="G34" s="42">
        <v>8</v>
      </c>
      <c r="H34" s="87"/>
      <c r="I34" s="88"/>
      <c r="J34" s="83"/>
      <c r="K34" s="84"/>
      <c r="L34" s="12"/>
    </row>
    <row r="35" spans="1:12" ht="15.65" customHeight="1" x14ac:dyDescent="0.35">
      <c r="A35" s="11">
        <v>25</v>
      </c>
      <c r="B35" s="81" t="s">
        <v>158</v>
      </c>
      <c r="C35" s="82"/>
      <c r="D35" s="4" t="s">
        <v>145</v>
      </c>
      <c r="E35" s="41">
        <v>74</v>
      </c>
      <c r="F35" s="42"/>
      <c r="G35" s="42">
        <v>12</v>
      </c>
      <c r="H35" s="87"/>
      <c r="I35" s="88"/>
      <c r="J35" s="83"/>
      <c r="K35" s="84"/>
      <c r="L35" s="12"/>
    </row>
    <row r="36" spans="1:12" ht="15.65" customHeight="1" x14ac:dyDescent="0.35">
      <c r="A36" s="11">
        <v>26</v>
      </c>
      <c r="B36" s="81" t="s">
        <v>153</v>
      </c>
      <c r="C36" s="82"/>
      <c r="D36" s="4" t="s">
        <v>146</v>
      </c>
      <c r="E36" s="41">
        <v>155</v>
      </c>
      <c r="F36" s="42"/>
      <c r="G36" s="42">
        <v>15</v>
      </c>
      <c r="H36" s="87"/>
      <c r="I36" s="88"/>
      <c r="J36" s="83"/>
      <c r="K36" s="84"/>
      <c r="L36" s="12"/>
    </row>
    <row r="37" spans="1:12" ht="15.65" customHeight="1" x14ac:dyDescent="0.35">
      <c r="A37" s="11">
        <v>27</v>
      </c>
      <c r="B37" s="81" t="s">
        <v>151</v>
      </c>
      <c r="C37" s="82"/>
      <c r="D37" s="4" t="s">
        <v>142</v>
      </c>
      <c r="E37" s="41">
        <v>70</v>
      </c>
      <c r="F37" s="42"/>
      <c r="G37" s="42">
        <v>8</v>
      </c>
      <c r="H37" s="87"/>
      <c r="I37" s="88"/>
      <c r="J37" s="83"/>
      <c r="K37" s="84"/>
      <c r="L37" s="12"/>
    </row>
    <row r="38" spans="1:12" ht="15.65" customHeight="1" x14ac:dyDescent="0.35">
      <c r="A38" s="11">
        <v>28</v>
      </c>
      <c r="B38" s="81" t="s">
        <v>151</v>
      </c>
      <c r="C38" s="82"/>
      <c r="D38" s="4" t="s">
        <v>142</v>
      </c>
      <c r="E38" s="41">
        <v>45</v>
      </c>
      <c r="F38" s="42"/>
      <c r="G38" s="42">
        <v>8</v>
      </c>
      <c r="H38" s="87"/>
      <c r="I38" s="88"/>
      <c r="J38" s="83"/>
      <c r="K38" s="84"/>
      <c r="L38" s="12"/>
    </row>
    <row r="39" spans="1:12" ht="15.65" customHeight="1" x14ac:dyDescent="0.35">
      <c r="A39" s="11">
        <v>29</v>
      </c>
      <c r="B39" s="81" t="s">
        <v>151</v>
      </c>
      <c r="C39" s="82"/>
      <c r="D39" s="4" t="s">
        <v>142</v>
      </c>
      <c r="E39" s="41">
        <v>53</v>
      </c>
      <c r="F39" s="42"/>
      <c r="G39" s="42">
        <v>9</v>
      </c>
      <c r="H39" s="87"/>
      <c r="I39" s="88"/>
      <c r="J39" s="83"/>
      <c r="K39" s="84"/>
      <c r="L39" s="12"/>
    </row>
    <row r="40" spans="1:12" ht="15.65" customHeight="1" x14ac:dyDescent="0.35">
      <c r="A40" s="11">
        <v>30</v>
      </c>
      <c r="B40" s="81" t="s">
        <v>151</v>
      </c>
      <c r="C40" s="82"/>
      <c r="D40" s="4" t="s">
        <v>142</v>
      </c>
      <c r="E40" s="41">
        <v>78</v>
      </c>
      <c r="F40" s="42"/>
      <c r="G40" s="42">
        <v>10</v>
      </c>
      <c r="H40" s="87"/>
      <c r="I40" s="88"/>
      <c r="J40" s="83"/>
      <c r="K40" s="84"/>
      <c r="L40" s="12"/>
    </row>
    <row r="41" spans="1:12" ht="15.65" customHeight="1" x14ac:dyDescent="0.35">
      <c r="A41" s="11">
        <v>31</v>
      </c>
      <c r="B41" s="81" t="s">
        <v>155</v>
      </c>
      <c r="C41" s="82"/>
      <c r="D41" s="4" t="s">
        <v>147</v>
      </c>
      <c r="E41" s="41">
        <v>101</v>
      </c>
      <c r="F41" s="42"/>
      <c r="G41" s="42">
        <v>15</v>
      </c>
      <c r="H41" s="87"/>
      <c r="I41" s="88"/>
      <c r="J41" s="83"/>
      <c r="K41" s="84"/>
      <c r="L41" s="12"/>
    </row>
    <row r="42" spans="1:12" ht="15.65" customHeight="1" x14ac:dyDescent="0.35">
      <c r="A42" s="11">
        <v>32</v>
      </c>
      <c r="B42" s="81" t="s">
        <v>156</v>
      </c>
      <c r="C42" s="82"/>
      <c r="D42" s="4" t="s">
        <v>148</v>
      </c>
      <c r="E42" s="41">
        <v>96</v>
      </c>
      <c r="F42" s="42"/>
      <c r="G42" s="42">
        <v>14</v>
      </c>
      <c r="H42" s="49"/>
      <c r="I42" s="50"/>
      <c r="J42" s="51"/>
      <c r="K42" s="52"/>
      <c r="L42" s="12"/>
    </row>
    <row r="43" spans="1:12" ht="15.65" customHeight="1" x14ac:dyDescent="0.35">
      <c r="A43" s="11">
        <v>33</v>
      </c>
      <c r="B43" s="81" t="s">
        <v>151</v>
      </c>
      <c r="C43" s="82"/>
      <c r="D43" s="4" t="s">
        <v>142</v>
      </c>
      <c r="E43" s="41">
        <v>57</v>
      </c>
      <c r="F43" s="42"/>
      <c r="G43" s="42">
        <v>9</v>
      </c>
      <c r="H43" s="49"/>
      <c r="I43" s="50"/>
      <c r="J43" s="51"/>
      <c r="K43" s="52"/>
      <c r="L43" s="12"/>
    </row>
    <row r="44" spans="1:12" ht="15.65" customHeight="1" x14ac:dyDescent="0.35">
      <c r="A44" s="11">
        <v>34</v>
      </c>
      <c r="B44" s="81" t="s">
        <v>154</v>
      </c>
      <c r="C44" s="82"/>
      <c r="D44" s="4" t="s">
        <v>149</v>
      </c>
      <c r="E44" s="41">
        <v>60</v>
      </c>
      <c r="F44" s="42"/>
      <c r="G44" s="42">
        <v>10</v>
      </c>
      <c r="H44" s="49"/>
      <c r="I44" s="50"/>
      <c r="J44" s="51"/>
      <c r="K44" s="52"/>
      <c r="L44" s="12"/>
    </row>
    <row r="45" spans="1:12" ht="15.65" customHeight="1" x14ac:dyDescent="0.35">
      <c r="A45" s="11">
        <v>35</v>
      </c>
      <c r="B45" s="81" t="s">
        <v>151</v>
      </c>
      <c r="C45" s="82"/>
      <c r="D45" s="4" t="s">
        <v>142</v>
      </c>
      <c r="E45" s="41">
        <v>76</v>
      </c>
      <c r="F45" s="42"/>
      <c r="G45" s="42">
        <v>12</v>
      </c>
      <c r="H45" s="49"/>
      <c r="I45" s="50"/>
      <c r="J45" s="51"/>
      <c r="K45" s="52"/>
      <c r="L45" s="12"/>
    </row>
    <row r="46" spans="1:12" ht="15.65" customHeight="1" x14ac:dyDescent="0.35">
      <c r="A46" s="11">
        <v>36</v>
      </c>
      <c r="B46" s="81" t="s">
        <v>154</v>
      </c>
      <c r="C46" s="82"/>
      <c r="D46" s="4" t="s">
        <v>149</v>
      </c>
      <c r="E46" s="41">
        <v>117</v>
      </c>
      <c r="F46" s="42"/>
      <c r="G46" s="42">
        <v>15</v>
      </c>
      <c r="H46" s="49"/>
      <c r="I46" s="50"/>
      <c r="J46" s="51"/>
      <c r="K46" s="52"/>
      <c r="L46" s="12"/>
    </row>
    <row r="47" spans="1:12" ht="15.65" customHeight="1" x14ac:dyDescent="0.35">
      <c r="A47" s="11">
        <v>37</v>
      </c>
      <c r="B47" s="81" t="s">
        <v>151</v>
      </c>
      <c r="C47" s="82"/>
      <c r="D47" s="4" t="s">
        <v>142</v>
      </c>
      <c r="E47" s="41">
        <v>152</v>
      </c>
      <c r="F47" s="42"/>
      <c r="G47" s="42">
        <v>12</v>
      </c>
      <c r="H47" s="49"/>
      <c r="I47" s="50"/>
      <c r="J47" s="51"/>
      <c r="K47" s="52"/>
      <c r="L47" s="12"/>
    </row>
    <row r="48" spans="1:12" ht="15.65" customHeight="1" x14ac:dyDescent="0.35">
      <c r="A48" s="11">
        <v>38</v>
      </c>
      <c r="B48" s="81" t="s">
        <v>151</v>
      </c>
      <c r="C48" s="82"/>
      <c r="D48" s="4" t="s">
        <v>142</v>
      </c>
      <c r="E48" s="41">
        <v>47</v>
      </c>
      <c r="F48" s="42"/>
      <c r="G48" s="42">
        <v>8</v>
      </c>
      <c r="H48" s="49"/>
      <c r="I48" s="50"/>
      <c r="J48" s="51"/>
      <c r="K48" s="52"/>
      <c r="L48" s="12"/>
    </row>
    <row r="49" spans="1:12" ht="15.65" customHeight="1" x14ac:dyDescent="0.35">
      <c r="A49" s="11">
        <v>39</v>
      </c>
      <c r="B49" s="81" t="s">
        <v>151</v>
      </c>
      <c r="C49" s="82"/>
      <c r="D49" s="4" t="s">
        <v>142</v>
      </c>
      <c r="E49" s="41">
        <v>50</v>
      </c>
      <c r="F49" s="42"/>
      <c r="G49" s="42">
        <v>9</v>
      </c>
      <c r="H49" s="49"/>
      <c r="I49" s="50"/>
      <c r="J49" s="51"/>
      <c r="K49" s="52"/>
      <c r="L49" s="12"/>
    </row>
    <row r="50" spans="1:12" ht="15.65" customHeight="1" x14ac:dyDescent="0.35">
      <c r="A50" s="11">
        <v>40</v>
      </c>
      <c r="B50" s="81" t="s">
        <v>151</v>
      </c>
      <c r="C50" s="82"/>
      <c r="D50" s="4" t="s">
        <v>142</v>
      </c>
      <c r="E50" s="41">
        <v>59</v>
      </c>
      <c r="F50" s="42"/>
      <c r="G50" s="42">
        <v>9</v>
      </c>
      <c r="H50" s="49"/>
      <c r="I50" s="50"/>
      <c r="J50" s="51"/>
      <c r="K50" s="52"/>
      <c r="L50" s="12"/>
    </row>
    <row r="51" spans="1:12" ht="15.65" customHeight="1" x14ac:dyDescent="0.35">
      <c r="A51" s="11">
        <v>41</v>
      </c>
      <c r="B51" s="81" t="s">
        <v>151</v>
      </c>
      <c r="C51" s="82"/>
      <c r="D51" s="4" t="s">
        <v>142</v>
      </c>
      <c r="E51" s="41">
        <v>38</v>
      </c>
      <c r="F51" s="42"/>
      <c r="G51" s="42">
        <v>7</v>
      </c>
      <c r="H51" s="49"/>
      <c r="I51" s="50"/>
      <c r="J51" s="51"/>
      <c r="K51" s="52"/>
      <c r="L51" s="12"/>
    </row>
    <row r="52" spans="1:12" ht="15.65" customHeight="1" x14ac:dyDescent="0.35">
      <c r="A52" s="11">
        <v>42</v>
      </c>
      <c r="B52" s="81" t="s">
        <v>151</v>
      </c>
      <c r="C52" s="82"/>
      <c r="D52" s="4" t="s">
        <v>142</v>
      </c>
      <c r="E52" s="41">
        <v>50</v>
      </c>
      <c r="F52" s="42"/>
      <c r="G52" s="42">
        <v>8</v>
      </c>
      <c r="H52" s="76"/>
      <c r="I52" s="77"/>
      <c r="J52" s="74"/>
      <c r="K52" s="75"/>
      <c r="L52" s="12"/>
    </row>
    <row r="53" spans="1:12" ht="15.65" customHeight="1" x14ac:dyDescent="0.35">
      <c r="A53" s="11">
        <v>43</v>
      </c>
      <c r="B53" s="81" t="s">
        <v>151</v>
      </c>
      <c r="C53" s="82"/>
      <c r="D53" s="4" t="s">
        <v>142</v>
      </c>
      <c r="E53" s="41">
        <v>77</v>
      </c>
      <c r="F53" s="42"/>
      <c r="G53" s="42">
        <v>10</v>
      </c>
      <c r="H53" s="76"/>
      <c r="I53" s="77"/>
      <c r="J53" s="74"/>
      <c r="K53" s="75"/>
      <c r="L53" s="12"/>
    </row>
    <row r="54" spans="1:12" ht="15.65" customHeight="1" x14ac:dyDescent="0.35">
      <c r="A54" s="11">
        <v>44</v>
      </c>
      <c r="B54" s="81" t="s">
        <v>159</v>
      </c>
      <c r="C54" s="82"/>
      <c r="D54" s="4" t="s">
        <v>150</v>
      </c>
      <c r="E54" s="41">
        <v>90</v>
      </c>
      <c r="F54" s="42"/>
      <c r="G54" s="42">
        <v>13</v>
      </c>
      <c r="H54" s="76"/>
      <c r="I54" s="77"/>
      <c r="J54" s="74"/>
      <c r="K54" s="75"/>
      <c r="L54" s="12"/>
    </row>
    <row r="55" spans="1:12" ht="15.65" customHeight="1" x14ac:dyDescent="0.35">
      <c r="A55" s="11">
        <v>45</v>
      </c>
      <c r="B55" s="81" t="s">
        <v>151</v>
      </c>
      <c r="C55" s="82"/>
      <c r="D55" s="4" t="s">
        <v>142</v>
      </c>
      <c r="E55" s="41">
        <v>88</v>
      </c>
      <c r="F55" s="42"/>
      <c r="G55" s="42">
        <v>12</v>
      </c>
      <c r="H55" s="76"/>
      <c r="I55" s="77"/>
      <c r="J55" s="74"/>
      <c r="K55" s="75"/>
      <c r="L55" s="12"/>
    </row>
    <row r="56" spans="1:12" ht="15.65" customHeight="1" x14ac:dyDescent="0.35">
      <c r="A56" s="11">
        <v>46</v>
      </c>
      <c r="B56" s="81" t="s">
        <v>151</v>
      </c>
      <c r="C56" s="82"/>
      <c r="D56" s="4" t="s">
        <v>142</v>
      </c>
      <c r="E56" s="41">
        <v>45</v>
      </c>
      <c r="F56" s="42"/>
      <c r="G56" s="42">
        <v>6</v>
      </c>
      <c r="H56" s="76"/>
      <c r="I56" s="77"/>
      <c r="J56" s="74"/>
      <c r="K56" s="75"/>
      <c r="L56" s="12"/>
    </row>
    <row r="57" spans="1:12" ht="15.65" customHeight="1" x14ac:dyDescent="0.35">
      <c r="A57" s="11">
        <v>47</v>
      </c>
      <c r="B57" s="81" t="s">
        <v>151</v>
      </c>
      <c r="C57" s="82"/>
      <c r="D57" s="4" t="s">
        <v>142</v>
      </c>
      <c r="E57" s="41">
        <v>74</v>
      </c>
      <c r="F57" s="42"/>
      <c r="G57" s="42">
        <v>8</v>
      </c>
      <c r="H57" s="76"/>
      <c r="I57" s="77"/>
      <c r="J57" s="74"/>
      <c r="K57" s="75"/>
      <c r="L57" s="12"/>
    </row>
    <row r="58" spans="1:12" ht="15.65" customHeight="1" x14ac:dyDescent="0.35">
      <c r="A58" s="11">
        <v>48</v>
      </c>
      <c r="B58" s="81" t="s">
        <v>151</v>
      </c>
      <c r="C58" s="82"/>
      <c r="D58" s="4" t="s">
        <v>142</v>
      </c>
      <c r="E58" s="41">
        <v>100</v>
      </c>
      <c r="F58" s="42"/>
      <c r="G58" s="42">
        <v>10</v>
      </c>
      <c r="H58" s="76"/>
      <c r="I58" s="77"/>
      <c r="J58" s="74"/>
      <c r="K58" s="75"/>
      <c r="L58" s="12"/>
    </row>
    <row r="59" spans="1:12" ht="15.65" customHeight="1" x14ac:dyDescent="0.35">
      <c r="A59" s="11">
        <v>49</v>
      </c>
      <c r="B59" s="81" t="s">
        <v>151</v>
      </c>
      <c r="C59" s="82"/>
      <c r="D59" s="4" t="s">
        <v>142</v>
      </c>
      <c r="E59" s="41">
        <v>98</v>
      </c>
      <c r="F59" s="42"/>
      <c r="G59" s="42">
        <v>12</v>
      </c>
      <c r="H59" s="76"/>
      <c r="I59" s="77"/>
      <c r="J59" s="74"/>
      <c r="K59" s="75"/>
      <c r="L59" s="12"/>
    </row>
    <row r="60" spans="1:12" ht="15.65" customHeight="1" x14ac:dyDescent="0.35">
      <c r="A60" s="11">
        <v>50</v>
      </c>
      <c r="B60" s="81" t="s">
        <v>151</v>
      </c>
      <c r="C60" s="82"/>
      <c r="D60" s="4" t="s">
        <v>142</v>
      </c>
      <c r="E60" s="41">
        <v>73</v>
      </c>
      <c r="F60" s="42"/>
      <c r="G60" s="42">
        <v>12</v>
      </c>
      <c r="H60" s="76"/>
      <c r="I60" s="77"/>
      <c r="J60" s="74"/>
      <c r="K60" s="75"/>
      <c r="L60" s="12"/>
    </row>
    <row r="61" spans="1:12" ht="15.65" customHeight="1" x14ac:dyDescent="0.35">
      <c r="A61" s="11">
        <v>51</v>
      </c>
      <c r="B61" s="81" t="s">
        <v>151</v>
      </c>
      <c r="C61" s="82"/>
      <c r="D61" s="4" t="s">
        <v>142</v>
      </c>
      <c r="E61" s="41">
        <v>60</v>
      </c>
      <c r="F61" s="42"/>
      <c r="G61" s="42">
        <v>10</v>
      </c>
      <c r="H61" s="76"/>
      <c r="I61" s="77"/>
      <c r="J61" s="74"/>
      <c r="K61" s="75"/>
      <c r="L61" s="12"/>
    </row>
    <row r="62" spans="1:12" ht="15.65" customHeight="1" x14ac:dyDescent="0.35">
      <c r="A62" s="11">
        <v>52</v>
      </c>
      <c r="B62" s="81" t="s">
        <v>151</v>
      </c>
      <c r="C62" s="82"/>
      <c r="D62" s="4" t="s">
        <v>142</v>
      </c>
      <c r="E62" s="41">
        <v>65</v>
      </c>
      <c r="F62" s="42"/>
      <c r="G62" s="42">
        <v>10</v>
      </c>
      <c r="H62" s="76"/>
      <c r="I62" s="77"/>
      <c r="J62" s="74"/>
      <c r="K62" s="75"/>
      <c r="L62" s="12"/>
    </row>
    <row r="63" spans="1:12" ht="15.65" customHeight="1" x14ac:dyDescent="0.35">
      <c r="A63" s="11">
        <v>53</v>
      </c>
      <c r="B63" s="81" t="s">
        <v>151</v>
      </c>
      <c r="C63" s="82"/>
      <c r="D63" s="4" t="s">
        <v>142</v>
      </c>
      <c r="E63" s="41">
        <v>81</v>
      </c>
      <c r="F63" s="42"/>
      <c r="G63" s="42">
        <v>11</v>
      </c>
      <c r="H63" s="76"/>
      <c r="I63" s="77"/>
      <c r="J63" s="74"/>
      <c r="K63" s="75"/>
      <c r="L63" s="12"/>
    </row>
    <row r="64" spans="1:12" ht="15.65" customHeight="1" x14ac:dyDescent="0.35">
      <c r="A64" s="11">
        <v>54</v>
      </c>
      <c r="B64" s="81" t="s">
        <v>151</v>
      </c>
      <c r="C64" s="82"/>
      <c r="D64" s="4" t="s">
        <v>142</v>
      </c>
      <c r="E64" s="41">
        <v>76</v>
      </c>
      <c r="F64" s="42"/>
      <c r="G64" s="42">
        <v>12</v>
      </c>
      <c r="H64" s="76"/>
      <c r="I64" s="77"/>
      <c r="J64" s="74"/>
      <c r="K64" s="75"/>
      <c r="L64" s="12"/>
    </row>
    <row r="65" spans="1:12" ht="15.65" customHeight="1" x14ac:dyDescent="0.35">
      <c r="A65" s="11">
        <v>55</v>
      </c>
      <c r="B65" s="81" t="s">
        <v>151</v>
      </c>
      <c r="C65" s="82"/>
      <c r="D65" s="4" t="s">
        <v>142</v>
      </c>
      <c r="E65" s="41">
        <v>51</v>
      </c>
      <c r="F65" s="42"/>
      <c r="G65" s="42">
        <v>6</v>
      </c>
      <c r="H65" s="76"/>
      <c r="I65" s="77"/>
      <c r="J65" s="74"/>
      <c r="K65" s="75"/>
      <c r="L65" s="12"/>
    </row>
    <row r="66" spans="1:12" ht="15.65" customHeight="1" x14ac:dyDescent="0.35">
      <c r="A66" s="11">
        <v>56</v>
      </c>
      <c r="B66" s="81" t="s">
        <v>151</v>
      </c>
      <c r="C66" s="82"/>
      <c r="D66" s="4" t="s">
        <v>142</v>
      </c>
      <c r="E66" s="41">
        <v>44</v>
      </c>
      <c r="F66" s="42"/>
      <c r="G66" s="42">
        <v>7</v>
      </c>
      <c r="H66" s="76"/>
      <c r="I66" s="77"/>
      <c r="J66" s="74"/>
      <c r="K66" s="75"/>
      <c r="L66" s="12"/>
    </row>
    <row r="67" spans="1:12" ht="15.65" customHeight="1" x14ac:dyDescent="0.35">
      <c r="A67" s="11">
        <v>57</v>
      </c>
      <c r="B67" s="81" t="s">
        <v>151</v>
      </c>
      <c r="C67" s="82"/>
      <c r="D67" s="4" t="s">
        <v>142</v>
      </c>
      <c r="E67" s="41">
        <v>86</v>
      </c>
      <c r="F67" s="42"/>
      <c r="G67" s="42">
        <v>12</v>
      </c>
      <c r="H67" s="76"/>
      <c r="I67" s="77"/>
      <c r="J67" s="74"/>
      <c r="K67" s="75"/>
      <c r="L67" s="12"/>
    </row>
    <row r="68" spans="1:12" ht="15.65" customHeight="1" x14ac:dyDescent="0.35">
      <c r="A68" s="11">
        <v>58</v>
      </c>
      <c r="B68" s="81" t="s">
        <v>151</v>
      </c>
      <c r="C68" s="82"/>
      <c r="D68" s="4" t="s">
        <v>142</v>
      </c>
      <c r="E68" s="41">
        <v>48</v>
      </c>
      <c r="F68" s="42"/>
      <c r="G68" s="42">
        <v>7</v>
      </c>
      <c r="H68" s="76"/>
      <c r="I68" s="77"/>
      <c r="J68" s="74"/>
      <c r="K68" s="75"/>
      <c r="L68" s="12"/>
    </row>
    <row r="69" spans="1:12" ht="15.65" customHeight="1" x14ac:dyDescent="0.35">
      <c r="A69" s="11">
        <v>59</v>
      </c>
      <c r="B69" s="81" t="s">
        <v>151</v>
      </c>
      <c r="C69" s="82"/>
      <c r="D69" s="4" t="s">
        <v>142</v>
      </c>
      <c r="E69" s="41">
        <v>56</v>
      </c>
      <c r="F69" s="42"/>
      <c r="G69" s="42">
        <v>9</v>
      </c>
      <c r="H69" s="76"/>
      <c r="I69" s="77"/>
      <c r="J69" s="74"/>
      <c r="K69" s="75"/>
      <c r="L69" s="12"/>
    </row>
    <row r="70" spans="1:12" ht="15.65" customHeight="1" x14ac:dyDescent="0.35">
      <c r="A70" s="11">
        <v>60</v>
      </c>
      <c r="B70" s="81" t="s">
        <v>151</v>
      </c>
      <c r="C70" s="82"/>
      <c r="D70" s="4" t="s">
        <v>142</v>
      </c>
      <c r="E70" s="41">
        <v>60</v>
      </c>
      <c r="F70" s="42"/>
      <c r="G70" s="42">
        <v>10</v>
      </c>
      <c r="H70" s="76"/>
      <c r="I70" s="77"/>
      <c r="J70" s="74"/>
      <c r="K70" s="75"/>
      <c r="L70" s="12"/>
    </row>
    <row r="71" spans="1:12" ht="15.65" customHeight="1" x14ac:dyDescent="0.35">
      <c r="A71" s="11">
        <v>61</v>
      </c>
      <c r="B71" s="81" t="s">
        <v>151</v>
      </c>
      <c r="C71" s="82"/>
      <c r="D71" s="4" t="s">
        <v>142</v>
      </c>
      <c r="E71" s="41">
        <v>51</v>
      </c>
      <c r="F71" s="42"/>
      <c r="G71" s="42">
        <v>9</v>
      </c>
      <c r="H71" s="76"/>
      <c r="I71" s="77"/>
      <c r="J71" s="74"/>
      <c r="K71" s="75"/>
      <c r="L71" s="12"/>
    </row>
    <row r="72" spans="1:12" ht="15.65" customHeight="1" x14ac:dyDescent="0.35">
      <c r="A72" s="11">
        <v>62</v>
      </c>
      <c r="B72" s="81" t="s">
        <v>151</v>
      </c>
      <c r="C72" s="82"/>
      <c r="D72" s="4" t="s">
        <v>142</v>
      </c>
      <c r="E72" s="41">
        <v>47</v>
      </c>
      <c r="F72" s="42"/>
      <c r="G72" s="42">
        <v>7</v>
      </c>
      <c r="H72" s="76"/>
      <c r="I72" s="77"/>
      <c r="J72" s="74"/>
      <c r="K72" s="75"/>
      <c r="L72" s="12"/>
    </row>
    <row r="73" spans="1:12" ht="15.65" customHeight="1" x14ac:dyDescent="0.35">
      <c r="A73" s="11">
        <v>63</v>
      </c>
      <c r="B73" s="81" t="s">
        <v>151</v>
      </c>
      <c r="C73" s="82"/>
      <c r="D73" s="4" t="s">
        <v>142</v>
      </c>
      <c r="E73" s="41">
        <v>52</v>
      </c>
      <c r="F73" s="42"/>
      <c r="G73" s="42">
        <v>6</v>
      </c>
      <c r="H73" s="76"/>
      <c r="I73" s="77"/>
      <c r="J73" s="74"/>
      <c r="K73" s="75"/>
      <c r="L73" s="12"/>
    </row>
    <row r="74" spans="1:12" ht="15.65" customHeight="1" x14ac:dyDescent="0.35">
      <c r="A74" s="11">
        <v>64</v>
      </c>
      <c r="B74" s="81" t="s">
        <v>151</v>
      </c>
      <c r="C74" s="82"/>
      <c r="D74" s="4" t="s">
        <v>142</v>
      </c>
      <c r="E74" s="41">
        <v>45</v>
      </c>
      <c r="F74" s="42"/>
      <c r="G74" s="42">
        <v>6</v>
      </c>
      <c r="H74" s="76"/>
      <c r="I74" s="77"/>
      <c r="J74" s="74"/>
      <c r="K74" s="75"/>
      <c r="L74" s="12"/>
    </row>
    <row r="75" spans="1:12" ht="15.65" customHeight="1" x14ac:dyDescent="0.35">
      <c r="A75" s="11">
        <v>65</v>
      </c>
      <c r="B75" s="81" t="s">
        <v>151</v>
      </c>
      <c r="C75" s="82"/>
      <c r="D75" s="4" t="s">
        <v>142</v>
      </c>
      <c r="E75" s="41">
        <v>54</v>
      </c>
      <c r="F75" s="42"/>
      <c r="G75" s="42">
        <v>9</v>
      </c>
      <c r="H75" s="76"/>
      <c r="I75" s="77"/>
      <c r="J75" s="74"/>
      <c r="K75" s="75"/>
      <c r="L75" s="12"/>
    </row>
    <row r="76" spans="1:12" ht="15.65" customHeight="1" x14ac:dyDescent="0.35">
      <c r="A76" s="11">
        <v>66</v>
      </c>
      <c r="B76" s="81" t="s">
        <v>151</v>
      </c>
      <c r="C76" s="82"/>
      <c r="D76" s="4" t="s">
        <v>142</v>
      </c>
      <c r="E76" s="41">
        <v>65</v>
      </c>
      <c r="F76" s="42"/>
      <c r="G76" s="42">
        <v>10</v>
      </c>
      <c r="H76" s="76"/>
      <c r="I76" s="77"/>
      <c r="J76" s="74"/>
      <c r="K76" s="75"/>
      <c r="L76" s="12"/>
    </row>
    <row r="77" spans="1:12" ht="15.65" customHeight="1" x14ac:dyDescent="0.35">
      <c r="A77" s="11">
        <v>67</v>
      </c>
      <c r="B77" s="81" t="s">
        <v>154</v>
      </c>
      <c r="C77" s="82"/>
      <c r="D77" s="4" t="s">
        <v>149</v>
      </c>
      <c r="E77" s="41">
        <v>78</v>
      </c>
      <c r="F77" s="42"/>
      <c r="G77" s="42">
        <v>12</v>
      </c>
      <c r="H77" s="76"/>
      <c r="I77" s="77"/>
      <c r="J77" s="74"/>
      <c r="K77" s="75"/>
      <c r="L77" s="12"/>
    </row>
  </sheetData>
  <mergeCells count="154">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41:C41"/>
    <mergeCell ref="B36:C36"/>
    <mergeCell ref="B37:C37"/>
    <mergeCell ref="B38:C38"/>
    <mergeCell ref="B39:C39"/>
    <mergeCell ref="B40:C40"/>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B54:C54"/>
    <mergeCell ref="B55:C55"/>
    <mergeCell ref="B56:C56"/>
    <mergeCell ref="B57:C57"/>
    <mergeCell ref="B58:C58"/>
    <mergeCell ref="B59:C59"/>
    <mergeCell ref="B60:C60"/>
    <mergeCell ref="B61:C61"/>
    <mergeCell ref="B62:C62"/>
    <mergeCell ref="B72:C72"/>
    <mergeCell ref="B73:C73"/>
    <mergeCell ref="B74:C74"/>
    <mergeCell ref="B75:C75"/>
    <mergeCell ref="B76:C76"/>
    <mergeCell ref="B77:C77"/>
    <mergeCell ref="B63:C63"/>
    <mergeCell ref="B64:C64"/>
    <mergeCell ref="B65:C65"/>
    <mergeCell ref="B66:C66"/>
    <mergeCell ref="B67:C67"/>
    <mergeCell ref="B68:C68"/>
    <mergeCell ref="B69:C69"/>
    <mergeCell ref="B70:C70"/>
    <mergeCell ref="B71:C71"/>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2" sqref="C12"/>
    </sheetView>
  </sheetViews>
  <sheetFormatPr defaultRowHeight="14.5" x14ac:dyDescent="0.35"/>
  <cols>
    <col min="1" max="1" width="3.81640625" customWidth="1"/>
    <col min="2" max="2" width="9.6328125" customWidth="1"/>
    <col min="3" max="3" width="8.54296875" customWidth="1"/>
    <col min="4" max="4" width="7.7265625" customWidth="1"/>
    <col min="5" max="13" width="4.26953125" customWidth="1"/>
    <col min="15" max="15" width="7.26953125" bestFit="1" customWidth="1"/>
    <col min="17" max="17" width="11.7265625" customWidth="1"/>
  </cols>
  <sheetData>
    <row r="1" spans="1:17" ht="21" x14ac:dyDescent="0.35">
      <c r="A1" s="131" t="s">
        <v>65</v>
      </c>
      <c r="B1" s="131"/>
      <c r="C1" s="131"/>
      <c r="D1" s="131"/>
      <c r="E1" s="131"/>
      <c r="F1" s="131"/>
      <c r="G1" s="131"/>
      <c r="H1" s="131"/>
      <c r="I1" s="131"/>
      <c r="J1" s="131"/>
      <c r="K1" s="131"/>
      <c r="L1" s="131"/>
      <c r="M1" s="131"/>
      <c r="N1" s="131"/>
      <c r="O1" s="131"/>
      <c r="P1" s="131"/>
      <c r="Q1" s="131"/>
    </row>
    <row r="2" spans="1:17" ht="21" x14ac:dyDescent="0.35">
      <c r="A2" s="131" t="s">
        <v>66</v>
      </c>
      <c r="B2" s="131"/>
      <c r="C2" s="131"/>
      <c r="D2" s="131"/>
      <c r="E2" s="131"/>
      <c r="F2" s="131"/>
      <c r="G2" s="131"/>
      <c r="H2" s="131"/>
      <c r="I2" s="131"/>
      <c r="J2" s="131"/>
      <c r="K2" s="131"/>
      <c r="L2" s="131"/>
      <c r="M2" s="131"/>
      <c r="N2" s="131"/>
      <c r="O2" s="131"/>
      <c r="P2" s="131"/>
      <c r="Q2" s="131"/>
    </row>
    <row r="3" spans="1:17" x14ac:dyDescent="0.35">
      <c r="A3" s="21"/>
    </row>
    <row r="4" spans="1:17" ht="15" thickBot="1" x14ac:dyDescent="0.4">
      <c r="A4" s="21"/>
    </row>
    <row r="5" spans="1:17" ht="16" thickBot="1" x14ac:dyDescent="0.4">
      <c r="A5" s="125" t="s">
        <v>10</v>
      </c>
      <c r="B5" s="125" t="s">
        <v>11</v>
      </c>
      <c r="C5" s="125" t="s">
        <v>12</v>
      </c>
      <c r="D5" s="125" t="s">
        <v>67</v>
      </c>
      <c r="E5" s="133" t="s">
        <v>68</v>
      </c>
      <c r="F5" s="134"/>
      <c r="G5" s="134"/>
      <c r="H5" s="134"/>
      <c r="I5" s="134"/>
      <c r="J5" s="134"/>
      <c r="K5" s="134"/>
      <c r="L5" s="134"/>
      <c r="M5" s="135"/>
      <c r="N5" s="125" t="s">
        <v>69</v>
      </c>
      <c r="O5" s="133" t="s">
        <v>70</v>
      </c>
      <c r="P5" s="135"/>
      <c r="Q5" s="125" t="s">
        <v>71</v>
      </c>
    </row>
    <row r="6" spans="1:17" ht="15.5" x14ac:dyDescent="0.35">
      <c r="A6" s="126"/>
      <c r="B6" s="126"/>
      <c r="C6" s="126"/>
      <c r="D6" s="126"/>
      <c r="E6" s="136" t="s">
        <v>72</v>
      </c>
      <c r="F6" s="137"/>
      <c r="G6" s="138"/>
      <c r="H6" s="136" t="s">
        <v>73</v>
      </c>
      <c r="I6" s="137"/>
      <c r="J6" s="138"/>
      <c r="K6" s="136" t="s">
        <v>74</v>
      </c>
      <c r="L6" s="137"/>
      <c r="M6" s="138"/>
      <c r="N6" s="126"/>
      <c r="O6" s="125" t="s">
        <v>75</v>
      </c>
      <c r="P6" s="125" t="s">
        <v>76</v>
      </c>
      <c r="Q6" s="126"/>
    </row>
    <row r="7" spans="1:17" ht="16" thickBot="1" x14ac:dyDescent="0.4">
      <c r="A7" s="126"/>
      <c r="B7" s="126"/>
      <c r="C7" s="132"/>
      <c r="D7" s="126"/>
      <c r="E7" s="128" t="s">
        <v>77</v>
      </c>
      <c r="F7" s="129"/>
      <c r="G7" s="130"/>
      <c r="H7" s="128" t="s">
        <v>78</v>
      </c>
      <c r="I7" s="129"/>
      <c r="J7" s="130"/>
      <c r="K7" s="128" t="s">
        <v>77</v>
      </c>
      <c r="L7" s="129"/>
      <c r="M7" s="130"/>
      <c r="N7" s="126"/>
      <c r="O7" s="126"/>
      <c r="P7" s="126"/>
      <c r="Q7" s="126"/>
    </row>
    <row r="8" spans="1:17" ht="16" thickBot="1" x14ac:dyDescent="0.4">
      <c r="A8" s="127"/>
      <c r="B8" s="127"/>
      <c r="C8" s="127"/>
      <c r="D8" s="127"/>
      <c r="E8" s="22" t="s">
        <v>79</v>
      </c>
      <c r="F8" s="22" t="s">
        <v>80</v>
      </c>
      <c r="G8" s="22" t="s">
        <v>81</v>
      </c>
      <c r="H8" s="22" t="s">
        <v>79</v>
      </c>
      <c r="I8" s="22" t="s">
        <v>80</v>
      </c>
      <c r="J8" s="22" t="s">
        <v>81</v>
      </c>
      <c r="K8" s="22" t="s">
        <v>79</v>
      </c>
      <c r="L8" s="22" t="s">
        <v>80</v>
      </c>
      <c r="M8" s="22" t="s">
        <v>81</v>
      </c>
      <c r="N8" s="127"/>
      <c r="O8" s="127"/>
      <c r="P8" s="127"/>
      <c r="Q8" s="127"/>
    </row>
    <row r="9" spans="1:17" ht="21.75" customHeight="1" x14ac:dyDescent="0.35">
      <c r="A9" s="70">
        <v>1</v>
      </c>
      <c r="B9" s="122" t="s">
        <v>160</v>
      </c>
      <c r="C9" s="123"/>
      <c r="D9" s="123"/>
      <c r="E9" s="123"/>
      <c r="F9" s="123"/>
      <c r="G9" s="123"/>
      <c r="H9" s="123"/>
      <c r="I9" s="123"/>
      <c r="J9" s="123"/>
      <c r="K9" s="123"/>
      <c r="L9" s="123"/>
      <c r="M9" s="123"/>
      <c r="N9" s="123"/>
      <c r="O9" s="123"/>
      <c r="P9" s="123"/>
      <c r="Q9" s="124"/>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B28" sqref="B28"/>
    </sheetView>
  </sheetViews>
  <sheetFormatPr defaultRowHeight="14.5" x14ac:dyDescent="0.35"/>
  <cols>
    <col min="1" max="1" width="5.1796875" customWidth="1"/>
    <col min="2" max="2" width="28.5429687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31" t="s">
        <v>82</v>
      </c>
      <c r="B1" s="131"/>
      <c r="C1" s="131"/>
      <c r="D1" s="131"/>
      <c r="E1" s="131"/>
      <c r="F1" s="131"/>
      <c r="G1" s="131"/>
      <c r="H1" s="131"/>
      <c r="I1" s="131"/>
    </row>
    <row r="2" spans="1:9" x14ac:dyDescent="0.35">
      <c r="A2" s="146"/>
      <c r="B2" s="146"/>
      <c r="H2" t="s">
        <v>83</v>
      </c>
      <c r="I2" s="10">
        <f>'Form 1'!C9</f>
        <v>531</v>
      </c>
    </row>
    <row r="3" spans="1:9" ht="24" customHeight="1" x14ac:dyDescent="0.35">
      <c r="A3" s="143" t="s">
        <v>10</v>
      </c>
      <c r="B3" s="143" t="s">
        <v>11</v>
      </c>
      <c r="C3" s="143" t="s">
        <v>12</v>
      </c>
      <c r="D3" s="143" t="s">
        <v>84</v>
      </c>
      <c r="E3" s="143" t="s">
        <v>108</v>
      </c>
      <c r="F3" s="143" t="s">
        <v>85</v>
      </c>
      <c r="G3" s="117" t="s">
        <v>15</v>
      </c>
      <c r="H3" s="118"/>
      <c r="I3" s="143" t="s">
        <v>86</v>
      </c>
    </row>
    <row r="4" spans="1:9" ht="60" x14ac:dyDescent="0.35">
      <c r="A4" s="144"/>
      <c r="B4" s="144"/>
      <c r="C4" s="144"/>
      <c r="D4" s="144"/>
      <c r="E4" s="144"/>
      <c r="F4" s="144"/>
      <c r="G4" s="20" t="s">
        <v>87</v>
      </c>
      <c r="H4" s="20" t="s">
        <v>19</v>
      </c>
      <c r="I4" s="144"/>
    </row>
    <row r="5" spans="1:9" ht="15.65" customHeight="1" x14ac:dyDescent="0.35">
      <c r="A5" s="23">
        <v>1</v>
      </c>
      <c r="B5" s="139" t="s">
        <v>160</v>
      </c>
      <c r="C5" s="140"/>
      <c r="D5" s="140"/>
      <c r="E5" s="140"/>
      <c r="F5" s="140"/>
      <c r="G5" s="140"/>
      <c r="H5" s="140"/>
      <c r="I5" s="141"/>
    </row>
    <row r="6" spans="1:9" ht="15.5" x14ac:dyDescent="0.35">
      <c r="A6" s="25"/>
      <c r="B6" s="26"/>
      <c r="C6" s="27"/>
      <c r="D6" s="28"/>
      <c r="E6" s="28"/>
      <c r="F6" s="28"/>
      <c r="G6" s="25"/>
      <c r="H6" s="25"/>
      <c r="I6" s="25"/>
    </row>
    <row r="7" spans="1:9" ht="21" x14ac:dyDescent="0.35">
      <c r="A7" s="131" t="s">
        <v>88</v>
      </c>
      <c r="B7" s="131"/>
      <c r="C7" s="131"/>
      <c r="D7" s="131"/>
      <c r="E7" s="131"/>
      <c r="F7" s="131"/>
      <c r="G7" s="131"/>
      <c r="H7" s="131"/>
      <c r="I7" s="131"/>
    </row>
    <row r="8" spans="1:9" ht="15.5" x14ac:dyDescent="0.35">
      <c r="A8" s="145"/>
      <c r="B8" s="145"/>
      <c r="H8" t="s">
        <v>83</v>
      </c>
      <c r="I8" s="10">
        <f>'Form 1'!C9</f>
        <v>531</v>
      </c>
    </row>
    <row r="9" spans="1:9" ht="15.75" customHeight="1" x14ac:dyDescent="0.35">
      <c r="A9" s="112" t="s">
        <v>10</v>
      </c>
      <c r="B9" s="112" t="s">
        <v>11</v>
      </c>
      <c r="C9" s="112" t="s">
        <v>12</v>
      </c>
      <c r="D9" s="112" t="s">
        <v>84</v>
      </c>
      <c r="E9" s="143" t="s">
        <v>108</v>
      </c>
      <c r="F9" s="112" t="s">
        <v>85</v>
      </c>
      <c r="G9" s="112" t="s">
        <v>15</v>
      </c>
      <c r="H9" s="112"/>
      <c r="I9" s="143" t="s">
        <v>86</v>
      </c>
    </row>
    <row r="10" spans="1:9" ht="60" x14ac:dyDescent="0.35">
      <c r="A10" s="112"/>
      <c r="B10" s="112"/>
      <c r="C10" s="112"/>
      <c r="D10" s="112"/>
      <c r="E10" s="144"/>
      <c r="F10" s="112"/>
      <c r="G10" s="20" t="s">
        <v>87</v>
      </c>
      <c r="H10" s="20" t="s">
        <v>19</v>
      </c>
      <c r="I10" s="144"/>
    </row>
    <row r="11" spans="1:9" ht="15.5" x14ac:dyDescent="0.35">
      <c r="A11" s="23">
        <v>1</v>
      </c>
      <c r="B11" s="24" t="s">
        <v>177</v>
      </c>
      <c r="C11" s="3" t="s">
        <v>169</v>
      </c>
      <c r="D11" s="41"/>
      <c r="E11" s="43">
        <v>21.5</v>
      </c>
      <c r="F11" s="41">
        <v>1.5</v>
      </c>
      <c r="G11" s="23"/>
      <c r="H11" s="23"/>
      <c r="I11" s="29"/>
    </row>
    <row r="12" spans="1:9" ht="15.5" x14ac:dyDescent="0.35">
      <c r="A12" s="23">
        <v>2</v>
      </c>
      <c r="B12" s="24" t="s">
        <v>177</v>
      </c>
      <c r="C12" s="3" t="s">
        <v>169</v>
      </c>
      <c r="D12" s="41"/>
      <c r="E12" s="43">
        <v>28.7</v>
      </c>
      <c r="F12" s="41">
        <v>2</v>
      </c>
      <c r="G12" s="23"/>
      <c r="H12" s="23"/>
      <c r="I12" s="29"/>
    </row>
    <row r="13" spans="1:9" ht="15.5" x14ac:dyDescent="0.35">
      <c r="A13" s="23">
        <v>3</v>
      </c>
      <c r="B13" s="24" t="s">
        <v>177</v>
      </c>
      <c r="C13" s="3" t="s">
        <v>169</v>
      </c>
      <c r="D13" s="41"/>
      <c r="E13" s="43">
        <v>39.6</v>
      </c>
      <c r="F13" s="41">
        <v>2.5</v>
      </c>
      <c r="G13" s="23"/>
      <c r="H13" s="23"/>
      <c r="I13" s="29"/>
    </row>
    <row r="15" spans="1:9" ht="21" x14ac:dyDescent="0.35">
      <c r="A15" s="131" t="s">
        <v>89</v>
      </c>
      <c r="B15" s="131"/>
      <c r="C15" s="131"/>
      <c r="D15" s="131"/>
      <c r="E15" s="131"/>
      <c r="F15" s="131"/>
      <c r="G15" s="131"/>
      <c r="H15" s="131"/>
      <c r="I15" s="131"/>
    </row>
    <row r="16" spans="1:9" ht="15.5" x14ac:dyDescent="0.35">
      <c r="A16" s="145"/>
      <c r="B16" s="145"/>
      <c r="H16" s="10" t="s">
        <v>83</v>
      </c>
      <c r="I16" s="10">
        <f>'Form 1'!C9</f>
        <v>531</v>
      </c>
    </row>
    <row r="17" spans="1:9" ht="15.75" customHeight="1" x14ac:dyDescent="0.35">
      <c r="A17" s="112" t="s">
        <v>10</v>
      </c>
      <c r="B17" s="112" t="s">
        <v>11</v>
      </c>
      <c r="C17" s="112" t="s">
        <v>12</v>
      </c>
      <c r="D17" s="112" t="s">
        <v>84</v>
      </c>
      <c r="E17" s="143" t="s">
        <v>108</v>
      </c>
      <c r="F17" s="112" t="s">
        <v>85</v>
      </c>
      <c r="G17" s="112" t="s">
        <v>15</v>
      </c>
      <c r="H17" s="112"/>
      <c r="I17" s="143" t="s">
        <v>86</v>
      </c>
    </row>
    <row r="18" spans="1:9" ht="60" x14ac:dyDescent="0.35">
      <c r="A18" s="112"/>
      <c r="B18" s="112"/>
      <c r="C18" s="112"/>
      <c r="D18" s="112"/>
      <c r="E18" s="144"/>
      <c r="F18" s="112"/>
      <c r="G18" s="20" t="s">
        <v>87</v>
      </c>
      <c r="H18" s="20" t="s">
        <v>19</v>
      </c>
      <c r="I18" s="144"/>
    </row>
    <row r="19" spans="1:9" ht="15.65" customHeight="1" x14ac:dyDescent="0.35">
      <c r="A19" s="23">
        <v>1</v>
      </c>
      <c r="B19" s="46" t="s">
        <v>157</v>
      </c>
      <c r="C19" s="3" t="s">
        <v>144</v>
      </c>
      <c r="D19" s="41"/>
      <c r="E19" s="3">
        <v>30.6</v>
      </c>
      <c r="F19" s="41">
        <v>3</v>
      </c>
      <c r="G19" s="23"/>
      <c r="H19" s="23"/>
      <c r="I19" s="23"/>
    </row>
    <row r="20" spans="1:9" ht="15.65" customHeight="1" x14ac:dyDescent="0.35">
      <c r="A20" s="23">
        <v>2</v>
      </c>
      <c r="B20" s="24" t="s">
        <v>178</v>
      </c>
      <c r="C20" s="3" t="s">
        <v>171</v>
      </c>
      <c r="D20" s="41"/>
      <c r="E20" s="3">
        <v>28.7</v>
      </c>
      <c r="F20" s="41">
        <v>2.5</v>
      </c>
      <c r="G20" s="23"/>
      <c r="H20" s="23"/>
      <c r="I20" s="23"/>
    </row>
    <row r="21" spans="1:9" ht="15.65" customHeight="1" x14ac:dyDescent="0.35">
      <c r="A21" s="23">
        <v>3</v>
      </c>
      <c r="B21" s="24" t="s">
        <v>154</v>
      </c>
      <c r="C21" s="3" t="s">
        <v>149</v>
      </c>
      <c r="D21" s="41"/>
      <c r="E21" s="3">
        <v>21.1</v>
      </c>
      <c r="F21" s="41">
        <v>1.5</v>
      </c>
      <c r="G21" s="23"/>
      <c r="H21" s="23"/>
      <c r="I21" s="23"/>
    </row>
    <row r="22" spans="1:9" ht="15.65" customHeight="1" x14ac:dyDescent="0.35">
      <c r="A22" s="23">
        <v>4</v>
      </c>
      <c r="B22" s="46" t="s">
        <v>179</v>
      </c>
      <c r="C22" s="3" t="s">
        <v>170</v>
      </c>
      <c r="D22" s="41"/>
      <c r="E22" s="3">
        <v>20.100000000000001</v>
      </c>
      <c r="F22" s="41">
        <v>1</v>
      </c>
      <c r="G22" s="23"/>
      <c r="H22" s="23"/>
      <c r="I22" s="23"/>
    </row>
    <row r="23" spans="1:9" ht="15.5" x14ac:dyDescent="0.35">
      <c r="D23" s="28"/>
      <c r="F23" s="30"/>
    </row>
    <row r="24" spans="1:9" ht="21" x14ac:dyDescent="0.35">
      <c r="A24" s="131" t="s">
        <v>90</v>
      </c>
      <c r="B24" s="131"/>
      <c r="C24" s="131"/>
      <c r="D24" s="131"/>
      <c r="E24" s="131"/>
      <c r="F24" s="131"/>
      <c r="G24" s="131"/>
      <c r="H24" s="131"/>
      <c r="I24" s="131"/>
    </row>
    <row r="25" spans="1:9" x14ac:dyDescent="0.35">
      <c r="A25" s="142"/>
      <c r="B25" s="142"/>
      <c r="H25" t="s">
        <v>83</v>
      </c>
      <c r="I25" s="10">
        <f>'Form 1'!C9</f>
        <v>531</v>
      </c>
    </row>
    <row r="26" spans="1:9" ht="15.75" customHeight="1" x14ac:dyDescent="0.35">
      <c r="A26" s="112" t="s">
        <v>10</v>
      </c>
      <c r="B26" s="112" t="s">
        <v>11</v>
      </c>
      <c r="C26" s="112" t="s">
        <v>12</v>
      </c>
      <c r="D26" s="112" t="s">
        <v>84</v>
      </c>
      <c r="E26" s="143" t="s">
        <v>108</v>
      </c>
      <c r="F26" s="112" t="s">
        <v>85</v>
      </c>
      <c r="G26" s="112" t="s">
        <v>15</v>
      </c>
      <c r="H26" s="112"/>
      <c r="I26" s="112" t="s">
        <v>86</v>
      </c>
    </row>
    <row r="27" spans="1:9" ht="60" x14ac:dyDescent="0.35">
      <c r="A27" s="112"/>
      <c r="B27" s="112"/>
      <c r="C27" s="112"/>
      <c r="D27" s="112"/>
      <c r="E27" s="144"/>
      <c r="F27" s="112"/>
      <c r="G27" s="39" t="s">
        <v>87</v>
      </c>
      <c r="H27" s="39" t="s">
        <v>19</v>
      </c>
      <c r="I27" s="112"/>
    </row>
    <row r="28" spans="1:9" ht="17.25" customHeight="1" x14ac:dyDescent="0.35">
      <c r="A28" s="23">
        <v>1</v>
      </c>
      <c r="B28" s="46" t="s">
        <v>179</v>
      </c>
      <c r="C28" s="3" t="s">
        <v>170</v>
      </c>
      <c r="D28" s="44"/>
      <c r="E28" s="45">
        <v>20.100000000000001</v>
      </c>
      <c r="F28" s="44">
        <v>1</v>
      </c>
      <c r="G28" s="23"/>
      <c r="H28" s="23"/>
      <c r="I28" s="23"/>
    </row>
  </sheetData>
  <mergeCells count="41">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D17:D18"/>
    <mergeCell ref="E17:E18"/>
    <mergeCell ref="F17:F18"/>
    <mergeCell ref="G17:H17"/>
    <mergeCell ref="I17:I18"/>
    <mergeCell ref="B5:I5"/>
    <mergeCell ref="A24:I24"/>
    <mergeCell ref="A25:B25"/>
    <mergeCell ref="A26:A27"/>
    <mergeCell ref="B26:B27"/>
    <mergeCell ref="C26:C27"/>
    <mergeCell ref="D26:D27"/>
    <mergeCell ref="E26:E27"/>
    <mergeCell ref="F26:F27"/>
    <mergeCell ref="G26:H26"/>
    <mergeCell ref="I26:I27"/>
    <mergeCell ref="A15:I15"/>
    <mergeCell ref="A16:B16"/>
    <mergeCell ref="A17:A18"/>
    <mergeCell ref="B17:B18"/>
    <mergeCell ref="C17:C18"/>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tabSelected="1" zoomScaleNormal="100" workbookViewId="0">
      <selection activeCell="C14" sqref="C1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3" t="s">
        <v>91</v>
      </c>
      <c r="B1" s="153"/>
      <c r="C1" s="153"/>
      <c r="D1" s="153"/>
      <c r="E1" s="153"/>
      <c r="F1" s="153"/>
      <c r="G1" s="153"/>
    </row>
    <row r="2" spans="1:7" ht="15.5" x14ac:dyDescent="0.35">
      <c r="A2" s="154"/>
      <c r="B2" s="154"/>
      <c r="C2" s="2"/>
      <c r="D2" s="2"/>
      <c r="E2" s="2"/>
      <c r="F2" t="s">
        <v>83</v>
      </c>
      <c r="G2" s="10">
        <f>'Form 1'!C9</f>
        <v>531</v>
      </c>
    </row>
    <row r="3" spans="1:7" ht="15" x14ac:dyDescent="0.35">
      <c r="A3" s="112" t="s">
        <v>10</v>
      </c>
      <c r="B3" s="112" t="s">
        <v>11</v>
      </c>
      <c r="C3" s="112" t="s">
        <v>12</v>
      </c>
      <c r="D3" s="112" t="s">
        <v>92</v>
      </c>
      <c r="E3" s="112" t="s">
        <v>15</v>
      </c>
      <c r="F3" s="112"/>
      <c r="G3" s="112" t="s">
        <v>93</v>
      </c>
    </row>
    <row r="4" spans="1:7" ht="30" x14ac:dyDescent="0.35">
      <c r="A4" s="112"/>
      <c r="B4" s="112"/>
      <c r="C4" s="112"/>
      <c r="D4" s="112"/>
      <c r="E4" s="31" t="s">
        <v>94</v>
      </c>
      <c r="F4" s="31" t="s">
        <v>95</v>
      </c>
      <c r="G4" s="112"/>
    </row>
    <row r="5" spans="1:7" ht="15" x14ac:dyDescent="0.35">
      <c r="A5" s="112"/>
      <c r="B5" s="112"/>
      <c r="C5" s="112"/>
      <c r="D5" s="112"/>
      <c r="E5" s="32" t="s">
        <v>96</v>
      </c>
      <c r="F5" s="32" t="s">
        <v>97</v>
      </c>
      <c r="G5" s="112"/>
    </row>
    <row r="6" spans="1:7" ht="15.5" x14ac:dyDescent="0.35">
      <c r="A6" s="23">
        <v>1</v>
      </c>
      <c r="B6" s="33" t="s">
        <v>151</v>
      </c>
      <c r="C6" s="3" t="s">
        <v>142</v>
      </c>
      <c r="D6" s="41">
        <v>30</v>
      </c>
      <c r="E6" s="23"/>
      <c r="F6" s="31"/>
      <c r="G6" s="23"/>
    </row>
    <row r="7" spans="1:7" ht="15.5" x14ac:dyDescent="0.35">
      <c r="A7" s="23">
        <v>2</v>
      </c>
      <c r="B7" s="24" t="s">
        <v>175</v>
      </c>
      <c r="C7" s="3" t="s">
        <v>172</v>
      </c>
      <c r="D7" s="41">
        <v>25</v>
      </c>
      <c r="E7" s="23"/>
      <c r="F7" s="23"/>
      <c r="G7" s="23"/>
    </row>
    <row r="8" spans="1:7" ht="15.5" x14ac:dyDescent="0.35">
      <c r="A8" s="23">
        <v>3</v>
      </c>
      <c r="B8" s="24" t="s">
        <v>175</v>
      </c>
      <c r="C8" s="3" t="s">
        <v>172</v>
      </c>
      <c r="D8" s="41">
        <v>30</v>
      </c>
      <c r="E8" s="23"/>
      <c r="F8" s="40"/>
      <c r="G8" s="23"/>
    </row>
    <row r="9" spans="1:7" ht="15.5" x14ac:dyDescent="0.35">
      <c r="A9" s="23">
        <v>4</v>
      </c>
      <c r="B9" s="24" t="s">
        <v>175</v>
      </c>
      <c r="C9" s="3" t="s">
        <v>172</v>
      </c>
      <c r="D9" s="41">
        <v>15</v>
      </c>
      <c r="E9" s="23"/>
      <c r="F9" s="23"/>
      <c r="G9" s="23"/>
    </row>
    <row r="10" spans="1:7" ht="15.5" x14ac:dyDescent="0.35">
      <c r="A10" s="23">
        <v>5</v>
      </c>
      <c r="B10" s="24" t="s">
        <v>175</v>
      </c>
      <c r="C10" s="3" t="s">
        <v>172</v>
      </c>
      <c r="D10" s="41">
        <v>22</v>
      </c>
      <c r="E10" s="23"/>
      <c r="F10" s="40"/>
      <c r="G10" s="23"/>
    </row>
    <row r="11" spans="1:7" ht="15.5" x14ac:dyDescent="0.35">
      <c r="A11" s="23">
        <v>6</v>
      </c>
      <c r="B11" s="24" t="s">
        <v>175</v>
      </c>
      <c r="C11" s="3" t="s">
        <v>172</v>
      </c>
      <c r="D11" s="41">
        <v>25</v>
      </c>
      <c r="E11" s="23"/>
      <c r="F11" s="23"/>
      <c r="G11" s="23"/>
    </row>
    <row r="12" spans="1:7" ht="15.5" x14ac:dyDescent="0.35">
      <c r="A12" s="23">
        <v>7</v>
      </c>
      <c r="B12" s="24" t="s">
        <v>175</v>
      </c>
      <c r="C12" s="3" t="s">
        <v>172</v>
      </c>
      <c r="D12" s="41">
        <v>24</v>
      </c>
      <c r="E12" s="23"/>
      <c r="F12" s="40"/>
      <c r="G12" s="23"/>
    </row>
    <row r="13" spans="1:7" ht="15.5" x14ac:dyDescent="0.35">
      <c r="A13" s="23">
        <v>8</v>
      </c>
      <c r="B13" s="24" t="s">
        <v>175</v>
      </c>
      <c r="C13" s="3" t="s">
        <v>172</v>
      </c>
      <c r="D13" s="41">
        <v>30</v>
      </c>
      <c r="E13" s="23"/>
      <c r="F13" s="23"/>
      <c r="G13" s="23"/>
    </row>
    <row r="14" spans="1:7" ht="15.5" x14ac:dyDescent="0.35">
      <c r="A14" s="23">
        <v>9</v>
      </c>
      <c r="B14" s="24" t="s">
        <v>175</v>
      </c>
      <c r="C14" s="3" t="s">
        <v>172</v>
      </c>
      <c r="D14" s="41">
        <v>13</v>
      </c>
      <c r="E14" s="23"/>
      <c r="F14" s="40"/>
      <c r="G14" s="23"/>
    </row>
    <row r="15" spans="1:7" ht="15.5" x14ac:dyDescent="0.35">
      <c r="A15" s="23">
        <v>10</v>
      </c>
      <c r="B15" s="24" t="s">
        <v>175</v>
      </c>
      <c r="C15" s="3" t="s">
        <v>172</v>
      </c>
      <c r="D15" s="41">
        <v>13</v>
      </c>
      <c r="E15" s="23"/>
      <c r="F15" s="48"/>
      <c r="G15" s="23"/>
    </row>
    <row r="16" spans="1:7" ht="15.5" x14ac:dyDescent="0.35">
      <c r="A16" s="23">
        <v>11</v>
      </c>
      <c r="B16" s="24" t="s">
        <v>175</v>
      </c>
      <c r="C16" s="3" t="s">
        <v>172</v>
      </c>
      <c r="D16" s="41">
        <v>15</v>
      </c>
      <c r="E16" s="23"/>
      <c r="F16" s="48"/>
      <c r="G16" s="23"/>
    </row>
    <row r="17" spans="1:12" ht="15.5" x14ac:dyDescent="0.35">
      <c r="A17" s="23">
        <v>12</v>
      </c>
      <c r="B17" s="24" t="s">
        <v>175</v>
      </c>
      <c r="C17" s="3" t="s">
        <v>172</v>
      </c>
      <c r="D17" s="41">
        <v>12</v>
      </c>
      <c r="E17" s="23"/>
      <c r="F17" s="48"/>
      <c r="G17" s="23"/>
    </row>
    <row r="18" spans="1:12" ht="15.5" x14ac:dyDescent="0.35">
      <c r="A18" s="23">
        <v>13</v>
      </c>
      <c r="B18" s="24" t="s">
        <v>175</v>
      </c>
      <c r="C18" s="3" t="s">
        <v>172</v>
      </c>
      <c r="D18" s="41">
        <v>1</v>
      </c>
      <c r="E18" s="23"/>
      <c r="F18" s="48"/>
      <c r="G18" s="23"/>
    </row>
    <row r="19" spans="1:12" ht="15" x14ac:dyDescent="0.35">
      <c r="A19" s="117" t="s">
        <v>103</v>
      </c>
      <c r="B19" s="150"/>
      <c r="C19" s="150"/>
      <c r="D19" s="150"/>
      <c r="E19" s="150"/>
      <c r="F19" s="150"/>
      <c r="G19" s="118"/>
    </row>
    <row r="20" spans="1:12" ht="15.5" x14ac:dyDescent="0.35">
      <c r="A20" s="23">
        <v>1</v>
      </c>
      <c r="B20" s="147" t="s">
        <v>104</v>
      </c>
      <c r="C20" s="148"/>
      <c r="D20" s="148"/>
      <c r="E20" s="148"/>
      <c r="F20" s="149"/>
      <c r="G20" s="3" t="s">
        <v>161</v>
      </c>
    </row>
    <row r="21" spans="1:12" ht="15.5" x14ac:dyDescent="0.35">
      <c r="A21" s="23">
        <v>2</v>
      </c>
      <c r="B21" s="147" t="s">
        <v>105</v>
      </c>
      <c r="C21" s="148"/>
      <c r="D21" s="148"/>
      <c r="E21" s="148"/>
      <c r="F21" s="149"/>
      <c r="G21" s="3" t="s">
        <v>162</v>
      </c>
    </row>
    <row r="22" spans="1:12" ht="15.5" x14ac:dyDescent="0.35">
      <c r="A22" s="23">
        <v>3</v>
      </c>
      <c r="B22" s="147" t="s">
        <v>106</v>
      </c>
      <c r="C22" s="148"/>
      <c r="D22" s="148"/>
      <c r="E22" s="148"/>
      <c r="F22" s="149"/>
      <c r="G22" s="3" t="s">
        <v>163</v>
      </c>
    </row>
    <row r="23" spans="1:12" ht="15.5" x14ac:dyDescent="0.35">
      <c r="A23" s="23">
        <v>4</v>
      </c>
      <c r="B23" s="147" t="s">
        <v>107</v>
      </c>
      <c r="C23" s="148"/>
      <c r="D23" s="148"/>
      <c r="E23" s="148"/>
      <c r="F23" s="149"/>
      <c r="G23" s="3" t="s">
        <v>164</v>
      </c>
    </row>
    <row r="24" spans="1:12" ht="15.5" x14ac:dyDescent="0.35">
      <c r="A24" s="25"/>
      <c r="B24" s="35"/>
      <c r="C24" s="35"/>
      <c r="D24" s="25"/>
      <c r="E24" s="25"/>
      <c r="F24" s="25"/>
      <c r="G24" s="25"/>
      <c r="L24" s="34"/>
    </row>
    <row r="25" spans="1:12" s="36" customFormat="1" ht="19.899999999999999" customHeight="1" x14ac:dyDescent="0.35">
      <c r="A25" s="152" t="s">
        <v>98</v>
      </c>
      <c r="B25" s="152"/>
      <c r="C25" s="152"/>
      <c r="D25" s="152"/>
      <c r="E25" s="152"/>
      <c r="F25" s="152"/>
      <c r="G25" s="152"/>
      <c r="L25" s="34"/>
    </row>
    <row r="26" spans="1:12" ht="15.5" x14ac:dyDescent="0.35">
      <c r="A26" s="36"/>
      <c r="B26" s="36"/>
      <c r="C26" s="36"/>
      <c r="D26" s="36"/>
      <c r="E26" s="36"/>
      <c r="F26" t="s">
        <v>83</v>
      </c>
      <c r="G26" s="10">
        <f>'Form 1'!C9</f>
        <v>531</v>
      </c>
      <c r="L26" s="34"/>
    </row>
    <row r="27" spans="1:12" ht="15.75" customHeight="1" x14ac:dyDescent="0.35">
      <c r="A27" s="143" t="s">
        <v>10</v>
      </c>
      <c r="B27" s="143" t="s">
        <v>11</v>
      </c>
      <c r="C27" s="143" t="s">
        <v>12</v>
      </c>
      <c r="D27" s="143" t="s">
        <v>99</v>
      </c>
      <c r="E27" s="117" t="s">
        <v>15</v>
      </c>
      <c r="F27" s="118"/>
      <c r="G27" s="143" t="s">
        <v>100</v>
      </c>
      <c r="L27" s="34"/>
    </row>
    <row r="28" spans="1:12" ht="30" x14ac:dyDescent="0.35">
      <c r="A28" s="151"/>
      <c r="B28" s="151"/>
      <c r="C28" s="151"/>
      <c r="D28" s="151"/>
      <c r="E28" s="31" t="s">
        <v>94</v>
      </c>
      <c r="F28" s="31" t="s">
        <v>95</v>
      </c>
      <c r="G28" s="151"/>
      <c r="L28" s="34"/>
    </row>
    <row r="29" spans="1:12" ht="15.5" x14ac:dyDescent="0.35">
      <c r="A29" s="144"/>
      <c r="B29" s="144"/>
      <c r="C29" s="144"/>
      <c r="D29" s="144"/>
      <c r="E29" s="32" t="s">
        <v>96</v>
      </c>
      <c r="F29" s="32" t="s">
        <v>97</v>
      </c>
      <c r="G29" s="144"/>
      <c r="L29" s="34"/>
    </row>
    <row r="30" spans="1:12" ht="15.5" x14ac:dyDescent="0.35">
      <c r="A30" s="23">
        <v>1</v>
      </c>
      <c r="B30" s="46" t="s">
        <v>175</v>
      </c>
      <c r="C30" s="3" t="s">
        <v>172</v>
      </c>
      <c r="D30" s="41">
        <v>42</v>
      </c>
      <c r="E30" s="23"/>
      <c r="F30" s="23"/>
      <c r="G30" s="23"/>
      <c r="L30" s="34"/>
    </row>
    <row r="31" spans="1:12" ht="15.5" x14ac:dyDescent="0.35">
      <c r="A31" s="23">
        <v>2</v>
      </c>
      <c r="B31" s="24" t="s">
        <v>175</v>
      </c>
      <c r="C31" s="3" t="s">
        <v>172</v>
      </c>
      <c r="D31" s="41">
        <v>68</v>
      </c>
      <c r="E31" s="23"/>
      <c r="F31" s="23"/>
      <c r="G31" s="23"/>
      <c r="L31" s="34"/>
    </row>
    <row r="32" spans="1:12" ht="15.5" x14ac:dyDescent="0.35">
      <c r="A32" s="23">
        <v>3</v>
      </c>
      <c r="B32" s="33" t="s">
        <v>175</v>
      </c>
      <c r="C32" s="3" t="s">
        <v>172</v>
      </c>
      <c r="D32" s="41">
        <v>54</v>
      </c>
      <c r="E32" s="23"/>
      <c r="F32" s="23"/>
      <c r="G32" s="23"/>
      <c r="L32" s="34"/>
    </row>
    <row r="33" spans="1:12" ht="15.5" x14ac:dyDescent="0.35">
      <c r="A33" s="23">
        <v>4</v>
      </c>
      <c r="B33" s="24" t="s">
        <v>175</v>
      </c>
      <c r="C33" s="3" t="s">
        <v>172</v>
      </c>
      <c r="D33" s="41">
        <v>35</v>
      </c>
      <c r="E33" s="23"/>
      <c r="F33" s="23"/>
      <c r="G33" s="23"/>
      <c r="L33" s="34"/>
    </row>
    <row r="34" spans="1:12" ht="15.5" x14ac:dyDescent="0.35">
      <c r="A34" s="23">
        <v>5</v>
      </c>
      <c r="B34" s="33" t="s">
        <v>175</v>
      </c>
      <c r="C34" s="3" t="s">
        <v>172</v>
      </c>
      <c r="D34" s="41">
        <v>27</v>
      </c>
      <c r="E34" s="23"/>
      <c r="F34" s="23"/>
      <c r="G34" s="23"/>
      <c r="L34" s="34"/>
    </row>
    <row r="35" spans="1:12" ht="15.5" x14ac:dyDescent="0.35">
      <c r="A35" s="23">
        <v>6</v>
      </c>
      <c r="B35" s="33" t="s">
        <v>175</v>
      </c>
      <c r="C35" s="3" t="s">
        <v>172</v>
      </c>
      <c r="D35" s="41">
        <v>35</v>
      </c>
      <c r="E35" s="23"/>
      <c r="F35" s="23"/>
      <c r="G35" s="23"/>
      <c r="L35" s="34"/>
    </row>
    <row r="36" spans="1:12" ht="15.5" x14ac:dyDescent="0.35">
      <c r="A36" s="23">
        <v>7</v>
      </c>
      <c r="B36" s="33" t="s">
        <v>175</v>
      </c>
      <c r="C36" s="3" t="s">
        <v>172</v>
      </c>
      <c r="D36" s="41">
        <v>41</v>
      </c>
      <c r="E36" s="23"/>
      <c r="F36" s="23"/>
      <c r="G36" s="23"/>
      <c r="L36" s="34"/>
    </row>
    <row r="37" spans="1:12" ht="15.5" x14ac:dyDescent="0.35">
      <c r="A37" s="23">
        <v>8</v>
      </c>
      <c r="B37" s="33" t="s">
        <v>175</v>
      </c>
      <c r="C37" s="3" t="s">
        <v>172</v>
      </c>
      <c r="D37" s="41">
        <v>35</v>
      </c>
      <c r="E37" s="23"/>
      <c r="F37" s="23"/>
      <c r="G37" s="23"/>
      <c r="L37" s="34"/>
    </row>
    <row r="38" spans="1:12" ht="15.5" x14ac:dyDescent="0.35">
      <c r="A38" s="23">
        <v>9</v>
      </c>
      <c r="B38" s="33" t="s">
        <v>175</v>
      </c>
      <c r="C38" s="3" t="s">
        <v>172</v>
      </c>
      <c r="D38" s="41">
        <v>19</v>
      </c>
      <c r="E38" s="23"/>
      <c r="F38" s="23"/>
      <c r="G38" s="23"/>
      <c r="L38" s="34"/>
    </row>
    <row r="39" spans="1:12" ht="15.5" x14ac:dyDescent="0.35">
      <c r="A39" s="23">
        <v>10</v>
      </c>
      <c r="B39" s="33" t="s">
        <v>175</v>
      </c>
      <c r="C39" s="3" t="s">
        <v>172</v>
      </c>
      <c r="D39" s="41">
        <v>18</v>
      </c>
      <c r="E39" s="23"/>
      <c r="F39" s="23"/>
      <c r="G39" s="23"/>
      <c r="L39" s="34"/>
    </row>
    <row r="40" spans="1:12" ht="15.5" x14ac:dyDescent="0.35">
      <c r="A40" s="23">
        <v>11</v>
      </c>
      <c r="B40" s="33" t="s">
        <v>175</v>
      </c>
      <c r="C40" s="3" t="s">
        <v>172</v>
      </c>
      <c r="D40" s="41">
        <v>23</v>
      </c>
      <c r="E40" s="23"/>
      <c r="F40" s="23"/>
      <c r="G40" s="23"/>
      <c r="L40" s="34"/>
    </row>
    <row r="41" spans="1:12" ht="15.5" x14ac:dyDescent="0.35">
      <c r="A41" s="23">
        <v>12</v>
      </c>
      <c r="B41" s="33" t="s">
        <v>176</v>
      </c>
      <c r="C41" s="3" t="s">
        <v>173</v>
      </c>
      <c r="D41" s="41" t="s">
        <v>174</v>
      </c>
      <c r="E41" s="23"/>
      <c r="F41" s="23"/>
      <c r="G41" s="23"/>
      <c r="L41" s="34"/>
    </row>
    <row r="42" spans="1:12" ht="15" x14ac:dyDescent="0.35">
      <c r="A42" s="117" t="s">
        <v>103</v>
      </c>
      <c r="B42" s="150"/>
      <c r="C42" s="150"/>
      <c r="D42" s="150"/>
      <c r="E42" s="150"/>
      <c r="F42" s="150"/>
      <c r="G42" s="118"/>
    </row>
    <row r="43" spans="1:12" ht="15.5" x14ac:dyDescent="0.35">
      <c r="A43" s="23">
        <v>1</v>
      </c>
      <c r="B43" s="147" t="s">
        <v>104</v>
      </c>
      <c r="C43" s="148"/>
      <c r="D43" s="148"/>
      <c r="E43" s="148"/>
      <c r="F43" s="149"/>
      <c r="G43" s="3" t="s">
        <v>165</v>
      </c>
    </row>
    <row r="44" spans="1:12" ht="15.5" x14ac:dyDescent="0.35">
      <c r="A44" s="23">
        <v>2</v>
      </c>
      <c r="B44" s="147" t="s">
        <v>105</v>
      </c>
      <c r="C44" s="148"/>
      <c r="D44" s="148"/>
      <c r="E44" s="148"/>
      <c r="F44" s="149"/>
      <c r="G44" s="3" t="s">
        <v>166</v>
      </c>
    </row>
    <row r="45" spans="1:12" ht="15.5" x14ac:dyDescent="0.35">
      <c r="A45" s="23">
        <v>3</v>
      </c>
      <c r="B45" s="147" t="s">
        <v>106</v>
      </c>
      <c r="C45" s="148"/>
      <c r="D45" s="148"/>
      <c r="E45" s="148"/>
      <c r="F45" s="149"/>
      <c r="G45" s="3" t="s">
        <v>167</v>
      </c>
    </row>
    <row r="46" spans="1:12" ht="15.5" x14ac:dyDescent="0.35">
      <c r="A46" s="23">
        <v>4</v>
      </c>
      <c r="B46" s="147" t="s">
        <v>107</v>
      </c>
      <c r="C46" s="148"/>
      <c r="D46" s="148"/>
      <c r="E46" s="148"/>
      <c r="F46" s="149"/>
      <c r="G46" s="3" t="s">
        <v>168</v>
      </c>
    </row>
  </sheetData>
  <mergeCells count="25">
    <mergeCell ref="E27:F27"/>
    <mergeCell ref="A1:G1"/>
    <mergeCell ref="A2:B2"/>
    <mergeCell ref="A3:A5"/>
    <mergeCell ref="B3:B5"/>
    <mergeCell ref="C3:C5"/>
    <mergeCell ref="D3:D5"/>
    <mergeCell ref="E3:F3"/>
    <mergeCell ref="G3:G5"/>
    <mergeCell ref="B45:F45"/>
    <mergeCell ref="B46:F46"/>
    <mergeCell ref="A19:G19"/>
    <mergeCell ref="B20:F20"/>
    <mergeCell ref="A42:G42"/>
    <mergeCell ref="B43:F43"/>
    <mergeCell ref="B44:F44"/>
    <mergeCell ref="G27:G29"/>
    <mergeCell ref="A25:G25"/>
    <mergeCell ref="B21:F21"/>
    <mergeCell ref="B22:F22"/>
    <mergeCell ref="B23:F23"/>
    <mergeCell ref="A27:A29"/>
    <mergeCell ref="B27:B29"/>
    <mergeCell ref="C27:C29"/>
    <mergeCell ref="D27:D29"/>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2024-10-28T00:16:15Z</dcterms:modified>
</cp:coreProperties>
</file>