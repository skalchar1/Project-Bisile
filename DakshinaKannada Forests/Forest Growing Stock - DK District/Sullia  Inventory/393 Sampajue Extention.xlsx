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30" i="11"/>
  <c r="I22"/>
  <c r="I12"/>
  <c r="I2"/>
  <c r="C13" i="8"/>
  <c r="C12"/>
  <c r="C11"/>
  <c r="C10"/>
  <c r="C5" i="6" s="1"/>
  <c r="C9" i="8"/>
</calcChain>
</file>

<file path=xl/sharedStrings.xml><?xml version="1.0" encoding="utf-8"?>
<sst xmlns="http://schemas.openxmlformats.org/spreadsheetml/2006/main" count="328" uniqueCount="186">
  <si>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</si>
  <si>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</si>
  <si>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</si>
  <si>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</si>
  <si>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</si>
  <si>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</si>
  <si>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</si>
  <si>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</si>
  <si>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</si>
  <si>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</si>
  <si>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</si>
  <si>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</si>
  <si>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</si>
  <si>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</si>
  <si>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</si>
  <si>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</si>
  <si>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</si>
  <si>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</si>
  <si>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</si>
  <si>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</si>
  <si>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</si>
  <si>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</si>
  <si>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</si>
  <si>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</si>
  <si>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</si>
  <si>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</si>
  <si>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</si>
  <si>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</si>
  <si>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</si>
  <si>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</si>
  <si>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</si>
  <si>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</si>
  <si>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</si>
  <si>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</si>
  <si>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</si>
  <si>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</si>
  <si>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</si>
  <si>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</si>
  <si>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</si>
  <si>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</si>
  <si>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</si>
  <si>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</si>
  <si>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</si>
  <si>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</si>
  <si>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</si>
  <si>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</si>
  <si>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</si>
  <si>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</si>
  <si>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</si>
  <si>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</si>
  <si>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</si>
  <si>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</si>
  <si>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</si>
  <si>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</si>
  <si>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</si>
  <si>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</si>
  <si>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</si>
  <si>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</si>
  <si>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</si>
  <si>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</si>
  <si>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</si>
  <si>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</si>
  <si>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</si>
  <si>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</si>
  <si>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</si>
  <si>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</si>
  <si>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</si>
  <si>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</si>
  <si>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</si>
  <si>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</si>
  <si>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</si>
  <si>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</si>
  <si>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</si>
  <si>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</si>
  <si>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</si>
  <si>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</si>
  <si>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</si>
  <si>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</si>
  <si>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</si>
  <si>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</si>
  <si>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</si>
  <si>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</si>
  <si>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</si>
  <si>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</si>
  <si>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</si>
  <si>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</si>
  <si>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</si>
  <si>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</si>
  <si>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</si>
  <si>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</si>
  <si>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</si>
  <si>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</si>
  <si>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</si>
  <si>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</si>
  <si>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</si>
  <si>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</si>
  <si>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</si>
  <si>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</si>
  <si>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</si>
  <si>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</si>
  <si>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</si>
  <si>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</si>
  <si>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</si>
  <si>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</si>
  <si>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</si>
  <si>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</si>
  <si>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</si>
  <si>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</si>
  <si>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</si>
  <si>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</si>
  <si>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</si>
  <si>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</si>
  <si>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Scanty - Cynodon dactylon (Hambuhullu).</t>
  </si>
  <si>
    <t>Scanty - Malastoma offine, Eupatoium</t>
  </si>
  <si>
    <t>Sulia</t>
  </si>
  <si>
    <t>Maddarasa</t>
  </si>
  <si>
    <t>Uppalige</t>
  </si>
  <si>
    <t>Marva</t>
  </si>
  <si>
    <t>Kuntal</t>
  </si>
  <si>
    <t>Andipunar</t>
  </si>
  <si>
    <t>Matti</t>
  </si>
  <si>
    <t>Agasalle</t>
  </si>
  <si>
    <t>Jambe</t>
  </si>
  <si>
    <t>Salle</t>
  </si>
  <si>
    <t>Honne</t>
  </si>
  <si>
    <t>Kumsa</t>
  </si>
  <si>
    <t>salle</t>
  </si>
  <si>
    <t>315grm</t>
  </si>
  <si>
    <t>1.2kg</t>
  </si>
  <si>
    <t>nill</t>
  </si>
  <si>
    <t>125grm</t>
  </si>
  <si>
    <t>Jumma</t>
  </si>
  <si>
    <t>455grm</t>
  </si>
  <si>
    <t>135grm</t>
  </si>
  <si>
    <t>Kaare</t>
  </si>
  <si>
    <t>Tabernaentana montana</t>
  </si>
  <si>
    <t>Hambuhullu</t>
  </si>
  <si>
    <t>Kodsa</t>
  </si>
  <si>
    <t>Macaranga peltata</t>
  </si>
  <si>
    <t>Terminalea paniculata</t>
  </si>
  <si>
    <t>Syzygium caryophyllatum</t>
  </si>
  <si>
    <t>Carallia brachiata</t>
  </si>
  <si>
    <t>Terminalia tomantosa</t>
  </si>
  <si>
    <t>Olea dioica</t>
  </si>
  <si>
    <t>Xylea xylocarpa</t>
  </si>
  <si>
    <t>Aporosa lindleyana</t>
  </si>
  <si>
    <t>Zanthoxylum ehrtsa</t>
  </si>
  <si>
    <t>Calycopteris floribunda</t>
  </si>
  <si>
    <t>Randia aculeata</t>
  </si>
  <si>
    <t>Pterocarpus marsupium</t>
  </si>
  <si>
    <t>Cynodon dactylon</t>
  </si>
  <si>
    <t>Holarrhena antidysentrica</t>
  </si>
  <si>
    <t>Nilll</t>
  </si>
  <si>
    <t>Block /Village: Aramthodu</t>
  </si>
  <si>
    <t>1. Track - Hilly</t>
  </si>
  <si>
    <t>2. Aspect - Southern</t>
  </si>
  <si>
    <t>4. Soil-  Latarite soil</t>
  </si>
  <si>
    <t>5. Grass -   Scanty - Cynodon dactylon (Hambuhullu).</t>
  </si>
  <si>
    <t>7. Bamboo - Present , Bambusaa bamboo (Hebbidiru).</t>
  </si>
  <si>
    <t>8. Herbs -  Phychotrica dalzellii (Vaatmadike), Leea indica (Nedthi), Strobilanthus sps (Gurige).</t>
  </si>
  <si>
    <t>10. Underwood species - Olea dioca (Agasalle), Ixora brachiata (KaanSurgi),  Tabariena montana (Maddarsa), Aparosa lindliana (Salle).</t>
  </si>
  <si>
    <t>12. Rattans - Nill</t>
  </si>
  <si>
    <t>13. NTFP yielding sps -Cinnamomum zelanicum (Dalchinni), Senegalia rugata (Seege).</t>
  </si>
  <si>
    <t>Hilly</t>
  </si>
  <si>
    <t>Upto 16 - 40</t>
  </si>
  <si>
    <t>Southern</t>
  </si>
  <si>
    <t>Ignecious roacks</t>
  </si>
  <si>
    <t>Latarite soil, Texture -Smooth, Depth - 30cm, Permiabilty - Good.</t>
  </si>
  <si>
    <t>Mil Erosion</t>
  </si>
  <si>
    <t>Aparosa lindliana (Salle) - 10%, Xylea xylocarpa (Jambe) - 20%, Terminalea paniculata (Marva) -20%.</t>
  </si>
  <si>
    <t>Absent</t>
  </si>
  <si>
    <t xml:space="preserve">Natural forest </t>
  </si>
  <si>
    <t>Sampaje</t>
  </si>
  <si>
    <t>Start from Mavinakatte forest quartrus to Dodthota for 7 km N-12.597321, E- 75.443539. Then left turn Sampaje  Rf for 8.6 km N-12.544686, E-75.471240 (By jeep). Then walked towards left  for 45 mtr to reached center of the plot.</t>
  </si>
  <si>
    <t>Semi Evergreen Open forest, species liken Pterocarpus marsupium (Honne), Xylea xylocarpa (Jambe),  Holigarna arnottiana (Chaar), Aparosa lindliana (Salle), Terminalea paniculata (Marva), Tabariena montana (Maddarsa).</t>
  </si>
  <si>
    <t>3.Canopy density -Open forest and 40% canopy closed.</t>
  </si>
  <si>
    <t>9. Shrubs -  Calycopteris floribunda(Kumsa balli), Alangium salvifolium (Ankole), Zizypus mouriantana (Parige).</t>
  </si>
  <si>
    <t>11. Climber -Strychonos wallichiana (Balli kasaraka), Pothos scandens (Adake beelu), Tinospora malabarica (Madari beelu)</t>
  </si>
  <si>
    <t>Firewood</t>
  </si>
  <si>
    <t>187 m</t>
  </si>
  <si>
    <t>Sampaje reserve forest</t>
  </si>
  <si>
    <t>Open forest 40% closed canopy</t>
  </si>
  <si>
    <t>Moderate</t>
  </si>
  <si>
    <t>Prone to encrochment</t>
  </si>
  <si>
    <t>Mildly Degrated</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</si>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</sst>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9" sqref="C9"/>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6" t="s">
        <v>109</v>
      </c>
    </row>
    <row r="4" spans="1:3">
      <c r="A4" s="1"/>
    </row>
    <row r="5" spans="1:3" ht="31.5">
      <c r="A5" s="123" t="s">
        <v>23</v>
      </c>
      <c r="B5" s="49" t="s">
        <v>24</v>
      </c>
      <c r="C5" s="49" t="s">
        <v>25</v>
      </c>
    </row>
    <row r="6" spans="1:3" ht="21.75" customHeight="1">
      <c r="A6" s="22">
        <v>1</v>
      </c>
      <c r="B6" s="124" t="s">
        <v>26</v>
      </c>
      <c r="C6" s="3" t="s">
        <v>114</v>
      </c>
    </row>
    <row r="7" spans="1:3" ht="21.75" customHeight="1">
      <c r="A7" s="22">
        <v>2</v>
      </c>
      <c r="B7" s="124" t="s">
        <v>27</v>
      </c>
      <c r="C7" s="3" t="s">
        <v>172</v>
      </c>
    </row>
    <row r="8" spans="1:3" ht="21.75" customHeight="1">
      <c r="A8" s="22">
        <v>3</v>
      </c>
      <c r="B8" s="124" t="s">
        <v>28</v>
      </c>
      <c r="C8" s="3">
        <v>33</v>
      </c>
    </row>
    <row r="9" spans="1:3" ht="21.75" customHeight="1">
      <c r="A9" s="22">
        <v>4</v>
      </c>
      <c r="B9" s="124" t="s">
        <v>29</v>
      </c>
      <c r="C9" s="3">
        <v>393</v>
      </c>
    </row>
    <row r="10" spans="1:3" ht="21.75" customHeight="1">
      <c r="A10" s="22">
        <v>5</v>
      </c>
      <c r="B10" s="124" t="s">
        <v>30</v>
      </c>
      <c r="C10" s="125">
        <v>12.544689</v>
      </c>
    </row>
    <row r="11" spans="1:3" ht="21.75" customHeight="1">
      <c r="A11" s="22">
        <v>6</v>
      </c>
      <c r="B11" s="124" t="s">
        <v>31</v>
      </c>
      <c r="C11" s="125">
        <v>75.471247000000005</v>
      </c>
    </row>
    <row r="12" spans="1:3" ht="63">
      <c r="A12" s="22">
        <v>7</v>
      </c>
      <c r="B12" s="124" t="s">
        <v>32</v>
      </c>
      <c r="C12" s="3" t="s">
        <v>173</v>
      </c>
    </row>
    <row r="13" spans="1:3" ht="63">
      <c r="A13" s="22">
        <v>8</v>
      </c>
      <c r="B13" s="124" t="s">
        <v>33</v>
      </c>
      <c r="C13" s="126" t="s">
        <v>174</v>
      </c>
    </row>
    <row r="14" spans="1:3" ht="21.75" customHeight="1">
      <c r="A14" s="127">
        <v>9</v>
      </c>
      <c r="B14" s="128" t="s">
        <v>34</v>
      </c>
      <c r="C14" s="126" t="s">
        <v>154</v>
      </c>
    </row>
    <row r="15" spans="1:3" ht="21.75" customHeight="1">
      <c r="A15" s="129"/>
      <c r="B15" s="130"/>
      <c r="C15" s="126" t="s">
        <v>155</v>
      </c>
    </row>
    <row r="16" spans="1:3" ht="21.75" customHeight="1">
      <c r="A16" s="129"/>
      <c r="B16" s="130"/>
      <c r="C16" s="126" t="s">
        <v>175</v>
      </c>
    </row>
    <row r="17" spans="1:3" ht="21.75" customHeight="1">
      <c r="A17" s="129"/>
      <c r="B17" s="130"/>
      <c r="C17" s="126" t="s">
        <v>156</v>
      </c>
    </row>
    <row r="18" spans="1:3" ht="21.75" customHeight="1">
      <c r="A18" s="129"/>
      <c r="B18" s="130"/>
      <c r="C18" s="131" t="s">
        <v>157</v>
      </c>
    </row>
    <row r="19" spans="1:3" ht="21.75" customHeight="1">
      <c r="A19" s="129"/>
      <c r="B19" s="130"/>
      <c r="C19" s="126" t="s">
        <v>110</v>
      </c>
    </row>
    <row r="20" spans="1:3" ht="21.75" customHeight="1">
      <c r="A20" s="129"/>
      <c r="B20" s="130"/>
      <c r="C20" s="126" t="s">
        <v>158</v>
      </c>
    </row>
    <row r="21" spans="1:3" ht="31.5">
      <c r="A21" s="129"/>
      <c r="B21" s="130"/>
      <c r="C21" s="126" t="s">
        <v>159</v>
      </c>
    </row>
    <row r="22" spans="1:3" ht="31.5">
      <c r="A22" s="129"/>
      <c r="B22" s="130"/>
      <c r="C22" s="126" t="s">
        <v>176</v>
      </c>
    </row>
    <row r="23" spans="1:3" ht="47.25">
      <c r="A23" s="129"/>
      <c r="B23" s="130"/>
      <c r="C23" s="126" t="s">
        <v>160</v>
      </c>
    </row>
    <row r="24" spans="1:3" ht="35.25" customHeight="1">
      <c r="A24" s="129"/>
      <c r="B24" s="130"/>
      <c r="C24" s="126" t="s">
        <v>177</v>
      </c>
    </row>
    <row r="25" spans="1:3" ht="21.75" customHeight="1">
      <c r="A25" s="129"/>
      <c r="B25" s="130"/>
      <c r="C25" s="126" t="s">
        <v>161</v>
      </c>
    </row>
    <row r="26" spans="1:3" ht="31.5">
      <c r="A26" s="129"/>
      <c r="B26" s="130"/>
      <c r="C26" s="126" t="s">
        <v>162</v>
      </c>
    </row>
    <row r="27" spans="1:3" ht="21.75" customHeight="1">
      <c r="A27" s="22">
        <v>10</v>
      </c>
      <c r="B27" s="124" t="s">
        <v>35</v>
      </c>
      <c r="C27" s="124" t="s">
        <v>111</v>
      </c>
    </row>
    <row r="28" spans="1:3" ht="21.75" customHeight="1">
      <c r="A28" s="22">
        <v>11</v>
      </c>
      <c r="B28" s="124" t="s">
        <v>36</v>
      </c>
      <c r="C28" s="124" t="s">
        <v>178</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4"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3" sqref="B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1.75" customHeight="1">
      <c r="A4" s="134" t="s">
        <v>39</v>
      </c>
      <c r="B4" s="134"/>
      <c r="C4" s="134"/>
    </row>
    <row r="5" spans="1:3">
      <c r="A5" s="122" t="s">
        <v>102</v>
      </c>
      <c r="B5" s="122"/>
      <c r="C5" s="46" t="str">
        <f>'Form 1'!C3</f>
        <v>Mangalore</v>
      </c>
    </row>
    <row r="6" spans="1:3">
      <c r="A6" s="1"/>
    </row>
    <row r="7" spans="1:3" ht="31.5">
      <c r="A7" s="123" t="s">
        <v>23</v>
      </c>
      <c r="B7" s="135" t="s">
        <v>25</v>
      </c>
      <c r="C7" s="49" t="s">
        <v>40</v>
      </c>
    </row>
    <row r="8" spans="1:3" ht="21" customHeight="1">
      <c r="A8" s="22">
        <v>1</v>
      </c>
      <c r="B8" s="124" t="s">
        <v>26</v>
      </c>
      <c r="C8" s="4" t="s">
        <v>114</v>
      </c>
    </row>
    <row r="9" spans="1:3" ht="21" customHeight="1">
      <c r="A9" s="22">
        <v>2</v>
      </c>
      <c r="B9" s="124" t="s">
        <v>41</v>
      </c>
      <c r="C9" s="4" t="str">
        <f>'Form 1'!C7</f>
        <v>Sampaje</v>
      </c>
    </row>
    <row r="10" spans="1:3" ht="21" customHeight="1">
      <c r="A10" s="22">
        <v>3</v>
      </c>
      <c r="B10" s="124" t="s">
        <v>28</v>
      </c>
      <c r="C10" s="4">
        <f>'Form 1'!C8</f>
        <v>33</v>
      </c>
    </row>
    <row r="11" spans="1:3" ht="21" customHeight="1">
      <c r="A11" s="22">
        <v>4</v>
      </c>
      <c r="B11" s="124" t="s">
        <v>29</v>
      </c>
      <c r="C11" s="4">
        <f>'Form 1'!C9</f>
        <v>393</v>
      </c>
    </row>
    <row r="12" spans="1:3" ht="21" customHeight="1">
      <c r="A12" s="22">
        <v>5</v>
      </c>
      <c r="B12" s="124" t="s">
        <v>42</v>
      </c>
      <c r="C12" s="4">
        <f>'Form 1'!C10</f>
        <v>12.544689</v>
      </c>
    </row>
    <row r="13" spans="1:3" ht="21" customHeight="1">
      <c r="A13" s="22">
        <v>6</v>
      </c>
      <c r="B13" s="124" t="s">
        <v>43</v>
      </c>
      <c r="C13" s="4">
        <f>'Form 1'!C11</f>
        <v>75.471247000000005</v>
      </c>
    </row>
    <row r="14" spans="1:3" ht="21" customHeight="1">
      <c r="A14" s="22">
        <v>7</v>
      </c>
      <c r="B14" s="124" t="s">
        <v>44</v>
      </c>
      <c r="C14" s="4" t="s">
        <v>179</v>
      </c>
    </row>
    <row r="15" spans="1:3" ht="21" customHeight="1">
      <c r="A15" s="22">
        <v>8</v>
      </c>
      <c r="B15" s="124" t="s">
        <v>45</v>
      </c>
      <c r="C15" s="4" t="s">
        <v>180</v>
      </c>
    </row>
    <row r="16" spans="1:3" ht="21" customHeight="1">
      <c r="A16" s="22">
        <v>9</v>
      </c>
      <c r="B16" s="124" t="s">
        <v>46</v>
      </c>
      <c r="C16" s="4" t="s">
        <v>181</v>
      </c>
    </row>
    <row r="17" spans="1:3" ht="21" customHeight="1">
      <c r="A17" s="22">
        <v>10</v>
      </c>
      <c r="B17" s="124" t="s">
        <v>47</v>
      </c>
      <c r="C17" s="136" t="s">
        <v>163</v>
      </c>
    </row>
    <row r="18" spans="1:3" ht="21" customHeight="1">
      <c r="A18" s="22">
        <v>11</v>
      </c>
      <c r="B18" s="124" t="s">
        <v>48</v>
      </c>
      <c r="C18" s="136" t="s">
        <v>164</v>
      </c>
    </row>
    <row r="19" spans="1:3" ht="21" customHeight="1">
      <c r="A19" s="22">
        <v>12</v>
      </c>
      <c r="B19" s="124" t="s">
        <v>49</v>
      </c>
      <c r="C19" s="136" t="s">
        <v>165</v>
      </c>
    </row>
    <row r="20" spans="1:3" ht="21" customHeight="1">
      <c r="A20" s="22">
        <v>13</v>
      </c>
      <c r="B20" s="124" t="s">
        <v>50</v>
      </c>
      <c r="C20" s="136" t="s">
        <v>166</v>
      </c>
    </row>
    <row r="21" spans="1:3" ht="31.5">
      <c r="A21" s="22">
        <v>14</v>
      </c>
      <c r="B21" s="124" t="s">
        <v>51</v>
      </c>
      <c r="C21" s="136" t="s">
        <v>167</v>
      </c>
    </row>
    <row r="22" spans="1:3" ht="21" customHeight="1">
      <c r="A22" s="22">
        <v>15</v>
      </c>
      <c r="B22" s="124" t="s">
        <v>52</v>
      </c>
      <c r="C22" s="136" t="s">
        <v>168</v>
      </c>
    </row>
    <row r="23" spans="1:3" ht="31.5">
      <c r="A23" s="22">
        <v>16</v>
      </c>
      <c r="B23" s="124" t="s">
        <v>53</v>
      </c>
      <c r="C23" s="136" t="s">
        <v>169</v>
      </c>
    </row>
    <row r="24" spans="1:3" ht="21" customHeight="1">
      <c r="A24" s="22">
        <v>17</v>
      </c>
      <c r="B24" s="124" t="s">
        <v>54</v>
      </c>
      <c r="C24" s="136" t="s">
        <v>182</v>
      </c>
    </row>
    <row r="25" spans="1:3" ht="21" customHeight="1">
      <c r="A25" s="22">
        <v>18</v>
      </c>
      <c r="B25" s="124" t="s">
        <v>55</v>
      </c>
      <c r="C25" s="136" t="s">
        <v>183</v>
      </c>
    </row>
    <row r="26" spans="1:3" ht="21" customHeight="1">
      <c r="A26" s="22">
        <v>19</v>
      </c>
      <c r="B26" s="124" t="s">
        <v>56</v>
      </c>
      <c r="C26" s="136" t="s">
        <v>111</v>
      </c>
    </row>
    <row r="27" spans="1:3" ht="21" customHeight="1">
      <c r="A27" s="22">
        <v>20</v>
      </c>
      <c r="B27" s="124" t="s">
        <v>57</v>
      </c>
      <c r="C27" s="136" t="s">
        <v>170</v>
      </c>
    </row>
    <row r="28" spans="1:3" ht="21" customHeight="1">
      <c r="A28" s="22">
        <v>21</v>
      </c>
      <c r="B28" s="124" t="s">
        <v>58</v>
      </c>
      <c r="C28" s="136" t="s">
        <v>112</v>
      </c>
    </row>
    <row r="29" spans="1:3" ht="21" customHeight="1">
      <c r="A29" s="22">
        <v>22</v>
      </c>
      <c r="B29" s="124" t="s">
        <v>59</v>
      </c>
      <c r="C29" s="136" t="s">
        <v>113</v>
      </c>
    </row>
    <row r="30" spans="1:3" ht="21" customHeight="1">
      <c r="A30" s="22">
        <v>23</v>
      </c>
      <c r="B30" s="124" t="s">
        <v>60</v>
      </c>
      <c r="C30" s="136" t="s">
        <v>171</v>
      </c>
    </row>
    <row r="31" spans="1:3" ht="21" customHeight="1">
      <c r="A31" s="22">
        <v>24</v>
      </c>
      <c r="B31" s="124" t="s">
        <v>61</v>
      </c>
      <c r="C31" s="136" t="s">
        <v>111</v>
      </c>
    </row>
    <row r="32" spans="1:3" ht="21" customHeight="1">
      <c r="A32" s="22">
        <v>25</v>
      </c>
      <c r="B32" s="124" t="s">
        <v>62</v>
      </c>
      <c r="C32" s="136" t="s">
        <v>184</v>
      </c>
    </row>
    <row r="33" spans="1:3" ht="21" customHeight="1">
      <c r="A33" s="22">
        <v>26</v>
      </c>
      <c r="B33" s="124" t="s">
        <v>63</v>
      </c>
      <c r="C33" s="136" t="s">
        <v>111</v>
      </c>
    </row>
    <row r="34" spans="1:3" ht="21" customHeight="1">
      <c r="A34" s="22">
        <v>27</v>
      </c>
      <c r="B34" s="124" t="s">
        <v>64</v>
      </c>
      <c r="C34" s="136" t="s">
        <v>111</v>
      </c>
    </row>
  </sheetData>
  <mergeCells count="4">
    <mergeCell ref="A1:C1"/>
    <mergeCell ref="A2:C2"/>
    <mergeCell ref="A4:C4"/>
    <mergeCell ref="A5:B5"/>
  </mergeCells>
  <printOptions horizontalCentered="1"/>
  <pageMargins left="0.42" right="0.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E6" sqref="E6"/>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4.85546875" customWidth="1"/>
    <col min="10" max="10" width="9.140625" customWidth="1"/>
    <col min="11" max="11" width="3.710937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79">
        <f>'Form II'!C10</f>
        <v>33</v>
      </c>
      <c r="D5" s="80"/>
      <c r="E5" s="78" t="s">
        <v>153</v>
      </c>
      <c r="F5" s="79"/>
      <c r="G5" s="79"/>
      <c r="H5" s="79"/>
      <c r="I5" s="80"/>
      <c r="J5" s="13" t="s">
        <v>4</v>
      </c>
      <c r="K5" s="86"/>
      <c r="L5" s="87"/>
    </row>
    <row r="6" spans="1:12" ht="15.6" customHeight="1">
      <c r="A6" s="75" t="s">
        <v>5</v>
      </c>
      <c r="B6" s="76"/>
      <c r="C6" s="62" t="str">
        <f>'Form 1'!C6</f>
        <v>Sulia</v>
      </c>
      <c r="D6" s="77"/>
      <c r="E6" s="37" t="s">
        <v>101</v>
      </c>
      <c r="F6" s="36"/>
      <c r="G6" s="62" t="str">
        <f>'Form 1'!C3</f>
        <v>Mangalore</v>
      </c>
      <c r="H6" s="62"/>
      <c r="I6" s="77"/>
      <c r="J6" s="14" t="s">
        <v>6</v>
      </c>
      <c r="K6" s="62" t="str">
        <f>'Form II'!C14</f>
        <v>187 m</v>
      </c>
      <c r="L6" s="63"/>
    </row>
    <row r="7" spans="1:12" ht="15.6" customHeight="1" thickBot="1">
      <c r="A7" s="81" t="s">
        <v>7</v>
      </c>
      <c r="B7" s="82"/>
      <c r="C7" s="64">
        <f>'Form 1'!C10</f>
        <v>12.544689</v>
      </c>
      <c r="D7" s="66"/>
      <c r="E7" s="15" t="s">
        <v>8</v>
      </c>
      <c r="F7" s="12"/>
      <c r="G7" s="64">
        <f>'Form 1'!C11</f>
        <v>75.471247000000005</v>
      </c>
      <c r="H7" s="64"/>
      <c r="I7" s="66"/>
      <c r="J7" s="15" t="s">
        <v>9</v>
      </c>
      <c r="K7" s="64">
        <f>'Form 1'!C9</f>
        <v>393</v>
      </c>
      <c r="L7" s="65"/>
    </row>
    <row r="8" spans="1:12" ht="15.6" customHeight="1" thickBot="1">
      <c r="A8" s="1"/>
      <c r="B8" s="1"/>
      <c r="C8" s="5"/>
      <c r="D8" s="6"/>
      <c r="E8" s="2"/>
      <c r="F8" s="2"/>
      <c r="G8" s="2"/>
      <c r="H8" s="2"/>
      <c r="I8" s="2"/>
      <c r="J8" s="2"/>
      <c r="K8" s="2"/>
      <c r="L8" s="2"/>
    </row>
    <row r="9" spans="1:12" ht="18.600000000000001" customHeight="1">
      <c r="A9" s="69" t="s">
        <v>10</v>
      </c>
      <c r="B9" s="71" t="s">
        <v>11</v>
      </c>
      <c r="C9" s="72"/>
      <c r="D9" s="55" t="s">
        <v>12</v>
      </c>
      <c r="E9" s="55" t="s">
        <v>13</v>
      </c>
      <c r="F9" s="16" t="s">
        <v>14</v>
      </c>
      <c r="G9" s="55" t="s">
        <v>20</v>
      </c>
      <c r="H9" s="59" t="s">
        <v>15</v>
      </c>
      <c r="I9" s="60"/>
      <c r="J9" s="60"/>
      <c r="K9" s="61"/>
      <c r="L9" s="67" t="s">
        <v>16</v>
      </c>
    </row>
    <row r="10" spans="1:12" ht="57" customHeight="1">
      <c r="A10" s="70"/>
      <c r="B10" s="73"/>
      <c r="C10" s="74"/>
      <c r="D10" s="56"/>
      <c r="E10" s="56"/>
      <c r="F10" s="17" t="s">
        <v>17</v>
      </c>
      <c r="G10" s="56"/>
      <c r="H10" s="57" t="s">
        <v>18</v>
      </c>
      <c r="I10" s="58"/>
      <c r="J10" s="57" t="s">
        <v>19</v>
      </c>
      <c r="K10" s="58"/>
      <c r="L10" s="68"/>
    </row>
    <row r="11" spans="1:12" ht="15.6" customHeight="1">
      <c r="A11" s="10">
        <v>1</v>
      </c>
      <c r="B11" s="51" t="s">
        <v>135</v>
      </c>
      <c r="C11" s="52"/>
      <c r="D11" s="3" t="s">
        <v>115</v>
      </c>
      <c r="E11" s="40">
        <v>50</v>
      </c>
      <c r="F11" s="40"/>
      <c r="G11" s="40">
        <v>8</v>
      </c>
      <c r="H11" s="53"/>
      <c r="I11" s="54"/>
      <c r="J11" s="90"/>
      <c r="K11" s="91"/>
      <c r="L11" s="11"/>
    </row>
    <row r="12" spans="1:12" ht="15.6" customHeight="1">
      <c r="A12" s="10">
        <v>2</v>
      </c>
      <c r="B12" s="51" t="s">
        <v>138</v>
      </c>
      <c r="C12" s="52"/>
      <c r="D12" s="4" t="s">
        <v>116</v>
      </c>
      <c r="E12" s="40">
        <v>36</v>
      </c>
      <c r="F12" s="40"/>
      <c r="G12" s="40">
        <v>8</v>
      </c>
      <c r="H12" s="53"/>
      <c r="I12" s="54"/>
      <c r="J12" s="90"/>
      <c r="K12" s="91"/>
      <c r="L12" s="11"/>
    </row>
    <row r="13" spans="1:12" ht="15.6" customHeight="1">
      <c r="A13" s="10">
        <v>3</v>
      </c>
      <c r="B13" s="51" t="s">
        <v>139</v>
      </c>
      <c r="C13" s="52"/>
      <c r="D13" s="3" t="s">
        <v>117</v>
      </c>
      <c r="E13" s="40">
        <v>72</v>
      </c>
      <c r="F13" s="40"/>
      <c r="G13" s="40">
        <v>3</v>
      </c>
      <c r="H13" s="53"/>
      <c r="I13" s="54"/>
      <c r="J13" s="90"/>
      <c r="K13" s="91"/>
      <c r="L13" s="11"/>
    </row>
    <row r="14" spans="1:12" ht="15.6" customHeight="1">
      <c r="A14" s="10">
        <v>4</v>
      </c>
      <c r="B14" s="51" t="s">
        <v>140</v>
      </c>
      <c r="C14" s="52"/>
      <c r="D14" s="3" t="s">
        <v>118</v>
      </c>
      <c r="E14" s="40">
        <v>32</v>
      </c>
      <c r="F14" s="40"/>
      <c r="G14" s="40">
        <v>6</v>
      </c>
      <c r="H14" s="53"/>
      <c r="I14" s="54"/>
      <c r="J14" s="90"/>
      <c r="K14" s="91"/>
      <c r="L14" s="11"/>
    </row>
    <row r="15" spans="1:12" ht="15.6" customHeight="1">
      <c r="A15" s="10">
        <v>5</v>
      </c>
      <c r="B15" s="51" t="s">
        <v>140</v>
      </c>
      <c r="C15" s="52"/>
      <c r="D15" s="7" t="s">
        <v>118</v>
      </c>
      <c r="E15" s="41">
        <v>30</v>
      </c>
      <c r="F15" s="40"/>
      <c r="G15" s="40">
        <v>6</v>
      </c>
      <c r="H15" s="53"/>
      <c r="I15" s="54"/>
      <c r="J15" s="90"/>
      <c r="K15" s="91"/>
      <c r="L15" s="11"/>
    </row>
    <row r="16" spans="1:12" ht="15.6" customHeight="1">
      <c r="A16" s="10">
        <v>6</v>
      </c>
      <c r="B16" s="51" t="s">
        <v>139</v>
      </c>
      <c r="C16" s="52"/>
      <c r="D16" s="4" t="s">
        <v>117</v>
      </c>
      <c r="E16" s="40">
        <v>82</v>
      </c>
      <c r="F16" s="41"/>
      <c r="G16" s="41">
        <v>8</v>
      </c>
      <c r="H16" s="88"/>
      <c r="I16" s="89"/>
      <c r="J16" s="90"/>
      <c r="K16" s="91"/>
      <c r="L16" s="11"/>
    </row>
    <row r="17" spans="1:12" ht="15.6" customHeight="1">
      <c r="A17" s="10">
        <v>7</v>
      </c>
      <c r="B17" s="51" t="s">
        <v>141</v>
      </c>
      <c r="C17" s="52"/>
      <c r="D17" s="7" t="s">
        <v>119</v>
      </c>
      <c r="E17" s="40">
        <v>48</v>
      </c>
      <c r="F17" s="41"/>
      <c r="G17" s="41">
        <v>10</v>
      </c>
      <c r="H17" s="88"/>
      <c r="I17" s="89"/>
      <c r="J17" s="90"/>
      <c r="K17" s="91"/>
      <c r="L17" s="11"/>
    </row>
    <row r="18" spans="1:12" ht="15.6" customHeight="1">
      <c r="A18" s="10">
        <v>8</v>
      </c>
      <c r="B18" s="51" t="s">
        <v>141</v>
      </c>
      <c r="C18" s="52"/>
      <c r="D18" s="3" t="s">
        <v>119</v>
      </c>
      <c r="E18" s="40">
        <v>78</v>
      </c>
      <c r="F18" s="41"/>
      <c r="G18" s="41">
        <v>12</v>
      </c>
      <c r="H18" s="88"/>
      <c r="I18" s="89"/>
      <c r="J18" s="90"/>
      <c r="K18" s="91"/>
      <c r="L18" s="11"/>
    </row>
    <row r="19" spans="1:12" ht="15.75">
      <c r="A19" s="10">
        <v>9</v>
      </c>
      <c r="B19" s="51" t="s">
        <v>142</v>
      </c>
      <c r="C19" s="52"/>
      <c r="D19" s="18" t="s">
        <v>120</v>
      </c>
      <c r="E19" s="40">
        <v>100</v>
      </c>
      <c r="F19" s="41"/>
      <c r="G19" s="41">
        <v>15</v>
      </c>
      <c r="H19" s="88"/>
      <c r="I19" s="89"/>
      <c r="J19" s="90"/>
      <c r="K19" s="91"/>
      <c r="L19" s="11"/>
    </row>
    <row r="20" spans="1:12" ht="15.6" customHeight="1">
      <c r="A20" s="10">
        <v>10</v>
      </c>
      <c r="B20" s="51" t="s">
        <v>143</v>
      </c>
      <c r="C20" s="52"/>
      <c r="D20" s="4" t="s">
        <v>121</v>
      </c>
      <c r="E20" s="40">
        <v>45</v>
      </c>
      <c r="F20" s="41"/>
      <c r="G20" s="41">
        <v>7</v>
      </c>
      <c r="H20" s="88"/>
      <c r="I20" s="89"/>
      <c r="J20" s="90"/>
      <c r="K20" s="91"/>
      <c r="L20" s="11"/>
    </row>
    <row r="21" spans="1:12" ht="15.6" customHeight="1">
      <c r="A21" s="10">
        <v>11</v>
      </c>
      <c r="B21" s="51" t="s">
        <v>144</v>
      </c>
      <c r="C21" s="52"/>
      <c r="D21" s="7" t="s">
        <v>122</v>
      </c>
      <c r="E21" s="40">
        <v>110</v>
      </c>
      <c r="F21" s="41"/>
      <c r="G21" s="41">
        <v>14</v>
      </c>
      <c r="H21" s="88"/>
      <c r="I21" s="89"/>
      <c r="J21" s="90"/>
      <c r="K21" s="91"/>
      <c r="L21" s="11"/>
    </row>
    <row r="22" spans="1:12" ht="15.6" customHeight="1">
      <c r="A22" s="10">
        <v>12</v>
      </c>
      <c r="B22" s="51" t="s">
        <v>145</v>
      </c>
      <c r="C22" s="52"/>
      <c r="D22" s="7" t="s">
        <v>123</v>
      </c>
      <c r="E22" s="40">
        <v>35</v>
      </c>
      <c r="F22" s="41"/>
      <c r="G22" s="41">
        <v>6</v>
      </c>
      <c r="H22" s="88"/>
      <c r="I22" s="89"/>
      <c r="J22" s="90"/>
      <c r="K22" s="91"/>
      <c r="L22" s="11"/>
    </row>
    <row r="23" spans="1:12" ht="15.6" customHeight="1">
      <c r="A23" s="10">
        <v>13</v>
      </c>
      <c r="B23" s="51" t="s">
        <v>149</v>
      </c>
      <c r="C23" s="52"/>
      <c r="D23" s="3" t="s">
        <v>124</v>
      </c>
      <c r="E23" s="40">
        <v>112</v>
      </c>
      <c r="F23" s="41"/>
      <c r="G23" s="41">
        <v>15</v>
      </c>
      <c r="H23" s="88"/>
      <c r="I23" s="89"/>
      <c r="J23" s="90"/>
      <c r="K23" s="91"/>
      <c r="L23" s="11"/>
    </row>
  </sheetData>
  <mergeCells count="64">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 ref="J11:K11"/>
    <mergeCell ref="J12:K12"/>
    <mergeCell ref="J13:K13"/>
    <mergeCell ref="J14:K14"/>
    <mergeCell ref="J15:K15"/>
    <mergeCell ref="H19:I19"/>
    <mergeCell ref="H20:I20"/>
    <mergeCell ref="B16:C16"/>
    <mergeCell ref="B17:C17"/>
    <mergeCell ref="B18:C18"/>
    <mergeCell ref="B19:C19"/>
    <mergeCell ref="B20:C20"/>
    <mergeCell ref="B21:C21"/>
    <mergeCell ref="B22:C22"/>
    <mergeCell ref="B23:C23"/>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O17" sqref="N17:O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0"/>
    </row>
    <row r="4" spans="1:17" ht="15.75" thickBot="1">
      <c r="A4" s="20"/>
    </row>
    <row r="5" spans="1:17" ht="16.5" thickBot="1">
      <c r="A5" s="92" t="s">
        <v>10</v>
      </c>
      <c r="B5" s="92" t="s">
        <v>11</v>
      </c>
      <c r="C5" s="92" t="s">
        <v>185</v>
      </c>
      <c r="D5" s="92" t="s">
        <v>67</v>
      </c>
      <c r="E5" s="103" t="s">
        <v>68</v>
      </c>
      <c r="F5" s="104"/>
      <c r="G5" s="104"/>
      <c r="H5" s="104"/>
      <c r="I5" s="104"/>
      <c r="J5" s="104"/>
      <c r="K5" s="104"/>
      <c r="L5" s="104"/>
      <c r="M5" s="105"/>
      <c r="N5" s="92" t="s">
        <v>69</v>
      </c>
      <c r="O5" s="103" t="s">
        <v>70</v>
      </c>
      <c r="P5" s="105"/>
      <c r="Q5" s="92" t="s">
        <v>71</v>
      </c>
    </row>
    <row r="6" spans="1:17" ht="15.75">
      <c r="A6" s="93"/>
      <c r="B6" s="93"/>
      <c r="C6" s="93"/>
      <c r="D6" s="93"/>
      <c r="E6" s="106" t="s">
        <v>72</v>
      </c>
      <c r="F6" s="107"/>
      <c r="G6" s="108"/>
      <c r="H6" s="106" t="s">
        <v>73</v>
      </c>
      <c r="I6" s="107"/>
      <c r="J6" s="108"/>
      <c r="K6" s="106" t="s">
        <v>74</v>
      </c>
      <c r="L6" s="107"/>
      <c r="M6" s="108"/>
      <c r="N6" s="93"/>
      <c r="O6" s="92" t="s">
        <v>75</v>
      </c>
      <c r="P6" s="92" t="s">
        <v>76</v>
      </c>
      <c r="Q6" s="93"/>
    </row>
    <row r="7" spans="1:17" ht="16.5" thickBot="1">
      <c r="A7" s="93"/>
      <c r="B7" s="93"/>
      <c r="C7" s="102"/>
      <c r="D7" s="93"/>
      <c r="E7" s="95" t="s">
        <v>77</v>
      </c>
      <c r="F7" s="96"/>
      <c r="G7" s="97"/>
      <c r="H7" s="95" t="s">
        <v>78</v>
      </c>
      <c r="I7" s="96"/>
      <c r="J7" s="97"/>
      <c r="K7" s="95" t="s">
        <v>77</v>
      </c>
      <c r="L7" s="96"/>
      <c r="M7" s="97"/>
      <c r="N7" s="93"/>
      <c r="O7" s="93"/>
      <c r="P7" s="93"/>
      <c r="Q7" s="93"/>
    </row>
    <row r="8" spans="1:17" ht="16.5" thickBot="1">
      <c r="A8" s="94"/>
      <c r="B8" s="94"/>
      <c r="C8" s="94"/>
      <c r="D8" s="94"/>
      <c r="E8" s="21" t="s">
        <v>79</v>
      </c>
      <c r="F8" s="21" t="s">
        <v>80</v>
      </c>
      <c r="G8" s="21" t="s">
        <v>81</v>
      </c>
      <c r="H8" s="21" t="s">
        <v>79</v>
      </c>
      <c r="I8" s="21" t="s">
        <v>80</v>
      </c>
      <c r="J8" s="21" t="s">
        <v>81</v>
      </c>
      <c r="K8" s="21" t="s">
        <v>79</v>
      </c>
      <c r="L8" s="21" t="s">
        <v>80</v>
      </c>
      <c r="M8" s="21" t="s">
        <v>81</v>
      </c>
      <c r="N8" s="94"/>
      <c r="O8" s="94"/>
      <c r="P8" s="94"/>
      <c r="Q8" s="94"/>
    </row>
    <row r="9" spans="1:17" ht="21.75" customHeight="1">
      <c r="A9" s="47">
        <v>1</v>
      </c>
      <c r="B9" s="98" t="s">
        <v>152</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36" sqref="B36"/>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09"/>
      <c r="B2" s="109"/>
      <c r="H2" t="s">
        <v>83</v>
      </c>
      <c r="I2" s="9">
        <f>'Form 1'!C9</f>
        <v>393</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19" t="s">
        <v>87</v>
      </c>
      <c r="H4" s="19" t="s">
        <v>19</v>
      </c>
      <c r="I4" s="111"/>
    </row>
    <row r="5" spans="1:9" ht="15.6" customHeight="1">
      <c r="A5" s="22">
        <v>1</v>
      </c>
      <c r="B5" s="45" t="s">
        <v>139</v>
      </c>
      <c r="C5" s="4" t="s">
        <v>117</v>
      </c>
      <c r="D5" s="4"/>
      <c r="E5" s="4">
        <v>32.6</v>
      </c>
      <c r="F5" s="41">
        <v>1</v>
      </c>
      <c r="G5" s="22"/>
      <c r="H5" s="22"/>
      <c r="I5" s="22"/>
    </row>
    <row r="6" spans="1:9" ht="15.6" customHeight="1">
      <c r="A6" s="22">
        <v>2</v>
      </c>
      <c r="B6" s="45" t="s">
        <v>147</v>
      </c>
      <c r="C6" s="4" t="s">
        <v>125</v>
      </c>
      <c r="D6" s="4"/>
      <c r="E6" s="4">
        <v>28.2</v>
      </c>
      <c r="F6" s="41">
        <v>1</v>
      </c>
      <c r="G6" s="22"/>
      <c r="H6" s="22"/>
      <c r="I6" s="22"/>
    </row>
    <row r="7" spans="1:9" ht="15.6" customHeight="1">
      <c r="A7" s="22">
        <v>3</v>
      </c>
      <c r="B7" s="45" t="s">
        <v>147</v>
      </c>
      <c r="C7" s="4" t="s">
        <v>125</v>
      </c>
      <c r="D7" s="4"/>
      <c r="E7" s="4">
        <v>35.6</v>
      </c>
      <c r="F7" s="41">
        <v>1</v>
      </c>
      <c r="G7" s="22"/>
      <c r="H7" s="22"/>
      <c r="I7" s="22"/>
    </row>
    <row r="8" spans="1:9" ht="15.6" customHeight="1">
      <c r="A8" s="22">
        <v>4</v>
      </c>
      <c r="B8" s="45" t="s">
        <v>145</v>
      </c>
      <c r="C8" s="4" t="s">
        <v>126</v>
      </c>
      <c r="D8" s="4"/>
      <c r="E8" s="4">
        <v>28.2</v>
      </c>
      <c r="F8" s="41">
        <v>1</v>
      </c>
      <c r="G8" s="22"/>
      <c r="H8" s="22"/>
      <c r="I8" s="22"/>
    </row>
    <row r="9" spans="1:9" ht="15.6" customHeight="1">
      <c r="A9" s="22">
        <v>5</v>
      </c>
      <c r="B9" s="45" t="s">
        <v>139</v>
      </c>
      <c r="C9" s="4" t="s">
        <v>117</v>
      </c>
      <c r="D9" s="4"/>
      <c r="E9" s="4">
        <v>23.1</v>
      </c>
      <c r="F9" s="41">
        <v>1</v>
      </c>
      <c r="G9" s="22"/>
      <c r="H9" s="22"/>
      <c r="I9" s="22"/>
    </row>
    <row r="10" spans="1:9" ht="15.75">
      <c r="A10" s="24"/>
      <c r="B10" s="25"/>
      <c r="C10" s="26"/>
      <c r="D10" s="27"/>
      <c r="E10" s="27"/>
      <c r="F10" s="27"/>
      <c r="G10" s="24"/>
      <c r="H10" s="24"/>
      <c r="I10" s="24"/>
    </row>
    <row r="11" spans="1:9" ht="21">
      <c r="A11" s="101" t="s">
        <v>88</v>
      </c>
      <c r="B11" s="101"/>
      <c r="C11" s="101"/>
      <c r="D11" s="101"/>
      <c r="E11" s="101"/>
      <c r="F11" s="101"/>
      <c r="G11" s="101"/>
      <c r="H11" s="101"/>
      <c r="I11" s="101"/>
    </row>
    <row r="12" spans="1:9" ht="15.75">
      <c r="A12" s="112"/>
      <c r="B12" s="112"/>
      <c r="H12" t="s">
        <v>83</v>
      </c>
      <c r="I12" s="9">
        <f>'Form 1'!C9</f>
        <v>393</v>
      </c>
    </row>
    <row r="13" spans="1:9" ht="15.75" customHeight="1">
      <c r="A13" s="56" t="s">
        <v>10</v>
      </c>
      <c r="B13" s="56" t="s">
        <v>11</v>
      </c>
      <c r="C13" s="56" t="s">
        <v>12</v>
      </c>
      <c r="D13" s="56" t="s">
        <v>84</v>
      </c>
      <c r="E13" s="110" t="s">
        <v>108</v>
      </c>
      <c r="F13" s="56" t="s">
        <v>85</v>
      </c>
      <c r="G13" s="56" t="s">
        <v>15</v>
      </c>
      <c r="H13" s="56"/>
      <c r="I13" s="110" t="s">
        <v>86</v>
      </c>
    </row>
    <row r="14" spans="1:9" ht="63">
      <c r="A14" s="56"/>
      <c r="B14" s="56"/>
      <c r="C14" s="56"/>
      <c r="D14" s="56"/>
      <c r="E14" s="111"/>
      <c r="F14" s="56"/>
      <c r="G14" s="19" t="s">
        <v>87</v>
      </c>
      <c r="H14" s="19" t="s">
        <v>19</v>
      </c>
      <c r="I14" s="111"/>
    </row>
    <row r="15" spans="1:9" ht="15.75">
      <c r="A15" s="22">
        <v>1</v>
      </c>
      <c r="B15" s="45" t="s">
        <v>139</v>
      </c>
      <c r="C15" s="3" t="s">
        <v>117</v>
      </c>
      <c r="D15" s="40"/>
      <c r="E15" s="42">
        <v>35.6</v>
      </c>
      <c r="F15" s="40">
        <v>3</v>
      </c>
      <c r="G15" s="22"/>
      <c r="H15" s="22"/>
      <c r="I15" s="28"/>
    </row>
    <row r="16" spans="1:9" ht="15.75">
      <c r="A16" s="22">
        <v>2</v>
      </c>
      <c r="B16" s="45" t="s">
        <v>146</v>
      </c>
      <c r="C16" s="3" t="s">
        <v>131</v>
      </c>
      <c r="D16" s="40"/>
      <c r="E16" s="42">
        <v>32.9</v>
      </c>
      <c r="F16" s="40">
        <v>3</v>
      </c>
      <c r="G16" s="22"/>
      <c r="H16" s="22"/>
      <c r="I16" s="28"/>
    </row>
    <row r="17" spans="1:9" ht="15.75">
      <c r="A17" s="22">
        <v>3</v>
      </c>
      <c r="B17" s="48" t="s">
        <v>138</v>
      </c>
      <c r="C17" s="3" t="s">
        <v>116</v>
      </c>
      <c r="D17" s="40"/>
      <c r="E17" s="42">
        <v>38.6</v>
      </c>
      <c r="F17" s="40">
        <v>45</v>
      </c>
      <c r="G17" s="22"/>
      <c r="H17" s="22"/>
      <c r="I17" s="28"/>
    </row>
    <row r="18" spans="1:9" ht="15.75">
      <c r="A18" s="22">
        <v>4</v>
      </c>
      <c r="B18" s="45" t="s">
        <v>144</v>
      </c>
      <c r="C18" s="3" t="s">
        <v>122</v>
      </c>
      <c r="D18" s="40"/>
      <c r="E18" s="42">
        <v>38.5</v>
      </c>
      <c r="F18" s="40">
        <v>2.5</v>
      </c>
      <c r="G18" s="22"/>
      <c r="H18" s="22"/>
      <c r="I18" s="28"/>
    </row>
    <row r="19" spans="1:9" ht="15.75">
      <c r="A19" s="22">
        <v>5</v>
      </c>
      <c r="B19" s="45" t="s">
        <v>144</v>
      </c>
      <c r="C19" s="3" t="s">
        <v>122</v>
      </c>
      <c r="D19" s="40"/>
      <c r="E19" s="42">
        <v>30.9</v>
      </c>
      <c r="F19" s="40">
        <v>2</v>
      </c>
      <c r="G19" s="22"/>
      <c r="H19" s="22"/>
      <c r="I19" s="28"/>
    </row>
    <row r="21" spans="1:9" ht="21">
      <c r="A21" s="101" t="s">
        <v>89</v>
      </c>
      <c r="B21" s="101"/>
      <c r="C21" s="101"/>
      <c r="D21" s="101"/>
      <c r="E21" s="101"/>
      <c r="F21" s="101"/>
      <c r="G21" s="101"/>
      <c r="H21" s="101"/>
      <c r="I21" s="101"/>
    </row>
    <row r="22" spans="1:9" ht="15.75">
      <c r="A22" s="112"/>
      <c r="B22" s="112"/>
      <c r="H22" s="9" t="s">
        <v>83</v>
      </c>
      <c r="I22" s="9">
        <f>'Form 1'!C9</f>
        <v>393</v>
      </c>
    </row>
    <row r="23" spans="1:9" ht="15.75" customHeight="1">
      <c r="A23" s="56" t="s">
        <v>10</v>
      </c>
      <c r="B23" s="56" t="s">
        <v>11</v>
      </c>
      <c r="C23" s="56" t="s">
        <v>12</v>
      </c>
      <c r="D23" s="56" t="s">
        <v>84</v>
      </c>
      <c r="E23" s="110" t="s">
        <v>108</v>
      </c>
      <c r="F23" s="56" t="s">
        <v>85</v>
      </c>
      <c r="G23" s="56" t="s">
        <v>15</v>
      </c>
      <c r="H23" s="56"/>
      <c r="I23" s="110" t="s">
        <v>86</v>
      </c>
    </row>
    <row r="24" spans="1:9" ht="63">
      <c r="A24" s="56"/>
      <c r="B24" s="56"/>
      <c r="C24" s="56"/>
      <c r="D24" s="56"/>
      <c r="E24" s="111"/>
      <c r="F24" s="56"/>
      <c r="G24" s="19" t="s">
        <v>87</v>
      </c>
      <c r="H24" s="19" t="s">
        <v>19</v>
      </c>
      <c r="I24" s="111"/>
    </row>
    <row r="25" spans="1:9" ht="15.6" customHeight="1">
      <c r="A25" s="22">
        <v>1</v>
      </c>
      <c r="B25" s="23" t="s">
        <v>135</v>
      </c>
      <c r="C25" s="3" t="s">
        <v>115</v>
      </c>
      <c r="D25" s="40"/>
      <c r="E25" s="3">
        <v>35.200000000000003</v>
      </c>
      <c r="F25" s="40">
        <v>2</v>
      </c>
      <c r="G25" s="22"/>
      <c r="H25" s="22"/>
      <c r="I25" s="22"/>
    </row>
    <row r="26" spans="1:9" ht="15.6" customHeight="1">
      <c r="A26" s="22">
        <v>2</v>
      </c>
      <c r="B26" s="45" t="s">
        <v>145</v>
      </c>
      <c r="C26" s="3" t="s">
        <v>123</v>
      </c>
      <c r="D26" s="40"/>
      <c r="E26" s="3">
        <v>20.100000000000001</v>
      </c>
      <c r="F26" s="40">
        <v>1</v>
      </c>
      <c r="G26" s="22"/>
      <c r="H26" s="22"/>
      <c r="I26" s="22"/>
    </row>
    <row r="27" spans="1:9" ht="15.6" customHeight="1">
      <c r="A27" s="22">
        <v>3</v>
      </c>
      <c r="B27" s="45" t="s">
        <v>139</v>
      </c>
      <c r="C27" s="3" t="s">
        <v>117</v>
      </c>
      <c r="D27" s="40"/>
      <c r="E27" s="3">
        <v>32.6</v>
      </c>
      <c r="F27" s="40">
        <v>2</v>
      </c>
      <c r="G27" s="22"/>
      <c r="H27" s="22"/>
      <c r="I27" s="22"/>
    </row>
    <row r="28" spans="1:9" ht="15.75">
      <c r="D28" s="27"/>
      <c r="F28" s="29"/>
    </row>
    <row r="29" spans="1:9" ht="21">
      <c r="A29" s="101" t="s">
        <v>90</v>
      </c>
      <c r="B29" s="101"/>
      <c r="C29" s="101"/>
      <c r="D29" s="101"/>
      <c r="E29" s="101"/>
      <c r="F29" s="101"/>
      <c r="G29" s="101"/>
      <c r="H29" s="101"/>
      <c r="I29" s="101"/>
    </row>
    <row r="30" spans="1:9">
      <c r="A30" s="113"/>
      <c r="B30" s="113"/>
      <c r="H30" t="s">
        <v>83</v>
      </c>
      <c r="I30" s="9">
        <f>'Form 1'!C9</f>
        <v>393</v>
      </c>
    </row>
    <row r="31" spans="1:9" ht="15.75" customHeight="1">
      <c r="A31" s="56" t="s">
        <v>10</v>
      </c>
      <c r="B31" s="56" t="s">
        <v>11</v>
      </c>
      <c r="C31" s="56" t="s">
        <v>12</v>
      </c>
      <c r="D31" s="56" t="s">
        <v>84</v>
      </c>
      <c r="E31" s="110" t="s">
        <v>108</v>
      </c>
      <c r="F31" s="56" t="s">
        <v>85</v>
      </c>
      <c r="G31" s="56" t="s">
        <v>15</v>
      </c>
      <c r="H31" s="56"/>
      <c r="I31" s="56" t="s">
        <v>86</v>
      </c>
    </row>
    <row r="32" spans="1:9" ht="63">
      <c r="A32" s="56"/>
      <c r="B32" s="56"/>
      <c r="C32" s="56"/>
      <c r="D32" s="56"/>
      <c r="E32" s="111"/>
      <c r="F32" s="56"/>
      <c r="G32" s="38" t="s">
        <v>87</v>
      </c>
      <c r="H32" s="38" t="s">
        <v>19</v>
      </c>
      <c r="I32" s="56"/>
    </row>
    <row r="33" spans="1:9" ht="17.25" customHeight="1">
      <c r="A33" s="22">
        <v>1</v>
      </c>
      <c r="B33" s="45" t="s">
        <v>144</v>
      </c>
      <c r="C33" s="3" t="s">
        <v>122</v>
      </c>
      <c r="D33" s="43"/>
      <c r="E33" s="44">
        <v>32.5</v>
      </c>
      <c r="F33" s="43">
        <v>2</v>
      </c>
      <c r="G33" s="22"/>
      <c r="H33" s="22"/>
      <c r="I33" s="22"/>
    </row>
    <row r="34" spans="1:9" ht="17.25" customHeight="1">
      <c r="A34" s="22">
        <v>2</v>
      </c>
      <c r="B34" s="45" t="s">
        <v>141</v>
      </c>
      <c r="C34" s="3" t="s">
        <v>119</v>
      </c>
      <c r="D34" s="43"/>
      <c r="E34" s="44">
        <v>41.9</v>
      </c>
      <c r="F34" s="43">
        <v>3</v>
      </c>
      <c r="G34" s="22"/>
      <c r="H34" s="22"/>
      <c r="I34" s="22"/>
    </row>
    <row r="35" spans="1:9" ht="17.25" customHeight="1">
      <c r="A35" s="22">
        <v>3</v>
      </c>
      <c r="B35" s="45" t="s">
        <v>144</v>
      </c>
      <c r="C35" s="3" t="s">
        <v>122</v>
      </c>
      <c r="D35" s="43"/>
      <c r="E35" s="44">
        <v>30.1</v>
      </c>
      <c r="F35" s="43">
        <v>1.5</v>
      </c>
      <c r="G35" s="22"/>
      <c r="H35" s="22"/>
      <c r="I35" s="22"/>
    </row>
    <row r="36" spans="1:9" ht="17.25" customHeight="1">
      <c r="A36" s="22">
        <v>4</v>
      </c>
      <c r="B36" s="45" t="s">
        <v>147</v>
      </c>
      <c r="C36" s="3" t="s">
        <v>125</v>
      </c>
      <c r="D36" s="43"/>
      <c r="E36" s="44">
        <v>25.7</v>
      </c>
      <c r="F36" s="43">
        <v>1</v>
      </c>
      <c r="G36" s="22"/>
      <c r="H36" s="22"/>
      <c r="I36" s="22"/>
    </row>
    <row r="37" spans="1:9" ht="17.25" customHeight="1">
      <c r="A37" s="22">
        <v>5</v>
      </c>
      <c r="B37" s="45" t="s">
        <v>148</v>
      </c>
      <c r="C37" s="3" t="s">
        <v>134</v>
      </c>
      <c r="D37" s="43"/>
      <c r="E37" s="44">
        <v>21.5</v>
      </c>
      <c r="F37" s="43">
        <v>1</v>
      </c>
      <c r="G37" s="22"/>
      <c r="H37" s="22"/>
      <c r="I37" s="22"/>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E8" sqref="E8"/>
    </sheetView>
  </sheetViews>
  <sheetFormatPr defaultRowHeight="15"/>
  <cols>
    <col min="1" max="1" width="6.85546875" bestFit="1" customWidth="1"/>
    <col min="2" max="2" width="26.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9">
        <f>'Form 1'!C9</f>
        <v>393</v>
      </c>
    </row>
    <row r="3" spans="1:7" ht="15.75">
      <c r="A3" s="56" t="s">
        <v>10</v>
      </c>
      <c r="B3" s="56" t="s">
        <v>11</v>
      </c>
      <c r="C3" s="56" t="s">
        <v>12</v>
      </c>
      <c r="D3" s="56" t="s">
        <v>92</v>
      </c>
      <c r="E3" s="56" t="s">
        <v>15</v>
      </c>
      <c r="F3" s="56"/>
      <c r="G3" s="56" t="s">
        <v>93</v>
      </c>
    </row>
    <row r="4" spans="1:7" ht="31.5">
      <c r="A4" s="56"/>
      <c r="B4" s="56"/>
      <c r="C4" s="56"/>
      <c r="D4" s="56"/>
      <c r="E4" s="30" t="s">
        <v>94</v>
      </c>
      <c r="F4" s="30" t="s">
        <v>95</v>
      </c>
      <c r="G4" s="56"/>
    </row>
    <row r="5" spans="1:7" ht="15.75">
      <c r="A5" s="56"/>
      <c r="B5" s="56"/>
      <c r="C5" s="56"/>
      <c r="D5" s="56"/>
      <c r="E5" s="31" t="s">
        <v>96</v>
      </c>
      <c r="F5" s="31" t="s">
        <v>97</v>
      </c>
      <c r="G5" s="56"/>
    </row>
    <row r="6" spans="1:7" ht="15.75">
      <c r="A6" s="22">
        <v>1</v>
      </c>
      <c r="B6" s="45" t="s">
        <v>139</v>
      </c>
      <c r="C6" s="3" t="s">
        <v>117</v>
      </c>
      <c r="D6" s="40">
        <v>5</v>
      </c>
      <c r="E6" s="22"/>
      <c r="F6" s="30"/>
      <c r="G6" s="22"/>
    </row>
    <row r="7" spans="1:7" ht="15.75">
      <c r="A7" s="22">
        <v>2</v>
      </c>
      <c r="B7" s="45" t="s">
        <v>147</v>
      </c>
      <c r="C7" s="3" t="s">
        <v>125</v>
      </c>
      <c r="D7" s="40">
        <v>15</v>
      </c>
      <c r="E7" s="22"/>
      <c r="F7" s="22"/>
      <c r="G7" s="22"/>
    </row>
    <row r="8" spans="1:7" ht="15.75">
      <c r="A8" s="22">
        <v>3</v>
      </c>
      <c r="B8" s="45" t="s">
        <v>150</v>
      </c>
      <c r="C8" s="3" t="s">
        <v>136</v>
      </c>
      <c r="D8" s="40">
        <v>5</v>
      </c>
      <c r="E8" s="22"/>
      <c r="F8" s="39"/>
      <c r="G8" s="22"/>
    </row>
    <row r="9" spans="1:7" ht="15.75">
      <c r="A9" s="22">
        <v>4</v>
      </c>
      <c r="B9" s="45" t="s">
        <v>150</v>
      </c>
      <c r="C9" s="3" t="s">
        <v>136</v>
      </c>
      <c r="D9" s="40">
        <v>7</v>
      </c>
      <c r="E9" s="22"/>
      <c r="F9" s="22"/>
      <c r="G9" s="22"/>
    </row>
    <row r="10" spans="1:7" ht="15.75">
      <c r="A10" s="22">
        <v>5</v>
      </c>
      <c r="B10" s="45" t="s">
        <v>150</v>
      </c>
      <c r="C10" s="3" t="s">
        <v>136</v>
      </c>
      <c r="D10" s="40">
        <v>5</v>
      </c>
      <c r="E10" s="22"/>
      <c r="F10" s="39"/>
      <c r="G10" s="22"/>
    </row>
    <row r="11" spans="1:7" ht="15.75">
      <c r="A11" s="22">
        <v>6</v>
      </c>
      <c r="B11" s="45" t="s">
        <v>150</v>
      </c>
      <c r="C11" s="3" t="s">
        <v>136</v>
      </c>
      <c r="D11" s="40">
        <v>6</v>
      </c>
      <c r="E11" s="22"/>
      <c r="F11" s="22"/>
      <c r="G11" s="22"/>
    </row>
    <row r="12" spans="1:7" ht="15.75">
      <c r="A12" s="22">
        <v>7</v>
      </c>
      <c r="B12" s="45" t="s">
        <v>145</v>
      </c>
      <c r="C12" s="3" t="s">
        <v>123</v>
      </c>
      <c r="D12" s="40">
        <v>12</v>
      </c>
      <c r="E12" s="22"/>
      <c r="F12" s="39"/>
      <c r="G12" s="22"/>
    </row>
    <row r="13" spans="1:7" ht="15.75">
      <c r="A13" s="57" t="s">
        <v>103</v>
      </c>
      <c r="B13" s="119"/>
      <c r="C13" s="119"/>
      <c r="D13" s="119"/>
      <c r="E13" s="119"/>
      <c r="F13" s="119"/>
      <c r="G13" s="58"/>
    </row>
    <row r="14" spans="1:7" ht="15.75">
      <c r="A14" s="22">
        <v>1</v>
      </c>
      <c r="B14" s="116" t="s">
        <v>104</v>
      </c>
      <c r="C14" s="117"/>
      <c r="D14" s="117"/>
      <c r="E14" s="117"/>
      <c r="F14" s="118"/>
      <c r="G14" s="3" t="s">
        <v>127</v>
      </c>
    </row>
    <row r="15" spans="1:7" ht="15.75">
      <c r="A15" s="22">
        <v>2</v>
      </c>
      <c r="B15" s="116" t="s">
        <v>105</v>
      </c>
      <c r="C15" s="117"/>
      <c r="D15" s="117"/>
      <c r="E15" s="117"/>
      <c r="F15" s="118"/>
      <c r="G15" s="3" t="s">
        <v>128</v>
      </c>
    </row>
    <row r="16" spans="1:7" ht="15.75">
      <c r="A16" s="22">
        <v>3</v>
      </c>
      <c r="B16" s="116" t="s">
        <v>106</v>
      </c>
      <c r="C16" s="117"/>
      <c r="D16" s="117"/>
      <c r="E16" s="117"/>
      <c r="F16" s="118"/>
      <c r="G16" s="3" t="s">
        <v>129</v>
      </c>
    </row>
    <row r="17" spans="1:12" ht="15.75">
      <c r="A17" s="22">
        <v>4</v>
      </c>
      <c r="B17" s="116" t="s">
        <v>107</v>
      </c>
      <c r="C17" s="117"/>
      <c r="D17" s="117"/>
      <c r="E17" s="117"/>
      <c r="F17" s="118"/>
      <c r="G17" s="3" t="s">
        <v>130</v>
      </c>
    </row>
    <row r="18" spans="1:12" ht="15.75">
      <c r="A18" s="24"/>
      <c r="B18" s="34"/>
      <c r="C18" s="34"/>
      <c r="D18" s="24"/>
      <c r="E18" s="24"/>
      <c r="F18" s="24"/>
      <c r="G18" s="24"/>
      <c r="L18" s="33"/>
    </row>
    <row r="19" spans="1:12" s="35" customFormat="1" ht="19.899999999999999" customHeight="1">
      <c r="A19" s="121" t="s">
        <v>98</v>
      </c>
      <c r="B19" s="121"/>
      <c r="C19" s="121"/>
      <c r="D19" s="121"/>
      <c r="E19" s="121"/>
      <c r="F19" s="121"/>
      <c r="G19" s="121"/>
      <c r="L19" s="33"/>
    </row>
    <row r="20" spans="1:12" ht="15.75">
      <c r="A20" s="35"/>
      <c r="B20" s="35"/>
      <c r="C20" s="35"/>
      <c r="D20" s="35"/>
      <c r="E20" s="35"/>
      <c r="F20" t="s">
        <v>83</v>
      </c>
      <c r="G20" s="9">
        <f>'Form 1'!C9</f>
        <v>393</v>
      </c>
      <c r="L20" s="33"/>
    </row>
    <row r="21" spans="1:12" ht="15.75" customHeight="1">
      <c r="A21" s="110" t="s">
        <v>10</v>
      </c>
      <c r="B21" s="110" t="s">
        <v>11</v>
      </c>
      <c r="C21" s="110" t="s">
        <v>12</v>
      </c>
      <c r="D21" s="110" t="s">
        <v>99</v>
      </c>
      <c r="E21" s="57" t="s">
        <v>15</v>
      </c>
      <c r="F21" s="58"/>
      <c r="G21" s="110" t="s">
        <v>100</v>
      </c>
      <c r="L21" s="33"/>
    </row>
    <row r="22" spans="1:12" ht="31.5">
      <c r="A22" s="120"/>
      <c r="B22" s="120"/>
      <c r="C22" s="120"/>
      <c r="D22" s="120"/>
      <c r="E22" s="30" t="s">
        <v>94</v>
      </c>
      <c r="F22" s="30" t="s">
        <v>95</v>
      </c>
      <c r="G22" s="120"/>
      <c r="L22" s="33"/>
    </row>
    <row r="23" spans="1:12" ht="15.75">
      <c r="A23" s="111"/>
      <c r="B23" s="111"/>
      <c r="C23" s="111"/>
      <c r="D23" s="111"/>
      <c r="E23" s="31" t="s">
        <v>96</v>
      </c>
      <c r="F23" s="31" t="s">
        <v>97</v>
      </c>
      <c r="G23" s="111"/>
      <c r="L23" s="33"/>
    </row>
    <row r="24" spans="1:12" ht="15.75">
      <c r="A24" s="22">
        <v>1</v>
      </c>
      <c r="B24" s="45" t="s">
        <v>145</v>
      </c>
      <c r="C24" s="3" t="s">
        <v>123</v>
      </c>
      <c r="D24" s="40">
        <v>35</v>
      </c>
      <c r="E24" s="22"/>
      <c r="F24" s="22"/>
      <c r="G24" s="22"/>
      <c r="L24" s="33"/>
    </row>
    <row r="25" spans="1:12" ht="15.75">
      <c r="A25" s="22">
        <v>2</v>
      </c>
      <c r="B25" s="45" t="s">
        <v>139</v>
      </c>
      <c r="C25" s="3" t="s">
        <v>117</v>
      </c>
      <c r="D25" s="40">
        <v>17</v>
      </c>
      <c r="E25" s="22"/>
      <c r="F25" s="22"/>
      <c r="G25" s="22"/>
      <c r="L25" s="33"/>
    </row>
    <row r="26" spans="1:12" ht="15.75">
      <c r="A26" s="22">
        <v>3</v>
      </c>
      <c r="B26" s="45" t="s">
        <v>139</v>
      </c>
      <c r="C26" s="3" t="s">
        <v>117</v>
      </c>
      <c r="D26" s="40">
        <v>18</v>
      </c>
      <c r="E26" s="22"/>
      <c r="F26" s="22"/>
      <c r="G26" s="22"/>
      <c r="L26" s="33"/>
    </row>
    <row r="27" spans="1:12" ht="15.75" customHeight="1">
      <c r="A27" s="22">
        <v>4</v>
      </c>
      <c r="B27" s="23" t="s">
        <v>147</v>
      </c>
      <c r="C27" s="3" t="s">
        <v>125</v>
      </c>
      <c r="D27" s="40">
        <v>32</v>
      </c>
      <c r="E27" s="22"/>
      <c r="F27" s="22"/>
      <c r="G27" s="22"/>
      <c r="L27" s="33"/>
    </row>
    <row r="28" spans="1:12" ht="15.75" customHeight="1">
      <c r="A28" s="22">
        <v>5</v>
      </c>
      <c r="B28" s="32" t="s">
        <v>147</v>
      </c>
      <c r="C28" s="3" t="s">
        <v>125</v>
      </c>
      <c r="D28" s="40">
        <v>13</v>
      </c>
      <c r="E28" s="22"/>
      <c r="F28" s="22"/>
      <c r="G28" s="22"/>
      <c r="L28" s="33"/>
    </row>
    <row r="29" spans="1:12" ht="15.75">
      <c r="A29" s="22">
        <v>6</v>
      </c>
      <c r="B29" s="32" t="s">
        <v>144</v>
      </c>
      <c r="C29" s="3" t="s">
        <v>122</v>
      </c>
      <c r="D29" s="40">
        <v>12</v>
      </c>
      <c r="E29" s="22"/>
      <c r="F29" s="22"/>
      <c r="G29" s="22"/>
      <c r="L29" s="33"/>
    </row>
    <row r="30" spans="1:12" ht="18" customHeight="1">
      <c r="A30" s="22">
        <v>7</v>
      </c>
      <c r="B30" s="45" t="s">
        <v>151</v>
      </c>
      <c r="C30" s="3" t="s">
        <v>137</v>
      </c>
      <c r="D30" s="40">
        <v>10</v>
      </c>
      <c r="E30" s="22"/>
      <c r="F30" s="22"/>
      <c r="G30" s="22"/>
      <c r="L30" s="33"/>
    </row>
    <row r="31" spans="1:12" ht="15.75">
      <c r="A31" s="22">
        <v>8</v>
      </c>
      <c r="B31" s="45" t="s">
        <v>150</v>
      </c>
      <c r="C31" s="3" t="s">
        <v>136</v>
      </c>
      <c r="D31" s="40">
        <v>54</v>
      </c>
      <c r="E31" s="22"/>
      <c r="F31" s="22"/>
      <c r="G31" s="22"/>
      <c r="L31" s="33"/>
    </row>
    <row r="32" spans="1:12" ht="15.75">
      <c r="A32" s="22">
        <v>9</v>
      </c>
      <c r="B32" s="45" t="s">
        <v>150</v>
      </c>
      <c r="C32" s="3" t="s">
        <v>136</v>
      </c>
      <c r="D32" s="40">
        <v>4</v>
      </c>
      <c r="E32" s="22"/>
      <c r="F32" s="22"/>
      <c r="G32" s="22"/>
      <c r="L32" s="33"/>
    </row>
    <row r="33" spans="1:7" ht="15.75">
      <c r="A33" s="57" t="s">
        <v>103</v>
      </c>
      <c r="B33" s="119"/>
      <c r="C33" s="119"/>
      <c r="D33" s="119"/>
      <c r="E33" s="119"/>
      <c r="F33" s="119"/>
      <c r="G33" s="58"/>
    </row>
    <row r="34" spans="1:7" ht="15.75">
      <c r="A34" s="22">
        <v>1</v>
      </c>
      <c r="B34" s="116" t="s">
        <v>104</v>
      </c>
      <c r="C34" s="117"/>
      <c r="D34" s="117"/>
      <c r="E34" s="117"/>
      <c r="F34" s="118"/>
      <c r="G34" s="3" t="s">
        <v>132</v>
      </c>
    </row>
    <row r="35" spans="1:7" ht="15.75">
      <c r="A35" s="22">
        <v>2</v>
      </c>
      <c r="B35" s="116" t="s">
        <v>105</v>
      </c>
      <c r="C35" s="117"/>
      <c r="D35" s="117"/>
      <c r="E35" s="117"/>
      <c r="F35" s="118"/>
      <c r="G35" s="3" t="s">
        <v>128</v>
      </c>
    </row>
    <row r="36" spans="1:7" ht="15.75">
      <c r="A36" s="22">
        <v>3</v>
      </c>
      <c r="B36" s="116" t="s">
        <v>106</v>
      </c>
      <c r="C36" s="117"/>
      <c r="D36" s="117"/>
      <c r="E36" s="117"/>
      <c r="F36" s="118"/>
      <c r="G36" s="3" t="s">
        <v>129</v>
      </c>
    </row>
    <row r="37" spans="1:7" ht="15.75">
      <c r="A37" s="22">
        <v>4</v>
      </c>
      <c r="B37" s="116" t="s">
        <v>107</v>
      </c>
      <c r="C37" s="117"/>
      <c r="D37" s="117"/>
      <c r="E37" s="117"/>
      <c r="F37" s="118"/>
      <c r="G37" s="3" t="s">
        <v>133</v>
      </c>
    </row>
  </sheetData>
  <mergeCells count="2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32"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2024-03-18T06:49:24Z</dcterms:modified>
</cp:coreProperties>
</file>