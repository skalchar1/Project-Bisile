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5" i="11"/>
  <c r="I16"/>
  <c r="I8"/>
  <c r="I2"/>
  <c r="C13" i="8"/>
  <c r="C12"/>
  <c r="C11"/>
  <c r="C10"/>
  <c r="C5" i="6" s="1"/>
  <c r="C9" i="8"/>
</calcChain>
</file>

<file path=xl/sharedStrings.xml><?xml version="1.0" encoding="utf-8"?>
<sst xmlns="http://schemas.openxmlformats.org/spreadsheetml/2006/main" count="325" uniqueCount="177">
  <si>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</si>
  <si>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</si>
  <si>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</si>
  <si>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</si>
  <si>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</si>
  <si>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</si>
  <si>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</si>
  <si>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</si>
  <si>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</si>
  <si>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</si>
  <si>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</si>
  <si>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</si>
  <si>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</si>
  <si>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</si>
  <si>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</si>
  <si>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</si>
  <si>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</si>
  <si>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</si>
  <si>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</si>
  <si>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</si>
  <si>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</si>
  <si>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</si>
  <si>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</si>
  <si>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</si>
  <si>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</si>
  <si>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</si>
  <si>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</si>
  <si>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</si>
  <si>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</si>
  <si>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</si>
  <si>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</si>
  <si>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</si>
  <si>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</si>
  <si>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</si>
  <si>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</si>
  <si>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</si>
  <si>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</si>
  <si>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</si>
  <si>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</si>
  <si>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</si>
  <si>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</si>
  <si>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</si>
  <si>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</si>
  <si>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</si>
  <si>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</si>
  <si>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</si>
  <si>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</si>
  <si>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</si>
  <si>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</si>
  <si>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</si>
  <si>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</si>
  <si>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</si>
  <si>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</si>
  <si>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</si>
  <si>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</si>
  <si>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</si>
  <si>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</si>
  <si>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</si>
  <si>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</si>
  <si>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</si>
  <si>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</si>
  <si>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</si>
  <si>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</si>
  <si>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</si>
  <si>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</si>
  <si>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</si>
  <si>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</si>
  <si>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</si>
  <si>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</si>
  <si>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</si>
  <si>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</si>
  <si>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</si>
  <si>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</si>
  <si>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</si>
  <si>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</si>
  <si>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</si>
  <si>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</si>
  <si>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</si>
  <si>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</si>
  <si>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</si>
  <si>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</si>
  <si>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</si>
  <si>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</si>
  <si>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</si>
  <si>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</si>
  <si>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</si>
  <si>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</si>
  <si>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</si>
  <si>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</si>
  <si>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</si>
  <si>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</si>
  <si>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</si>
  <si>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</si>
  <si>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</si>
  <si>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</si>
  <si>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</si>
  <si>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</si>
  <si>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</si>
  <si>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</si>
  <si>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</si>
  <si>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</si>
  <si>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</si>
  <si>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</si>
  <si>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</si>
  <si>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</si>
  <si>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</si>
  <si>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</si>
  <si>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</si>
  <si>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</si>
  <si>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</si>
  <si>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</si>
  <si>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</si>
  <si>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</si>
  <si>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</si>
  <si>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</si>
  <si>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</si>
  <si>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</si>
  <si>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2. Aspect - Southern</t>
  </si>
  <si>
    <t>4. Soil-  Clay soil</t>
  </si>
  <si>
    <t>5. Grass - Scanty - Cynodon dactylon (Hambuhullu)</t>
  </si>
  <si>
    <t>6. Weeds - Scanty - Malastoma offiner</t>
  </si>
  <si>
    <t>7. Bamboo - Present  - Bambussa bamboo (Hebbidiru)</t>
  </si>
  <si>
    <t>8. Herbs -  Curcuma aromatica (Kaadarisina), Phychotrica dalzellii (Vaatmadike), Leea indica (Nedthi).</t>
  </si>
  <si>
    <t>9. Shrubs -  Calycopteris floribunda(Kumsa balli), Zizypus muriantana (Parige).</t>
  </si>
  <si>
    <t xml:space="preserve">10. Underwood species  - Xylea xylocarpa (Jambe), Olea dioca (Agasalle),   Aparosa lindliana (Salle), Tabernaentana montana (Maddarsa), Ixora brachiata (KaanSurgi), </t>
  </si>
  <si>
    <t>11. Climber - Pothos scandens  (Adakeballi), Piper tioicum (Kaadu kalu menasu), Strychonos wallichiana (Balli kasaraka).</t>
  </si>
  <si>
    <t>13. NTFP yielding sps - Cinnamomum zalenicum (Dalchinni), Senegaliea rugta (Seege).</t>
  </si>
  <si>
    <t>Aletty East Reserve forest</t>
  </si>
  <si>
    <t>Southern</t>
  </si>
  <si>
    <t>Clay soil, Texture - Smooth, Depth - 30cm, Permiabilty - Good.</t>
  </si>
  <si>
    <t>Mild Erosion</t>
  </si>
  <si>
    <t>Xylea xylocarpa (Jambe) - 30%, Aparosa lindlyana (SAlle) - 10%, Terminalea paniculata (Marva) - 10%.</t>
  </si>
  <si>
    <t>Present  - Bambussa bamboo (Hebbidiru)</t>
  </si>
  <si>
    <t>Absent</t>
  </si>
  <si>
    <t>Elephant traces and dung</t>
  </si>
  <si>
    <t>Start from Sullya range office to Aletty for 3.1 km N- 12.532990, E- 75.380009. Then left turn towards Panathor road to Aletty east RF for 14.3 km N-12.467724, E- 75.362931 (By Jeep). Then walked towards right for 1.3 km to reached center of the plot.</t>
  </si>
  <si>
    <t>1. Track - Hilly</t>
  </si>
  <si>
    <t>Moist decidious Closed forest, Species like  Xylea xylocarpa (Jambe),   Olea dioca (Agasalle), Aparosa lindliana (Salle), Holiarna arnottiana (Chaar), Terminalea paniculata (Marva).</t>
  </si>
  <si>
    <t>3.Canopy density - Closed forest 80% canopy closed</t>
  </si>
  <si>
    <t>12. Rattans - Hebiscus aculeatus (Betta)</t>
  </si>
  <si>
    <t>232 m</t>
  </si>
  <si>
    <t>Closed forest 80% canopy closed</t>
  </si>
  <si>
    <t>Hilly</t>
  </si>
  <si>
    <t>Upto 16 - 40</t>
  </si>
  <si>
    <t>Bannasampige</t>
  </si>
  <si>
    <t>Chaar</t>
  </si>
  <si>
    <t>Jambe</t>
  </si>
  <si>
    <t>Marva</t>
  </si>
  <si>
    <t>Salle</t>
  </si>
  <si>
    <t>Rampatre</t>
  </si>
  <si>
    <t>Nandi</t>
  </si>
  <si>
    <t>Maddarsa</t>
  </si>
  <si>
    <t>Malatus philipensis</t>
  </si>
  <si>
    <t>Knema attiunata</t>
  </si>
  <si>
    <t>Holigarna arnottiana</t>
  </si>
  <si>
    <t>Xylea xylocarpa</t>
  </si>
  <si>
    <t>Terminalea paniculata</t>
  </si>
  <si>
    <t>Aparosa lindliana</t>
  </si>
  <si>
    <t>Miristica malabaraica</t>
  </si>
  <si>
    <t>Lagastromea lanceolata</t>
  </si>
  <si>
    <t>Tabernaentana montana</t>
  </si>
  <si>
    <t>Nill</t>
  </si>
  <si>
    <t>Vaatmadike</t>
  </si>
  <si>
    <t>315 gm</t>
  </si>
  <si>
    <t>1.3 kg</t>
  </si>
  <si>
    <t>120 gm</t>
  </si>
  <si>
    <t>345 gm</t>
  </si>
  <si>
    <t>1.2 kg</t>
  </si>
  <si>
    <t>125 gm</t>
  </si>
  <si>
    <t>Agasalle</t>
  </si>
  <si>
    <t>Seege</t>
  </si>
  <si>
    <t>Nedthi</t>
  </si>
  <si>
    <t>Xyela xylocarpa</t>
  </si>
  <si>
    <t>Senegalea rugata</t>
  </si>
  <si>
    <t>Phycotrea dalzelli</t>
  </si>
  <si>
    <t>Olea dioca</t>
  </si>
  <si>
    <t>Leea indica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</si>
</sst>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110</v>
      </c>
    </row>
    <row r="4" spans="1:3">
      <c r="A4" s="51"/>
    </row>
    <row r="5" spans="1:3" ht="31.5">
      <c r="A5" s="52" t="s">
        <v>23</v>
      </c>
      <c r="B5" s="54" t="s">
        <v>24</v>
      </c>
      <c r="C5" s="54" t="s">
        <v>25</v>
      </c>
    </row>
    <row r="6" spans="1:3">
      <c r="A6" s="55">
        <v>1</v>
      </c>
      <c r="B6" s="56" t="s">
        <v>26</v>
      </c>
      <c r="C6" s="60" t="s">
        <v>116</v>
      </c>
    </row>
    <row r="7" spans="1:3" ht="31.5">
      <c r="A7" s="55">
        <v>2</v>
      </c>
      <c r="B7" s="56" t="s">
        <v>27</v>
      </c>
      <c r="C7" s="60"/>
    </row>
    <row r="8" spans="1:3">
      <c r="A8" s="55">
        <v>3</v>
      </c>
      <c r="B8" s="56" t="s">
        <v>28</v>
      </c>
      <c r="C8" s="60"/>
    </row>
    <row r="9" spans="1:3">
      <c r="A9" s="55">
        <v>4</v>
      </c>
      <c r="B9" s="56" t="s">
        <v>29</v>
      </c>
      <c r="C9" s="47">
        <v>99</v>
      </c>
    </row>
    <row r="10" spans="1:3" ht="20.25" customHeight="1">
      <c r="A10" s="55">
        <v>5</v>
      </c>
      <c r="B10" s="56" t="s">
        <v>30</v>
      </c>
      <c r="C10" s="61">
        <v>12.504168</v>
      </c>
    </row>
    <row r="11" spans="1:3" ht="23.25" customHeight="1">
      <c r="A11" s="55">
        <v>6</v>
      </c>
      <c r="B11" s="56" t="s">
        <v>31</v>
      </c>
      <c r="C11" s="61">
        <v>75.360731999999999</v>
      </c>
    </row>
    <row r="12" spans="1:3" ht="79.5" customHeight="1">
      <c r="A12" s="55">
        <v>7</v>
      </c>
      <c r="B12" s="56" t="s">
        <v>32</v>
      </c>
      <c r="C12" s="47" t="s">
        <v>135</v>
      </c>
    </row>
    <row r="13" spans="1:3" ht="76.5" customHeight="1">
      <c r="A13" s="55">
        <v>8</v>
      </c>
      <c r="B13" s="56" t="s">
        <v>33</v>
      </c>
      <c r="C13" s="62" t="s">
        <v>137</v>
      </c>
    </row>
    <row r="14" spans="1:3" ht="15.75" customHeight="1">
      <c r="A14" s="67">
        <v>9</v>
      </c>
      <c r="B14" s="71" t="s">
        <v>34</v>
      </c>
      <c r="C14" s="62" t="s">
        <v>136</v>
      </c>
    </row>
    <row r="15" spans="1:3">
      <c r="A15" s="68"/>
      <c r="B15" s="72"/>
      <c r="C15" s="62" t="s">
        <v>117</v>
      </c>
    </row>
    <row r="16" spans="1:3">
      <c r="A16" s="68"/>
      <c r="B16" s="72"/>
      <c r="C16" s="62" t="s">
        <v>138</v>
      </c>
    </row>
    <row r="17" spans="1:3">
      <c r="A17" s="68"/>
      <c r="B17" s="72"/>
      <c r="C17" s="62" t="s">
        <v>118</v>
      </c>
    </row>
    <row r="18" spans="1:3">
      <c r="A18" s="68"/>
      <c r="B18" s="72"/>
      <c r="C18" s="64" t="s">
        <v>119</v>
      </c>
    </row>
    <row r="19" spans="1:3">
      <c r="A19" s="68"/>
      <c r="B19" s="72"/>
      <c r="C19" s="62" t="s">
        <v>120</v>
      </c>
    </row>
    <row r="20" spans="1:3">
      <c r="A20" s="68"/>
      <c r="B20" s="72"/>
      <c r="C20" s="62" t="s">
        <v>121</v>
      </c>
    </row>
    <row r="21" spans="1:3" ht="31.5">
      <c r="A21" s="68"/>
      <c r="B21" s="72"/>
      <c r="C21" s="62" t="s">
        <v>122</v>
      </c>
    </row>
    <row r="22" spans="1:3" ht="31.5">
      <c r="A22" s="68"/>
      <c r="B22" s="72"/>
      <c r="C22" s="62" t="s">
        <v>123</v>
      </c>
    </row>
    <row r="23" spans="1:3" ht="47.25">
      <c r="A23" s="68"/>
      <c r="B23" s="72"/>
      <c r="C23" s="62" t="s">
        <v>124</v>
      </c>
    </row>
    <row r="24" spans="1:3" ht="45.75" customHeight="1">
      <c r="A24" s="68"/>
      <c r="B24" s="72"/>
      <c r="C24" s="62" t="s">
        <v>125</v>
      </c>
    </row>
    <row r="25" spans="1:3">
      <c r="A25" s="68"/>
      <c r="B25" s="72"/>
      <c r="C25" s="62" t="s">
        <v>139</v>
      </c>
    </row>
    <row r="26" spans="1:3" ht="31.5">
      <c r="A26" s="68"/>
      <c r="B26" s="72"/>
      <c r="C26" s="62" t="s">
        <v>126</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7" sqref="B17"/>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f>'Form 1'!C7</f>
        <v>0</v>
      </c>
    </row>
    <row r="10" spans="1:3">
      <c r="A10" s="55">
        <v>3</v>
      </c>
      <c r="B10" s="56" t="s">
        <v>28</v>
      </c>
      <c r="C10" s="57">
        <f>'Form 1'!C8</f>
        <v>0</v>
      </c>
    </row>
    <row r="11" spans="1:3">
      <c r="A11" s="55">
        <v>4</v>
      </c>
      <c r="B11" s="56" t="s">
        <v>29</v>
      </c>
      <c r="C11" s="57">
        <f>'Form 1'!C9</f>
        <v>99</v>
      </c>
    </row>
    <row r="12" spans="1:3">
      <c r="A12" s="55">
        <v>5</v>
      </c>
      <c r="B12" s="56" t="s">
        <v>42</v>
      </c>
      <c r="C12" s="57">
        <f>'Form 1'!C10</f>
        <v>12.504168</v>
      </c>
    </row>
    <row r="13" spans="1:3">
      <c r="A13" s="55">
        <v>6</v>
      </c>
      <c r="B13" s="56" t="s">
        <v>43</v>
      </c>
      <c r="C13" s="57">
        <f>'Form 1'!C11</f>
        <v>75.360731999999999</v>
      </c>
    </row>
    <row r="14" spans="1:3">
      <c r="A14" s="55">
        <v>7</v>
      </c>
      <c r="B14" s="56" t="s">
        <v>44</v>
      </c>
      <c r="C14" s="57" t="s">
        <v>140</v>
      </c>
    </row>
    <row r="15" spans="1:3">
      <c r="A15" s="55">
        <v>8</v>
      </c>
      <c r="B15" s="56" t="s">
        <v>45</v>
      </c>
      <c r="C15" s="57" t="s">
        <v>127</v>
      </c>
    </row>
    <row r="16" spans="1:3">
      <c r="A16" s="55">
        <v>9</v>
      </c>
      <c r="B16" s="56" t="s">
        <v>46</v>
      </c>
      <c r="C16" s="57" t="s">
        <v>141</v>
      </c>
    </row>
    <row r="17" spans="1:3" ht="31.5">
      <c r="A17" s="55">
        <v>10</v>
      </c>
      <c r="B17" s="56" t="s">
        <v>47</v>
      </c>
      <c r="C17" s="57" t="s">
        <v>142</v>
      </c>
    </row>
    <row r="18" spans="1:3">
      <c r="A18" s="55">
        <v>11</v>
      </c>
      <c r="B18" s="56" t="s">
        <v>48</v>
      </c>
      <c r="C18" s="58" t="s">
        <v>143</v>
      </c>
    </row>
    <row r="19" spans="1:3">
      <c r="A19" s="55">
        <v>12</v>
      </c>
      <c r="B19" s="56" t="s">
        <v>49</v>
      </c>
      <c r="C19" s="58" t="s">
        <v>128</v>
      </c>
    </row>
    <row r="20" spans="1:3" ht="31.5">
      <c r="A20" s="55">
        <v>13</v>
      </c>
      <c r="B20" s="56" t="s">
        <v>50</v>
      </c>
      <c r="C20" s="58" t="s">
        <v>112</v>
      </c>
    </row>
    <row r="21" spans="1:3" ht="31.5">
      <c r="A21" s="55">
        <v>14</v>
      </c>
      <c r="B21" s="56" t="s">
        <v>51</v>
      </c>
      <c r="C21" s="58" t="s">
        <v>129</v>
      </c>
    </row>
    <row r="22" spans="1:3">
      <c r="A22" s="55">
        <v>15</v>
      </c>
      <c r="B22" s="56" t="s">
        <v>52</v>
      </c>
      <c r="C22" s="58" t="s">
        <v>130</v>
      </c>
    </row>
    <row r="23" spans="1:3" ht="31.5">
      <c r="A23" s="55">
        <v>16</v>
      </c>
      <c r="B23" s="56" t="s">
        <v>53</v>
      </c>
      <c r="C23" s="58" t="s">
        <v>131</v>
      </c>
    </row>
    <row r="24" spans="1:3" ht="31.5">
      <c r="A24" s="55">
        <v>17</v>
      </c>
      <c r="B24" s="56" t="s">
        <v>54</v>
      </c>
      <c r="C24" s="58" t="s">
        <v>113</v>
      </c>
    </row>
    <row r="25" spans="1:3" ht="31.5">
      <c r="A25" s="55">
        <v>18</v>
      </c>
      <c r="B25" s="56" t="s">
        <v>55</v>
      </c>
      <c r="C25" s="58" t="s">
        <v>111</v>
      </c>
    </row>
    <row r="26" spans="1:3" ht="31.5">
      <c r="A26" s="55">
        <v>19</v>
      </c>
      <c r="B26" s="56" t="s">
        <v>56</v>
      </c>
      <c r="C26" s="58" t="s">
        <v>111</v>
      </c>
    </row>
    <row r="27" spans="1:3" ht="31.5">
      <c r="A27" s="55">
        <v>20</v>
      </c>
      <c r="B27" s="56" t="s">
        <v>57</v>
      </c>
      <c r="C27" s="58" t="s">
        <v>132</v>
      </c>
    </row>
    <row r="28" spans="1:3" ht="31.5">
      <c r="A28" s="55">
        <v>21</v>
      </c>
      <c r="B28" s="56" t="s">
        <v>58</v>
      </c>
      <c r="C28" s="58" t="s">
        <v>133</v>
      </c>
    </row>
    <row r="29" spans="1:3" ht="31.5">
      <c r="A29" s="55">
        <v>22</v>
      </c>
      <c r="B29" s="56" t="s">
        <v>59</v>
      </c>
      <c r="C29" s="58" t="s">
        <v>133</v>
      </c>
    </row>
    <row r="30" spans="1:3" ht="31.5">
      <c r="A30" s="55">
        <v>23</v>
      </c>
      <c r="B30" s="56" t="s">
        <v>60</v>
      </c>
      <c r="C30" s="58" t="s">
        <v>114</v>
      </c>
    </row>
    <row r="31" spans="1:3">
      <c r="A31" s="55">
        <v>24</v>
      </c>
      <c r="B31" s="56" t="s">
        <v>61</v>
      </c>
      <c r="C31" s="58" t="s">
        <v>111</v>
      </c>
    </row>
    <row r="32" spans="1:3" ht="31.5">
      <c r="A32" s="55">
        <v>25</v>
      </c>
      <c r="B32" s="56" t="s">
        <v>62</v>
      </c>
      <c r="C32" s="58" t="s">
        <v>115</v>
      </c>
    </row>
    <row r="33" spans="1:3" ht="31.5">
      <c r="A33" s="55">
        <v>26</v>
      </c>
      <c r="B33" s="56" t="s">
        <v>63</v>
      </c>
      <c r="C33" s="58" t="s">
        <v>111</v>
      </c>
    </row>
    <row r="34" spans="1:3" ht="47.25">
      <c r="A34" s="55">
        <v>27</v>
      </c>
      <c r="B34" s="56" t="s">
        <v>64</v>
      </c>
      <c r="C34" s="58" t="s">
        <v>134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31" sqref="B31:C3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0</v>
      </c>
      <c r="D5" s="87"/>
      <c r="E5" s="93" t="s">
        <v>109</v>
      </c>
      <c r="F5" s="86"/>
      <c r="G5" s="86"/>
      <c r="H5" s="86"/>
      <c r="I5" s="87"/>
      <c r="J5" s="14" t="s">
        <v>4</v>
      </c>
      <c r="K5" s="85"/>
      <c r="L5" s="88"/>
    </row>
    <row r="6" spans="1:12" ht="15.6" customHeight="1">
      <c r="A6" s="89" t="s">
        <v>5</v>
      </c>
      <c r="B6" s="90"/>
      <c r="C6" s="91" t="str">
        <f>'Form 1'!C6</f>
        <v>Sulia</v>
      </c>
      <c r="D6" s="92"/>
      <c r="E6" s="38" t="s">
        <v>101</v>
      </c>
      <c r="F6" s="37"/>
      <c r="G6" s="91" t="str">
        <f>'Form 1'!C3</f>
        <v>Mangalore</v>
      </c>
      <c r="H6" s="91"/>
      <c r="I6" s="92"/>
      <c r="J6" s="15" t="s">
        <v>6</v>
      </c>
      <c r="K6" s="91" t="str">
        <f>'Form II'!C14</f>
        <v>232 m</v>
      </c>
      <c r="L6" s="98"/>
    </row>
    <row r="7" spans="1:12" ht="15.6" customHeight="1" thickBot="1">
      <c r="A7" s="94" t="s">
        <v>7</v>
      </c>
      <c r="B7" s="95"/>
      <c r="C7" s="96">
        <f>'Form 1'!C10</f>
        <v>12.504168</v>
      </c>
      <c r="D7" s="97"/>
      <c r="E7" s="16" t="s">
        <v>8</v>
      </c>
      <c r="F7" s="13"/>
      <c r="G7" s="96">
        <f>'Form 1'!C11</f>
        <v>75.360731999999999</v>
      </c>
      <c r="H7" s="96"/>
      <c r="I7" s="97"/>
      <c r="J7" s="16" t="s">
        <v>9</v>
      </c>
      <c r="K7" s="96">
        <f>'Form 1'!C9</f>
        <v>99</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153</v>
      </c>
      <c r="C11" s="81"/>
      <c r="D11" s="3" t="s">
        <v>144</v>
      </c>
      <c r="E11" s="41">
        <v>64</v>
      </c>
      <c r="F11" s="41"/>
      <c r="G11" s="41">
        <v>12</v>
      </c>
      <c r="H11" s="76"/>
      <c r="I11" s="77"/>
      <c r="J11" s="74"/>
      <c r="K11" s="75"/>
      <c r="L11" s="12"/>
    </row>
    <row r="12" spans="1:12" ht="15.6" customHeight="1">
      <c r="A12" s="11">
        <v>2</v>
      </c>
      <c r="B12" s="80" t="s">
        <v>154</v>
      </c>
      <c r="C12" s="81"/>
      <c r="D12" s="4" t="s">
        <v>145</v>
      </c>
      <c r="E12" s="41">
        <v>82</v>
      </c>
      <c r="F12" s="41"/>
      <c r="G12" s="41">
        <v>12</v>
      </c>
      <c r="H12" s="76"/>
      <c r="I12" s="77"/>
      <c r="J12" s="74"/>
      <c r="K12" s="75"/>
      <c r="L12" s="12"/>
    </row>
    <row r="13" spans="1:12" ht="15.6" customHeight="1">
      <c r="A13" s="11">
        <v>3</v>
      </c>
      <c r="B13" s="80" t="s">
        <v>155</v>
      </c>
      <c r="C13" s="81"/>
      <c r="D13" s="3" t="s">
        <v>146</v>
      </c>
      <c r="E13" s="41">
        <v>132</v>
      </c>
      <c r="F13" s="41"/>
      <c r="G13" s="41">
        <v>15</v>
      </c>
      <c r="H13" s="76"/>
      <c r="I13" s="77"/>
      <c r="J13" s="74"/>
      <c r="K13" s="75"/>
      <c r="L13" s="12"/>
    </row>
    <row r="14" spans="1:12" ht="15.6" customHeight="1">
      <c r="A14" s="11">
        <v>4</v>
      </c>
      <c r="B14" s="80" t="s">
        <v>155</v>
      </c>
      <c r="C14" s="81"/>
      <c r="D14" s="3" t="s">
        <v>146</v>
      </c>
      <c r="E14" s="41">
        <v>140</v>
      </c>
      <c r="F14" s="41"/>
      <c r="G14" s="41">
        <v>16</v>
      </c>
      <c r="H14" s="76"/>
      <c r="I14" s="77"/>
      <c r="J14" s="74"/>
      <c r="K14" s="75"/>
      <c r="L14" s="12"/>
    </row>
    <row r="15" spans="1:12" ht="15.6" customHeight="1">
      <c r="A15" s="11">
        <v>5</v>
      </c>
      <c r="B15" s="80" t="s">
        <v>155</v>
      </c>
      <c r="C15" s="81"/>
      <c r="D15" s="7" t="s">
        <v>146</v>
      </c>
      <c r="E15" s="42">
        <v>128</v>
      </c>
      <c r="F15" s="41"/>
      <c r="G15" s="41">
        <v>15</v>
      </c>
      <c r="H15" s="76"/>
      <c r="I15" s="77"/>
      <c r="J15" s="74"/>
      <c r="K15" s="75"/>
      <c r="L15" s="12"/>
    </row>
    <row r="16" spans="1:12" ht="15.6" customHeight="1">
      <c r="A16" s="11">
        <v>6</v>
      </c>
      <c r="B16" s="80" t="s">
        <v>156</v>
      </c>
      <c r="C16" s="81"/>
      <c r="D16" s="4" t="s">
        <v>147</v>
      </c>
      <c r="E16" s="41">
        <v>72</v>
      </c>
      <c r="F16" s="42"/>
      <c r="G16" s="42">
        <v>12</v>
      </c>
      <c r="H16" s="78"/>
      <c r="I16" s="79"/>
      <c r="J16" s="74"/>
      <c r="K16" s="75"/>
      <c r="L16" s="12"/>
    </row>
    <row r="17" spans="1:12" ht="15.6" customHeight="1">
      <c r="A17" s="11">
        <v>7</v>
      </c>
      <c r="B17" s="80" t="s">
        <v>157</v>
      </c>
      <c r="C17" s="81"/>
      <c r="D17" s="7" t="s">
        <v>148</v>
      </c>
      <c r="E17" s="41">
        <v>55</v>
      </c>
      <c r="F17" s="42"/>
      <c r="G17" s="42">
        <v>10</v>
      </c>
      <c r="H17" s="78"/>
      <c r="I17" s="79"/>
      <c r="J17" s="74"/>
      <c r="K17" s="75"/>
      <c r="L17" s="12"/>
    </row>
    <row r="18" spans="1:12" ht="15.6" customHeight="1">
      <c r="A18" s="11">
        <v>8</v>
      </c>
      <c r="B18" s="80" t="s">
        <v>157</v>
      </c>
      <c r="C18" s="81"/>
      <c r="D18" s="3" t="s">
        <v>148</v>
      </c>
      <c r="E18" s="41">
        <v>45</v>
      </c>
      <c r="F18" s="42"/>
      <c r="G18" s="42">
        <v>7</v>
      </c>
      <c r="H18" s="78"/>
      <c r="I18" s="79"/>
      <c r="J18" s="74"/>
      <c r="K18" s="75"/>
      <c r="L18" s="12"/>
    </row>
    <row r="19" spans="1:12" ht="15.75">
      <c r="A19" s="11">
        <v>9</v>
      </c>
      <c r="B19" s="80" t="s">
        <v>158</v>
      </c>
      <c r="C19" s="81"/>
      <c r="D19" s="19" t="s">
        <v>149</v>
      </c>
      <c r="E19" s="41">
        <v>80</v>
      </c>
      <c r="F19" s="42"/>
      <c r="G19" s="42">
        <v>13</v>
      </c>
      <c r="H19" s="78"/>
      <c r="I19" s="79"/>
      <c r="J19" s="74"/>
      <c r="K19" s="75"/>
      <c r="L19" s="12"/>
    </row>
    <row r="20" spans="1:12" ht="15.6" customHeight="1">
      <c r="A20" s="11">
        <v>10</v>
      </c>
      <c r="B20" s="80" t="s">
        <v>157</v>
      </c>
      <c r="C20" s="81"/>
      <c r="D20" s="4" t="s">
        <v>148</v>
      </c>
      <c r="E20" s="41">
        <v>64</v>
      </c>
      <c r="F20" s="42"/>
      <c r="G20" s="42">
        <v>11</v>
      </c>
      <c r="H20" s="78"/>
      <c r="I20" s="79"/>
      <c r="J20" s="74"/>
      <c r="K20" s="75"/>
      <c r="L20" s="12"/>
    </row>
    <row r="21" spans="1:12" ht="15.6" customHeight="1">
      <c r="A21" s="11">
        <v>11</v>
      </c>
      <c r="B21" s="80" t="s">
        <v>156</v>
      </c>
      <c r="C21" s="81"/>
      <c r="D21" s="7" t="s">
        <v>147</v>
      </c>
      <c r="E21" s="41">
        <v>98</v>
      </c>
      <c r="F21" s="42"/>
      <c r="G21" s="42">
        <v>14</v>
      </c>
      <c r="H21" s="78"/>
      <c r="I21" s="79"/>
      <c r="J21" s="74"/>
      <c r="K21" s="75"/>
      <c r="L21" s="12"/>
    </row>
    <row r="22" spans="1:12" ht="15.6" customHeight="1">
      <c r="A22" s="11">
        <v>12</v>
      </c>
      <c r="B22" s="80" t="s">
        <v>156</v>
      </c>
      <c r="C22" s="81"/>
      <c r="D22" s="7" t="s">
        <v>147</v>
      </c>
      <c r="E22" s="41">
        <v>64</v>
      </c>
      <c r="F22" s="42"/>
      <c r="G22" s="42">
        <v>12</v>
      </c>
      <c r="H22" s="78"/>
      <c r="I22" s="79"/>
      <c r="J22" s="74"/>
      <c r="K22" s="75"/>
      <c r="L22" s="12"/>
    </row>
    <row r="23" spans="1:12" ht="15.6" customHeight="1">
      <c r="A23" s="11">
        <v>13</v>
      </c>
      <c r="B23" s="80" t="s">
        <v>157</v>
      </c>
      <c r="C23" s="81"/>
      <c r="D23" s="3" t="s">
        <v>148</v>
      </c>
      <c r="E23" s="41">
        <v>47</v>
      </c>
      <c r="F23" s="42"/>
      <c r="G23" s="42">
        <v>7</v>
      </c>
      <c r="H23" s="78"/>
      <c r="I23" s="79"/>
      <c r="J23" s="74"/>
      <c r="K23" s="75"/>
      <c r="L23" s="12"/>
    </row>
    <row r="24" spans="1:12" ht="15.6" customHeight="1">
      <c r="A24" s="11">
        <v>14</v>
      </c>
      <c r="B24" s="80" t="s">
        <v>159</v>
      </c>
      <c r="C24" s="81"/>
      <c r="D24" s="3" t="s">
        <v>150</v>
      </c>
      <c r="E24" s="41">
        <v>148</v>
      </c>
      <c r="F24" s="42"/>
      <c r="G24" s="42">
        <v>16</v>
      </c>
      <c r="H24" s="78"/>
      <c r="I24" s="79"/>
      <c r="J24" s="74"/>
      <c r="K24" s="75"/>
      <c r="L24" s="12"/>
    </row>
    <row r="25" spans="1:12" ht="15.6" customHeight="1">
      <c r="A25" s="11">
        <v>15</v>
      </c>
      <c r="B25" s="80" t="s">
        <v>154</v>
      </c>
      <c r="C25" s="81"/>
      <c r="D25" s="4" t="s">
        <v>145</v>
      </c>
      <c r="E25" s="41">
        <v>35</v>
      </c>
      <c r="F25" s="42"/>
      <c r="G25" s="42">
        <v>7</v>
      </c>
      <c r="H25" s="78"/>
      <c r="I25" s="79"/>
      <c r="J25" s="74"/>
      <c r="K25" s="75"/>
      <c r="L25" s="12"/>
    </row>
    <row r="26" spans="1:12" ht="15.6" customHeight="1">
      <c r="A26" s="11">
        <v>16</v>
      </c>
      <c r="B26" s="80" t="s">
        <v>157</v>
      </c>
      <c r="C26" s="81"/>
      <c r="D26" s="4" t="s">
        <v>148</v>
      </c>
      <c r="E26" s="41">
        <v>64</v>
      </c>
      <c r="F26" s="42"/>
      <c r="G26" s="42">
        <v>10</v>
      </c>
      <c r="H26" s="78"/>
      <c r="I26" s="79"/>
      <c r="J26" s="74"/>
      <c r="K26" s="75"/>
      <c r="L26" s="12"/>
    </row>
    <row r="27" spans="1:12" ht="15.6" customHeight="1">
      <c r="A27" s="11">
        <v>17</v>
      </c>
      <c r="B27" s="80" t="s">
        <v>155</v>
      </c>
      <c r="C27" s="81"/>
      <c r="D27" s="4" t="s">
        <v>146</v>
      </c>
      <c r="E27" s="41">
        <v>56</v>
      </c>
      <c r="F27" s="42"/>
      <c r="G27" s="42">
        <v>9</v>
      </c>
      <c r="H27" s="78"/>
      <c r="I27" s="79"/>
      <c r="J27" s="74"/>
      <c r="K27" s="75"/>
      <c r="L27" s="12"/>
    </row>
    <row r="28" spans="1:12" ht="15.6" customHeight="1">
      <c r="A28" s="11">
        <v>18</v>
      </c>
      <c r="B28" s="80" t="s">
        <v>155</v>
      </c>
      <c r="C28" s="81"/>
      <c r="D28" s="3" t="s">
        <v>146</v>
      </c>
      <c r="E28" s="41">
        <v>130</v>
      </c>
      <c r="F28" s="42"/>
      <c r="G28" s="42">
        <v>16</v>
      </c>
      <c r="H28" s="78"/>
      <c r="I28" s="79"/>
      <c r="J28" s="74"/>
      <c r="K28" s="75"/>
      <c r="L28" s="12"/>
    </row>
    <row r="29" spans="1:12" ht="15.6" customHeight="1">
      <c r="A29" s="11">
        <v>19</v>
      </c>
      <c r="B29" s="80" t="s">
        <v>157</v>
      </c>
      <c r="C29" s="81"/>
      <c r="D29" s="8" t="s">
        <v>148</v>
      </c>
      <c r="E29" s="41">
        <v>45</v>
      </c>
      <c r="F29" s="42"/>
      <c r="G29" s="42">
        <v>6</v>
      </c>
      <c r="H29" s="78"/>
      <c r="I29" s="79"/>
      <c r="J29" s="74"/>
      <c r="K29" s="75"/>
      <c r="L29" s="12"/>
    </row>
    <row r="30" spans="1:12" ht="15.6" customHeight="1">
      <c r="A30" s="11">
        <v>20</v>
      </c>
      <c r="B30" s="80" t="s">
        <v>160</v>
      </c>
      <c r="C30" s="81"/>
      <c r="D30" s="7" t="s">
        <v>151</v>
      </c>
      <c r="E30" s="41">
        <v>64</v>
      </c>
      <c r="F30" s="42"/>
      <c r="G30" s="42">
        <v>10</v>
      </c>
      <c r="H30" s="78"/>
      <c r="I30" s="79"/>
      <c r="J30" s="74"/>
      <c r="K30" s="75"/>
      <c r="L30" s="12"/>
    </row>
    <row r="31" spans="1:12" ht="15.6" customHeight="1">
      <c r="A31" s="11">
        <v>21</v>
      </c>
      <c r="B31" s="80" t="s">
        <v>157</v>
      </c>
      <c r="C31" s="81"/>
      <c r="D31" s="8" t="s">
        <v>148</v>
      </c>
      <c r="E31" s="41">
        <v>52</v>
      </c>
      <c r="F31" s="42"/>
      <c r="G31" s="42">
        <v>10</v>
      </c>
      <c r="H31" s="78"/>
      <c r="I31" s="79"/>
      <c r="J31" s="74"/>
      <c r="K31" s="75"/>
      <c r="L31" s="12"/>
    </row>
    <row r="32" spans="1:12" ht="15.6" customHeight="1">
      <c r="A32" s="11">
        <v>22</v>
      </c>
      <c r="B32" s="80" t="s">
        <v>152</v>
      </c>
      <c r="C32" s="81"/>
      <c r="D32" s="8"/>
      <c r="E32" s="41">
        <v>68</v>
      </c>
      <c r="F32" s="42"/>
      <c r="G32" s="42">
        <v>10</v>
      </c>
      <c r="H32" s="78"/>
      <c r="I32" s="79"/>
      <c r="J32" s="74"/>
      <c r="K32" s="75"/>
      <c r="L32" s="12"/>
    </row>
    <row r="33" spans="1:12" ht="15.6" customHeight="1">
      <c r="A33" s="11">
        <v>23</v>
      </c>
      <c r="B33" s="80" t="s">
        <v>154</v>
      </c>
      <c r="C33" s="81"/>
      <c r="D33" s="4" t="s">
        <v>145</v>
      </c>
      <c r="E33" s="41">
        <v>40</v>
      </c>
      <c r="F33" s="42"/>
      <c r="G33" s="42">
        <v>9</v>
      </c>
      <c r="H33" s="78"/>
      <c r="I33" s="79"/>
      <c r="J33" s="74"/>
      <c r="K33" s="75"/>
      <c r="L33" s="12"/>
    </row>
    <row r="34" spans="1:12" ht="15.6" customHeight="1">
      <c r="A34" s="11">
        <v>24</v>
      </c>
      <c r="B34" s="80" t="s">
        <v>155</v>
      </c>
      <c r="C34" s="81"/>
      <c r="D34" s="4" t="s">
        <v>146</v>
      </c>
      <c r="E34" s="41">
        <v>164</v>
      </c>
      <c r="F34" s="42"/>
      <c r="G34" s="42">
        <v>16</v>
      </c>
      <c r="H34" s="78"/>
      <c r="I34" s="79"/>
      <c r="J34" s="74"/>
      <c r="K34" s="75"/>
      <c r="L34" s="12"/>
    </row>
  </sheetData>
  <mergeCells count="97">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6" sqref="F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5">
        <v>1</v>
      </c>
      <c r="B9" s="142" t="s">
        <v>161</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A15" sqref="A15:I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10">
        <f>'Form 1'!C9</f>
        <v>99</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174</v>
      </c>
      <c r="C5" s="4" t="s">
        <v>162</v>
      </c>
      <c r="D5" s="4"/>
      <c r="E5" s="4">
        <v>32.200000000000003</v>
      </c>
      <c r="F5" s="42">
        <v>1.5</v>
      </c>
      <c r="G5" s="23"/>
      <c r="H5" s="23"/>
      <c r="I5" s="23"/>
    </row>
    <row r="6" spans="1:9" ht="15.75">
      <c r="A6" s="25"/>
      <c r="B6" s="26"/>
      <c r="C6" s="27"/>
      <c r="D6" s="28"/>
      <c r="E6" s="28"/>
      <c r="F6" s="28"/>
      <c r="G6" s="25"/>
      <c r="H6" s="25"/>
      <c r="I6" s="25"/>
    </row>
    <row r="7" spans="1:9" ht="21">
      <c r="A7" s="124" t="s">
        <v>88</v>
      </c>
      <c r="B7" s="124"/>
      <c r="C7" s="124"/>
      <c r="D7" s="124"/>
      <c r="E7" s="124"/>
      <c r="F7" s="124"/>
      <c r="G7" s="124"/>
      <c r="H7" s="124"/>
      <c r="I7" s="124"/>
    </row>
    <row r="8" spans="1:9" ht="15.75">
      <c r="A8" s="132"/>
      <c r="B8" s="132"/>
      <c r="H8" t="s">
        <v>83</v>
      </c>
      <c r="I8" s="10">
        <f>'Form 1'!C9</f>
        <v>99</v>
      </c>
    </row>
    <row r="9" spans="1:9" ht="15.75" customHeight="1">
      <c r="A9" s="105" t="s">
        <v>10</v>
      </c>
      <c r="B9" s="105" t="s">
        <v>11</v>
      </c>
      <c r="C9" s="105" t="s">
        <v>12</v>
      </c>
      <c r="D9" s="105" t="s">
        <v>84</v>
      </c>
      <c r="E9" s="130" t="s">
        <v>108</v>
      </c>
      <c r="F9" s="105" t="s">
        <v>85</v>
      </c>
      <c r="G9" s="105" t="s">
        <v>15</v>
      </c>
      <c r="H9" s="105"/>
      <c r="I9" s="130" t="s">
        <v>86</v>
      </c>
    </row>
    <row r="10" spans="1:9" ht="63">
      <c r="A10" s="105"/>
      <c r="B10" s="105"/>
      <c r="C10" s="105"/>
      <c r="D10" s="105"/>
      <c r="E10" s="131"/>
      <c r="F10" s="105"/>
      <c r="G10" s="20" t="s">
        <v>87</v>
      </c>
      <c r="H10" s="20" t="s">
        <v>19</v>
      </c>
      <c r="I10" s="131"/>
    </row>
    <row r="11" spans="1:9" ht="15.75">
      <c r="A11" s="23">
        <v>1</v>
      </c>
      <c r="B11" s="46" t="s">
        <v>174</v>
      </c>
      <c r="C11" s="3" t="s">
        <v>162</v>
      </c>
      <c r="D11" s="41"/>
      <c r="E11" s="43">
        <v>24.3</v>
      </c>
      <c r="F11" s="41">
        <v>2</v>
      </c>
      <c r="G11" s="23"/>
      <c r="H11" s="23"/>
      <c r="I11" s="29"/>
    </row>
    <row r="12" spans="1:9" ht="15.75">
      <c r="A12" s="23">
        <v>2</v>
      </c>
      <c r="B12" s="24" t="s">
        <v>157</v>
      </c>
      <c r="C12" s="3" t="s">
        <v>148</v>
      </c>
      <c r="D12" s="41"/>
      <c r="E12" s="43">
        <v>31.9</v>
      </c>
      <c r="F12" s="41">
        <v>2.5</v>
      </c>
      <c r="G12" s="23"/>
      <c r="H12" s="23"/>
      <c r="I12" s="29"/>
    </row>
    <row r="13" spans="1:9" ht="15.75">
      <c r="A13" s="23">
        <v>3</v>
      </c>
      <c r="B13" s="24" t="s">
        <v>157</v>
      </c>
      <c r="C13" s="3" t="s">
        <v>148</v>
      </c>
      <c r="D13" s="41"/>
      <c r="E13" s="43">
        <v>32.700000000000003</v>
      </c>
      <c r="F13" s="41">
        <v>2</v>
      </c>
      <c r="G13" s="23"/>
      <c r="H13" s="23"/>
      <c r="I13" s="29"/>
    </row>
    <row r="15" spans="1:9" ht="21">
      <c r="A15" s="124" t="s">
        <v>89</v>
      </c>
      <c r="B15" s="124"/>
      <c r="C15" s="124"/>
      <c r="D15" s="124"/>
      <c r="E15" s="124"/>
      <c r="F15" s="124"/>
      <c r="G15" s="124"/>
      <c r="H15" s="124"/>
      <c r="I15" s="124"/>
    </row>
    <row r="16" spans="1:9" ht="15.75">
      <c r="A16" s="132"/>
      <c r="B16" s="132"/>
      <c r="H16" s="10" t="s">
        <v>83</v>
      </c>
      <c r="I16" s="10">
        <f>'Form 1'!C9</f>
        <v>99</v>
      </c>
    </row>
    <row r="17" spans="1:9" ht="15.75" customHeight="1">
      <c r="A17" s="105" t="s">
        <v>10</v>
      </c>
      <c r="B17" s="105" t="s">
        <v>11</v>
      </c>
      <c r="C17" s="105" t="s">
        <v>12</v>
      </c>
      <c r="D17" s="105" t="s">
        <v>84</v>
      </c>
      <c r="E17" s="130" t="s">
        <v>108</v>
      </c>
      <c r="F17" s="105" t="s">
        <v>85</v>
      </c>
      <c r="G17" s="105" t="s">
        <v>15</v>
      </c>
      <c r="H17" s="105"/>
      <c r="I17" s="130" t="s">
        <v>86</v>
      </c>
    </row>
    <row r="18" spans="1:9" ht="63">
      <c r="A18" s="105"/>
      <c r="B18" s="105"/>
      <c r="C18" s="105"/>
      <c r="D18" s="105"/>
      <c r="E18" s="131"/>
      <c r="F18" s="105"/>
      <c r="G18" s="20" t="s">
        <v>87</v>
      </c>
      <c r="H18" s="20" t="s">
        <v>19</v>
      </c>
      <c r="I18" s="131"/>
    </row>
    <row r="19" spans="1:9" ht="15.6" customHeight="1">
      <c r="A19" s="23">
        <v>1</v>
      </c>
      <c r="B19" s="46" t="s">
        <v>174</v>
      </c>
      <c r="C19" s="3" t="s">
        <v>162</v>
      </c>
      <c r="D19" s="41"/>
      <c r="E19" s="3">
        <v>28.2</v>
      </c>
      <c r="F19" s="41">
        <v>2</v>
      </c>
      <c r="G19" s="23"/>
      <c r="H19" s="23"/>
      <c r="I19" s="23"/>
    </row>
    <row r="20" spans="1:9" ht="15.6" customHeight="1">
      <c r="A20" s="23">
        <v>2</v>
      </c>
      <c r="B20" s="24" t="s">
        <v>175</v>
      </c>
      <c r="C20" s="3" t="s">
        <v>169</v>
      </c>
      <c r="D20" s="41"/>
      <c r="E20" s="3">
        <v>32.700000000000003</v>
      </c>
      <c r="F20" s="41">
        <v>2.5</v>
      </c>
      <c r="G20" s="23"/>
      <c r="H20" s="23"/>
      <c r="I20" s="23"/>
    </row>
    <row r="21" spans="1:9" ht="15.6" customHeight="1">
      <c r="A21" s="23">
        <v>3</v>
      </c>
      <c r="B21" s="24" t="s">
        <v>157</v>
      </c>
      <c r="C21" s="3" t="s">
        <v>148</v>
      </c>
      <c r="D21" s="41"/>
      <c r="E21" s="3">
        <v>20.100000000000001</v>
      </c>
      <c r="F21" s="41">
        <v>1</v>
      </c>
      <c r="G21" s="23"/>
      <c r="H21" s="23"/>
      <c r="I21" s="23"/>
    </row>
    <row r="22" spans="1:9" ht="15.6" customHeight="1">
      <c r="A22" s="23">
        <v>4</v>
      </c>
      <c r="B22" s="46" t="s">
        <v>174</v>
      </c>
      <c r="C22" s="3" t="s">
        <v>162</v>
      </c>
      <c r="D22" s="41"/>
      <c r="E22" s="3">
        <v>20.100000000000001</v>
      </c>
      <c r="F22" s="41">
        <v>1</v>
      </c>
      <c r="G22" s="23"/>
      <c r="H22" s="23"/>
      <c r="I22" s="23"/>
    </row>
    <row r="23" spans="1:9" ht="15.75">
      <c r="D23" s="28"/>
      <c r="F23" s="30"/>
    </row>
    <row r="24" spans="1:9" ht="21">
      <c r="A24" s="124" t="s">
        <v>90</v>
      </c>
      <c r="B24" s="124"/>
      <c r="C24" s="124"/>
      <c r="D24" s="124"/>
      <c r="E24" s="124"/>
      <c r="F24" s="124"/>
      <c r="G24" s="124"/>
      <c r="H24" s="124"/>
      <c r="I24" s="124"/>
    </row>
    <row r="25" spans="1:9">
      <c r="A25" s="129"/>
      <c r="B25" s="129"/>
      <c r="H25" t="s">
        <v>83</v>
      </c>
      <c r="I25" s="10">
        <f>'Form 1'!C9</f>
        <v>99</v>
      </c>
    </row>
    <row r="26" spans="1:9" ht="15.75" customHeight="1">
      <c r="A26" s="105" t="s">
        <v>10</v>
      </c>
      <c r="B26" s="105" t="s">
        <v>11</v>
      </c>
      <c r="C26" s="105" t="s">
        <v>12</v>
      </c>
      <c r="D26" s="105" t="s">
        <v>84</v>
      </c>
      <c r="E26" s="130" t="s">
        <v>108</v>
      </c>
      <c r="F26" s="105" t="s">
        <v>85</v>
      </c>
      <c r="G26" s="105" t="s">
        <v>15</v>
      </c>
      <c r="H26" s="105"/>
      <c r="I26" s="105" t="s">
        <v>86</v>
      </c>
    </row>
    <row r="27" spans="1:9" ht="63">
      <c r="A27" s="105"/>
      <c r="B27" s="105"/>
      <c r="C27" s="105"/>
      <c r="D27" s="105"/>
      <c r="E27" s="131"/>
      <c r="F27" s="105"/>
      <c r="G27" s="39" t="s">
        <v>87</v>
      </c>
      <c r="H27" s="39" t="s">
        <v>19</v>
      </c>
      <c r="I27" s="105"/>
    </row>
    <row r="28" spans="1:9" ht="17.25" customHeight="1">
      <c r="A28" s="23">
        <v>1</v>
      </c>
      <c r="B28" s="46" t="s">
        <v>174</v>
      </c>
      <c r="C28" s="3" t="s">
        <v>162</v>
      </c>
      <c r="D28" s="44"/>
      <c r="E28" s="45">
        <v>20.100000000000001</v>
      </c>
      <c r="F28" s="44">
        <v>1</v>
      </c>
      <c r="G28" s="23"/>
      <c r="H28" s="23"/>
      <c r="I28" s="23"/>
    </row>
    <row r="29" spans="1:9" ht="17.25" customHeight="1">
      <c r="A29" s="23">
        <v>2</v>
      </c>
      <c r="B29" s="46" t="s">
        <v>155</v>
      </c>
      <c r="C29" s="3" t="s">
        <v>146</v>
      </c>
      <c r="D29" s="44"/>
      <c r="E29" s="45">
        <v>20.100000000000001</v>
      </c>
      <c r="F29" s="44">
        <v>1</v>
      </c>
      <c r="G29" s="23"/>
      <c r="H29" s="23"/>
      <c r="I29" s="23"/>
    </row>
    <row r="30" spans="1:9" ht="17.25" customHeight="1">
      <c r="A30" s="23">
        <v>3</v>
      </c>
      <c r="B30" s="46" t="s">
        <v>155</v>
      </c>
      <c r="C30" s="3" t="s">
        <v>146</v>
      </c>
      <c r="D30" s="44"/>
      <c r="E30" s="45">
        <v>22.5</v>
      </c>
      <c r="F30" s="44">
        <v>1.5</v>
      </c>
      <c r="G30" s="23"/>
      <c r="H30" s="23"/>
      <c r="I30"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5:I15"/>
    <mergeCell ref="A16:B16"/>
    <mergeCell ref="A17:A18"/>
    <mergeCell ref="B17:B18"/>
    <mergeCell ref="C17:C18"/>
    <mergeCell ref="D17:D18"/>
    <mergeCell ref="E17:E18"/>
    <mergeCell ref="F17:F18"/>
    <mergeCell ref="G17:H17"/>
    <mergeCell ref="I17:I18"/>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opLeftCell="A16" workbookViewId="0">
      <selection activeCell="B26" sqref="B26"/>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99</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33" t="s">
        <v>172</v>
      </c>
      <c r="C6" s="3" t="s">
        <v>146</v>
      </c>
      <c r="D6" s="41">
        <v>25</v>
      </c>
      <c r="E6" s="23"/>
      <c r="F6" s="31"/>
      <c r="G6" s="23"/>
    </row>
    <row r="7" spans="1:7" ht="15.75">
      <c r="A7" s="23">
        <v>2</v>
      </c>
      <c r="B7" s="24" t="s">
        <v>173</v>
      </c>
      <c r="C7" s="3" t="s">
        <v>170</v>
      </c>
      <c r="D7" s="41">
        <v>10</v>
      </c>
      <c r="E7" s="23"/>
      <c r="F7" s="23"/>
      <c r="G7" s="23"/>
    </row>
    <row r="8" spans="1:7" ht="15.75">
      <c r="A8" s="23">
        <v>3</v>
      </c>
      <c r="B8" s="33" t="s">
        <v>174</v>
      </c>
      <c r="C8" s="3" t="s">
        <v>162</v>
      </c>
      <c r="D8" s="41">
        <v>13</v>
      </c>
      <c r="E8" s="23"/>
      <c r="F8" s="40"/>
      <c r="G8" s="23"/>
    </row>
    <row r="9" spans="1:7" ht="15.75">
      <c r="A9" s="23">
        <v>4</v>
      </c>
      <c r="B9" s="24" t="s">
        <v>174</v>
      </c>
      <c r="C9" s="3" t="s">
        <v>162</v>
      </c>
      <c r="D9" s="41">
        <v>40</v>
      </c>
      <c r="E9" s="23"/>
      <c r="F9" s="23"/>
      <c r="G9" s="23"/>
    </row>
    <row r="10" spans="1:7" ht="15.75">
      <c r="A10" s="23">
        <v>5</v>
      </c>
      <c r="B10" s="46" t="s">
        <v>174</v>
      </c>
      <c r="C10" s="3" t="s">
        <v>162</v>
      </c>
      <c r="D10" s="41">
        <v>22</v>
      </c>
      <c r="E10" s="23"/>
      <c r="F10" s="40"/>
      <c r="G10" s="23"/>
    </row>
    <row r="11" spans="1:7" ht="15.75">
      <c r="A11" s="23">
        <v>6</v>
      </c>
      <c r="B11" s="24" t="s">
        <v>174</v>
      </c>
      <c r="C11" s="3" t="s">
        <v>162</v>
      </c>
      <c r="D11" s="41">
        <v>35</v>
      </c>
      <c r="E11" s="23"/>
      <c r="F11" s="23"/>
      <c r="G11" s="23"/>
    </row>
    <row r="12" spans="1:7" ht="15.75">
      <c r="A12" s="23">
        <v>7</v>
      </c>
      <c r="B12" s="24" t="s">
        <v>174</v>
      </c>
      <c r="C12" s="3" t="s">
        <v>162</v>
      </c>
      <c r="D12" s="41">
        <v>12</v>
      </c>
      <c r="E12" s="23"/>
      <c r="F12" s="40"/>
      <c r="G12" s="23"/>
    </row>
    <row r="13" spans="1:7" ht="15.75">
      <c r="A13" s="23">
        <v>8</v>
      </c>
      <c r="B13" s="24" t="s">
        <v>174</v>
      </c>
      <c r="C13" s="3" t="s">
        <v>162</v>
      </c>
      <c r="D13" s="41">
        <v>10</v>
      </c>
      <c r="E13" s="23"/>
      <c r="F13" s="23"/>
      <c r="G13" s="23"/>
    </row>
    <row r="14" spans="1:7" ht="15.75">
      <c r="A14" s="110" t="s">
        <v>103</v>
      </c>
      <c r="B14" s="137"/>
      <c r="C14" s="137"/>
      <c r="D14" s="137"/>
      <c r="E14" s="137"/>
      <c r="F14" s="137"/>
      <c r="G14" s="111"/>
    </row>
    <row r="15" spans="1:7" ht="15.75">
      <c r="A15" s="23">
        <v>1</v>
      </c>
      <c r="B15" s="134" t="s">
        <v>104</v>
      </c>
      <c r="C15" s="135"/>
      <c r="D15" s="135"/>
      <c r="E15" s="135"/>
      <c r="F15" s="136"/>
      <c r="G15" s="3" t="s">
        <v>163</v>
      </c>
    </row>
    <row r="16" spans="1:7" ht="15.75">
      <c r="A16" s="23">
        <v>2</v>
      </c>
      <c r="B16" s="134" t="s">
        <v>105</v>
      </c>
      <c r="C16" s="135"/>
      <c r="D16" s="135"/>
      <c r="E16" s="135"/>
      <c r="F16" s="136"/>
      <c r="G16" s="3" t="s">
        <v>161</v>
      </c>
    </row>
    <row r="17" spans="1:12" ht="15.75">
      <c r="A17" s="23">
        <v>3</v>
      </c>
      <c r="B17" s="134" t="s">
        <v>106</v>
      </c>
      <c r="C17" s="135"/>
      <c r="D17" s="135"/>
      <c r="E17" s="135"/>
      <c r="F17" s="136"/>
      <c r="G17" s="3" t="s">
        <v>164</v>
      </c>
    </row>
    <row r="18" spans="1:12" ht="15.75">
      <c r="A18" s="23">
        <v>4</v>
      </c>
      <c r="B18" s="134" t="s">
        <v>107</v>
      </c>
      <c r="C18" s="135"/>
      <c r="D18" s="135"/>
      <c r="E18" s="135"/>
      <c r="F18" s="136"/>
      <c r="G18" s="3" t="s">
        <v>165</v>
      </c>
    </row>
    <row r="19" spans="1:12" ht="15.75">
      <c r="A19" s="25"/>
      <c r="B19" s="35"/>
      <c r="C19" s="35"/>
      <c r="D19" s="25"/>
      <c r="E19" s="25"/>
      <c r="F19" s="25"/>
      <c r="G19" s="25"/>
      <c r="L19" s="34"/>
    </row>
    <row r="20" spans="1:12" s="36" customFormat="1" ht="19.899999999999999" customHeight="1">
      <c r="A20" s="139" t="s">
        <v>98</v>
      </c>
      <c r="B20" s="139"/>
      <c r="C20" s="139"/>
      <c r="D20" s="139"/>
      <c r="E20" s="139"/>
      <c r="F20" s="139"/>
      <c r="G20" s="139"/>
      <c r="L20" s="34"/>
    </row>
    <row r="21" spans="1:12" ht="15.75">
      <c r="A21" s="36"/>
      <c r="B21" s="36"/>
      <c r="C21" s="36"/>
      <c r="D21" s="36"/>
      <c r="E21" s="36"/>
      <c r="F21" t="s">
        <v>83</v>
      </c>
      <c r="G21" s="10">
        <f>'Form 1'!C9</f>
        <v>99</v>
      </c>
      <c r="L21" s="34"/>
    </row>
    <row r="22" spans="1:12" ht="15.75" customHeight="1">
      <c r="A22" s="130" t="s">
        <v>10</v>
      </c>
      <c r="B22" s="130" t="s">
        <v>11</v>
      </c>
      <c r="C22" s="130" t="s">
        <v>12</v>
      </c>
      <c r="D22" s="130" t="s">
        <v>99</v>
      </c>
      <c r="E22" s="110" t="s">
        <v>15</v>
      </c>
      <c r="F22" s="111"/>
      <c r="G22" s="130" t="s">
        <v>100</v>
      </c>
      <c r="L22" s="34"/>
    </row>
    <row r="23" spans="1:12" ht="31.5">
      <c r="A23" s="138"/>
      <c r="B23" s="138"/>
      <c r="C23" s="138"/>
      <c r="D23" s="138"/>
      <c r="E23" s="31" t="s">
        <v>94</v>
      </c>
      <c r="F23" s="31" t="s">
        <v>95</v>
      </c>
      <c r="G23" s="138"/>
      <c r="L23" s="34"/>
    </row>
    <row r="24" spans="1:12" ht="15.75">
      <c r="A24" s="131"/>
      <c r="B24" s="131"/>
      <c r="C24" s="131"/>
      <c r="D24" s="131"/>
      <c r="E24" s="32" t="s">
        <v>96</v>
      </c>
      <c r="F24" s="32" t="s">
        <v>97</v>
      </c>
      <c r="G24" s="131"/>
      <c r="L24" s="34"/>
    </row>
    <row r="25" spans="1:12" ht="15.75">
      <c r="A25" s="23">
        <v>1</v>
      </c>
      <c r="B25" s="46" t="s">
        <v>176</v>
      </c>
      <c r="C25" s="3" t="s">
        <v>171</v>
      </c>
      <c r="D25" s="41">
        <v>40</v>
      </c>
      <c r="E25" s="23"/>
      <c r="F25" s="23"/>
      <c r="G25" s="23"/>
      <c r="L25" s="34"/>
    </row>
    <row r="26" spans="1:12" ht="15.75">
      <c r="A26" s="23">
        <v>2</v>
      </c>
      <c r="B26" s="46" t="s">
        <v>174</v>
      </c>
      <c r="C26" s="3" t="s">
        <v>162</v>
      </c>
      <c r="D26" s="41">
        <v>40</v>
      </c>
      <c r="E26" s="23"/>
      <c r="F26" s="23"/>
      <c r="G26" s="23"/>
      <c r="L26" s="34"/>
    </row>
    <row r="27" spans="1:12" ht="15.75">
      <c r="A27" s="23">
        <v>3</v>
      </c>
      <c r="B27" s="46" t="s">
        <v>174</v>
      </c>
      <c r="C27" s="3" t="s">
        <v>162</v>
      </c>
      <c r="D27" s="41">
        <v>35</v>
      </c>
      <c r="E27" s="23"/>
      <c r="F27" s="23"/>
      <c r="G27" s="23"/>
      <c r="L27" s="34"/>
    </row>
    <row r="28" spans="1:12" ht="15.75">
      <c r="A28" s="23">
        <v>4</v>
      </c>
      <c r="B28" s="46" t="s">
        <v>174</v>
      </c>
      <c r="C28" s="3" t="s">
        <v>162</v>
      </c>
      <c r="D28" s="41">
        <v>12</v>
      </c>
      <c r="E28" s="23"/>
      <c r="F28" s="23"/>
      <c r="G28" s="23"/>
      <c r="L28" s="34"/>
    </row>
    <row r="29" spans="1:12" ht="15.75">
      <c r="A29" s="110" t="s">
        <v>103</v>
      </c>
      <c r="B29" s="137"/>
      <c r="C29" s="137"/>
      <c r="D29" s="137"/>
      <c r="E29" s="137"/>
      <c r="F29" s="137"/>
      <c r="G29" s="111"/>
    </row>
    <row r="30" spans="1:12" ht="15.75">
      <c r="A30" s="23">
        <v>1</v>
      </c>
      <c r="B30" s="134" t="s">
        <v>104</v>
      </c>
      <c r="C30" s="135"/>
      <c r="D30" s="135"/>
      <c r="E30" s="135"/>
      <c r="F30" s="136"/>
      <c r="G30" s="3" t="s">
        <v>166</v>
      </c>
    </row>
    <row r="31" spans="1:12" ht="15.75">
      <c r="A31" s="23">
        <v>2</v>
      </c>
      <c r="B31" s="134" t="s">
        <v>105</v>
      </c>
      <c r="C31" s="135"/>
      <c r="D31" s="135"/>
      <c r="E31" s="135"/>
      <c r="F31" s="136"/>
      <c r="G31" s="3" t="s">
        <v>167</v>
      </c>
    </row>
    <row r="32" spans="1:12" ht="15.75">
      <c r="A32" s="23">
        <v>3</v>
      </c>
      <c r="B32" s="134" t="s">
        <v>106</v>
      </c>
      <c r="C32" s="135"/>
      <c r="D32" s="135"/>
      <c r="E32" s="135"/>
      <c r="F32" s="136"/>
      <c r="G32" s="3" t="s">
        <v>161</v>
      </c>
    </row>
    <row r="33" spans="1:7" ht="15.75">
      <c r="A33" s="23">
        <v>4</v>
      </c>
      <c r="B33" s="134" t="s">
        <v>107</v>
      </c>
      <c r="C33" s="135"/>
      <c r="D33" s="135"/>
      <c r="E33" s="135"/>
      <c r="F33" s="136"/>
      <c r="G33" s="3" t="s">
        <v>168</v>
      </c>
    </row>
  </sheetData>
  <mergeCells count="25">
    <mergeCell ref="E22:F22"/>
    <mergeCell ref="A1:G1"/>
    <mergeCell ref="A2:B2"/>
    <mergeCell ref="A3:A5"/>
    <mergeCell ref="B3:B5"/>
    <mergeCell ref="C3:C5"/>
    <mergeCell ref="D3:D5"/>
    <mergeCell ref="E3:F3"/>
    <mergeCell ref="G3:G5"/>
    <mergeCell ref="B32:F32"/>
    <mergeCell ref="B33:F33"/>
    <mergeCell ref="A14:G14"/>
    <mergeCell ref="B15:F15"/>
    <mergeCell ref="A29:G29"/>
    <mergeCell ref="B30:F30"/>
    <mergeCell ref="B31:F31"/>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2024-02-18T08:36:46Z</dcterms:modified>
</cp:coreProperties>
</file>