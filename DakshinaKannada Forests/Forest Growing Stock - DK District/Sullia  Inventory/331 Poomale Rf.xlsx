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8" i="11"/>
  <c r="I21"/>
  <c r="I10"/>
  <c r="I2"/>
  <c r="C13" i="8"/>
  <c r="C12"/>
  <c r="C11"/>
  <c r="C10"/>
  <c r="C5" i="6" s="1"/>
  <c r="C9" i="8"/>
</calcChain>
</file>

<file path=xl/sharedStrings.xml><?xml version="1.0" encoding="utf-8"?>
<sst xmlns="http://schemas.openxmlformats.org/spreadsheetml/2006/main" count="338" uniqueCount="181">
  <si>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</si>
  <si>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</si>
  <si>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</si>
  <si>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</si>
  <si>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</si>
  <si>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</si>
  <si>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</si>
  <si>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</si>
  <si>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</si>
  <si>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</si>
  <si>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</si>
  <si>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</si>
  <si>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</si>
  <si>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</si>
  <si>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</si>
  <si>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</si>
  <si>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</si>
  <si>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</si>
  <si>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</si>
  <si>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</si>
  <si>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</si>
  <si>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</si>
  <si>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</si>
  <si>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</si>
  <si>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</si>
  <si>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</si>
  <si>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</si>
  <si>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</si>
  <si>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</si>
  <si>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</si>
  <si>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</si>
  <si>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</si>
  <si>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</si>
  <si>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</si>
  <si>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</si>
  <si>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</si>
  <si>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</si>
  <si>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</si>
  <si>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</si>
  <si>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</si>
  <si>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</si>
  <si>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</si>
  <si>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</si>
  <si>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</si>
  <si>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</si>
  <si>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</si>
  <si>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</si>
  <si>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</si>
  <si>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</si>
  <si>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</si>
  <si>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</si>
  <si>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</si>
  <si>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</si>
  <si>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</si>
  <si>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</si>
  <si>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</si>
  <si>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</si>
  <si>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</si>
  <si>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</si>
  <si>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</si>
  <si>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</si>
  <si>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</si>
  <si>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</si>
  <si>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</si>
  <si>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</si>
  <si>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</si>
  <si>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</si>
  <si>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</si>
  <si>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</si>
  <si>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</si>
  <si>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</si>
  <si>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</si>
  <si>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</si>
  <si>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</si>
  <si>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</si>
  <si>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</si>
  <si>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</si>
  <si>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</si>
  <si>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</si>
  <si>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</si>
  <si>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</si>
  <si>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</si>
  <si>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</si>
  <si>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</si>
  <si>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</si>
  <si>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</si>
  <si>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</si>
  <si>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</si>
  <si>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</si>
  <si>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</si>
  <si>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</si>
  <si>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</si>
  <si>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</si>
  <si>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</si>
  <si>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</si>
  <si>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</si>
  <si>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</si>
  <si>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</si>
  <si>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</si>
  <si>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</si>
  <si>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</si>
  <si>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</si>
  <si>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</si>
  <si>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</si>
  <si>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</si>
  <si>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</si>
  <si>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</si>
  <si>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</si>
  <si>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</si>
  <si>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</si>
  <si>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</si>
  <si>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</si>
  <si>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</si>
  <si>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</si>
  <si>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Adequate</t>
  </si>
  <si>
    <t>Natural forerst</t>
  </si>
  <si>
    <t>Not Degrated</t>
  </si>
  <si>
    <t>Sulia</t>
  </si>
  <si>
    <t>Marva</t>
  </si>
  <si>
    <t>Salle</t>
  </si>
  <si>
    <t>Jambe</t>
  </si>
  <si>
    <t>Maddarasa</t>
  </si>
  <si>
    <t>Kasarka</t>
  </si>
  <si>
    <t>Agasalle</t>
  </si>
  <si>
    <t>Bannate</t>
  </si>
  <si>
    <t>Kavulu</t>
  </si>
  <si>
    <t>Galavara</t>
  </si>
  <si>
    <t>165grm</t>
  </si>
  <si>
    <t>1.6kg</t>
  </si>
  <si>
    <t>nill</t>
  </si>
  <si>
    <t>215grm</t>
  </si>
  <si>
    <t>Vaatmadike</t>
  </si>
  <si>
    <t>360grm</t>
  </si>
  <si>
    <t>785grm</t>
  </si>
  <si>
    <t>1.5kg</t>
  </si>
  <si>
    <t>240grn</t>
  </si>
  <si>
    <t>Karivala</t>
  </si>
  <si>
    <t>2..5</t>
  </si>
  <si>
    <t>Kaalmenasu</t>
  </si>
  <si>
    <t>climber</t>
  </si>
  <si>
    <t>seege</t>
  </si>
  <si>
    <t>Terminalea paniculata</t>
  </si>
  <si>
    <t>Aporosa lindleyana</t>
  </si>
  <si>
    <t>Xylea xylocarpa</t>
  </si>
  <si>
    <t>Tabernaentana montana</t>
  </si>
  <si>
    <t>Strychnos nux-vomica</t>
  </si>
  <si>
    <t>Lophopetalum wightianum</t>
  </si>
  <si>
    <t>karivala</t>
  </si>
  <si>
    <t>Diospyros edenum</t>
  </si>
  <si>
    <t>Careya arborea</t>
  </si>
  <si>
    <t>Actinodphne hookeri</t>
  </si>
  <si>
    <t>Phychotrica dalzellii</t>
  </si>
  <si>
    <t xml:space="preserve">Piper tioicum </t>
  </si>
  <si>
    <t>Senegalia rugata</t>
  </si>
  <si>
    <t>Nill</t>
  </si>
  <si>
    <t>Moist Decidious Closed fores, Species like Buchananea lanzan (Nurukalu), Aparosa lindliana (Salle), Holigarna arnottiana (Chaar), Xylea xylocarpa (Jambe), Terminalea paniculata (Marva), Caryota urnce (Bagine).</t>
  </si>
  <si>
    <t>3.Canopy density - Closed forest and 75% canopy cover</t>
  </si>
  <si>
    <t>4. Soil- Clay soil</t>
  </si>
  <si>
    <t>7. Bamboo - Present - Bambussa bamboo (Hebbdiriu).</t>
  </si>
  <si>
    <t>10. Underwood species - Xylea xylocarpa (Jambe), Tabernaentana montana (Maddarsa), Aparosa lindliana (Salle)</t>
  </si>
  <si>
    <t>11. Climber - Piper tioicum (Kaadu kalu menasu), Strychonos wallichiana (Balli kasaraka), Pothos scandens (Adake beelu), Tinospora malabarica (Madari beelu)</t>
  </si>
  <si>
    <t>12. Rattans - Nill</t>
  </si>
  <si>
    <t xml:space="preserve">13. NTFP yielding sps - Cinnamomum zelanicum (Dalchinni), Senegalia rugata (Seege), </t>
  </si>
  <si>
    <t>Poomale Reserve forest.</t>
  </si>
  <si>
    <t>Closed forest and 75% canopy cover</t>
  </si>
  <si>
    <t>Clay soil, Texture - Smooth, Depth - 30cm, Permiabilty - Good.</t>
  </si>
  <si>
    <t>Mild Erosion</t>
  </si>
  <si>
    <t>Xylea xylocarpa (Jambe) - 20%, Terminalea paniculata (Marva) - 10%, Aparosa lindliana (Salle) - 20%.</t>
  </si>
  <si>
    <t>Absent</t>
  </si>
  <si>
    <t>Start from Sullya Range office to towards Sampaje road to Biliyar for 10.2 km N- 12.520576, E- 75.438578. Then left turn to Poomale RF for 1.6 km N-12.542083, E-75.432155 (By Jeep). Then walked towards left for 530 mtr to reached center of the plot.</t>
  </si>
  <si>
    <t>1. Track -  Hilly</t>
  </si>
  <si>
    <t>2. Aspect - Southern</t>
  </si>
  <si>
    <t>6. Weeds - Scanty - Eupatorium</t>
  </si>
  <si>
    <t>8. Herbs - Curcuma aromatica (Kaadarisina),  Phychotrica dalzellii (Vaatmadike), Leea indica (Nedthi), Strobilanthus sps (Gurige).</t>
  </si>
  <si>
    <t>9. Shrubs - Calycopteris floribunda(Kumsa balli), Alangium salvifolium (Ankole), Zyzipus muriantana (Parige)</t>
  </si>
  <si>
    <t>213 m</t>
  </si>
  <si>
    <t>Hilly</t>
  </si>
  <si>
    <t>Upto 16 - 40</t>
  </si>
  <si>
    <t>Southern</t>
  </si>
  <si>
    <t>Stream\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</si>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</sst>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2" sqref="C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3" t="s">
        <v>21</v>
      </c>
      <c r="B1" s="113"/>
      <c r="C1" s="113"/>
    </row>
    <row r="2" spans="1:3">
      <c r="A2" s="113" t="s">
        <v>22</v>
      </c>
      <c r="B2" s="113"/>
      <c r="C2" s="113"/>
    </row>
    <row r="3" spans="1:3">
      <c r="A3" s="121" t="s">
        <v>102</v>
      </c>
      <c r="B3" s="121"/>
      <c r="C3" s="46" t="s">
        <v>110</v>
      </c>
    </row>
    <row r="4" spans="1:3">
      <c r="A4" s="1"/>
    </row>
    <row r="5" spans="1:3" ht="31.5">
      <c r="A5" s="122" t="s">
        <v>23</v>
      </c>
      <c r="B5" s="48" t="s">
        <v>24</v>
      </c>
      <c r="C5" s="48" t="s">
        <v>25</v>
      </c>
    </row>
    <row r="6" spans="1:3" ht="21" customHeight="1">
      <c r="A6" s="23">
        <v>1</v>
      </c>
      <c r="B6" s="123" t="s">
        <v>26</v>
      </c>
      <c r="C6" s="3" t="s">
        <v>117</v>
      </c>
    </row>
    <row r="7" spans="1:3" ht="21" customHeight="1">
      <c r="A7" s="23">
        <v>2</v>
      </c>
      <c r="B7" s="123" t="s">
        <v>27</v>
      </c>
      <c r="C7" s="3"/>
    </row>
    <row r="8" spans="1:3" ht="21" customHeight="1">
      <c r="A8" s="23">
        <v>3</v>
      </c>
      <c r="B8" s="123" t="s">
        <v>28</v>
      </c>
      <c r="C8" s="3"/>
    </row>
    <row r="9" spans="1:3" ht="21" customHeight="1">
      <c r="A9" s="23">
        <v>4</v>
      </c>
      <c r="B9" s="123" t="s">
        <v>29</v>
      </c>
      <c r="C9" s="3">
        <v>331</v>
      </c>
    </row>
    <row r="10" spans="1:3" ht="21" customHeight="1">
      <c r="A10" s="23">
        <v>5</v>
      </c>
      <c r="B10" s="123" t="s">
        <v>30</v>
      </c>
      <c r="C10" s="124">
        <v>12.537977</v>
      </c>
    </row>
    <row r="11" spans="1:3" ht="21" customHeight="1">
      <c r="A11" s="23">
        <v>6</v>
      </c>
      <c r="B11" s="123" t="s">
        <v>31</v>
      </c>
      <c r="C11" s="124">
        <v>75.429813999999993</v>
      </c>
    </row>
    <row r="12" spans="1:3" ht="78.75">
      <c r="A12" s="23">
        <v>7</v>
      </c>
      <c r="B12" s="123" t="s">
        <v>32</v>
      </c>
      <c r="C12" s="3" t="s">
        <v>169</v>
      </c>
    </row>
    <row r="13" spans="1:3" ht="63">
      <c r="A13" s="23">
        <v>8</v>
      </c>
      <c r="B13" s="123" t="s">
        <v>33</v>
      </c>
      <c r="C13" s="125" t="s">
        <v>155</v>
      </c>
    </row>
    <row r="14" spans="1:3" ht="21" customHeight="1">
      <c r="A14" s="126">
        <v>9</v>
      </c>
      <c r="B14" s="127" t="s">
        <v>34</v>
      </c>
      <c r="C14" s="125" t="s">
        <v>170</v>
      </c>
    </row>
    <row r="15" spans="1:3" ht="21" customHeight="1">
      <c r="A15" s="128"/>
      <c r="B15" s="129"/>
      <c r="C15" s="125" t="s">
        <v>171</v>
      </c>
    </row>
    <row r="16" spans="1:3" ht="21" customHeight="1">
      <c r="A16" s="128"/>
      <c r="B16" s="129"/>
      <c r="C16" s="125" t="s">
        <v>156</v>
      </c>
    </row>
    <row r="17" spans="1:3" ht="21" customHeight="1">
      <c r="A17" s="128"/>
      <c r="B17" s="129"/>
      <c r="C17" s="125" t="s">
        <v>157</v>
      </c>
    </row>
    <row r="18" spans="1:3" ht="21" customHeight="1">
      <c r="A18" s="128"/>
      <c r="B18" s="129"/>
      <c r="C18" s="130" t="s">
        <v>111</v>
      </c>
    </row>
    <row r="19" spans="1:3" ht="21" customHeight="1">
      <c r="A19" s="128"/>
      <c r="B19" s="129"/>
      <c r="C19" s="125" t="s">
        <v>172</v>
      </c>
    </row>
    <row r="20" spans="1:3" ht="21" customHeight="1">
      <c r="A20" s="128"/>
      <c r="B20" s="129"/>
      <c r="C20" s="125" t="s">
        <v>158</v>
      </c>
    </row>
    <row r="21" spans="1:3" ht="47.25">
      <c r="A21" s="128"/>
      <c r="B21" s="129"/>
      <c r="C21" s="125" t="s">
        <v>173</v>
      </c>
    </row>
    <row r="22" spans="1:3" ht="31.5">
      <c r="A22" s="128"/>
      <c r="B22" s="129"/>
      <c r="C22" s="125" t="s">
        <v>174</v>
      </c>
    </row>
    <row r="23" spans="1:3" ht="31.5">
      <c r="A23" s="128"/>
      <c r="B23" s="129"/>
      <c r="C23" s="125" t="s">
        <v>159</v>
      </c>
    </row>
    <row r="24" spans="1:3" ht="55.5" customHeight="1">
      <c r="A24" s="128"/>
      <c r="B24" s="129"/>
      <c r="C24" s="125" t="s">
        <v>160</v>
      </c>
    </row>
    <row r="25" spans="1:3" ht="21" customHeight="1">
      <c r="A25" s="128"/>
      <c r="B25" s="129"/>
      <c r="C25" s="125" t="s">
        <v>161</v>
      </c>
    </row>
    <row r="26" spans="1:3" ht="31.5">
      <c r="A26" s="128"/>
      <c r="B26" s="129"/>
      <c r="C26" s="125" t="s">
        <v>162</v>
      </c>
    </row>
    <row r="27" spans="1:3" ht="21" customHeight="1">
      <c r="A27" s="23">
        <v>10</v>
      </c>
      <c r="B27" s="123" t="s">
        <v>35</v>
      </c>
      <c r="C27" s="123" t="s">
        <v>112</v>
      </c>
    </row>
    <row r="28" spans="1:3" ht="21" customHeight="1">
      <c r="A28" s="23">
        <v>11</v>
      </c>
      <c r="B28" s="123" t="s">
        <v>36</v>
      </c>
      <c r="C28" s="123" t="s">
        <v>112</v>
      </c>
    </row>
    <row r="29" spans="1:3" ht="61.5" customHeight="1">
      <c r="A29" s="1"/>
    </row>
    <row r="30" spans="1:3" ht="15.75" customHeight="1">
      <c r="A30" s="1"/>
    </row>
    <row r="31" spans="1:3">
      <c r="A31" s="1"/>
    </row>
    <row r="32" spans="1:3">
      <c r="A32" s="49"/>
    </row>
    <row r="33" spans="1:1">
      <c r="A33" s="131"/>
    </row>
    <row r="34" spans="1:1">
      <c r="A34" s="131"/>
    </row>
    <row r="35" spans="1:1">
      <c r="A35" s="131"/>
    </row>
    <row r="36" spans="1:1">
      <c r="A36" s="131"/>
    </row>
    <row r="37" spans="1:1">
      <c r="A37" s="131"/>
    </row>
    <row r="38" spans="1:1">
      <c r="A38" s="131"/>
    </row>
    <row r="49" spans="1:1">
      <c r="A49" s="131"/>
    </row>
    <row r="50" spans="1:1" ht="62.25" customHeight="1">
      <c r="A50" s="131"/>
    </row>
    <row r="51" spans="1:1">
      <c r="A51" s="131"/>
    </row>
    <row r="52" spans="1:1">
      <c r="A52" s="131"/>
    </row>
    <row r="53" spans="1:1">
      <c r="A53" s="131"/>
    </row>
    <row r="54" spans="1:1">
      <c r="A54" s="131"/>
    </row>
    <row r="55" spans="1:1">
      <c r="A55" s="131"/>
    </row>
    <row r="56" spans="1:1">
      <c r="A56" s="131"/>
    </row>
    <row r="57" spans="1:1">
      <c r="A57" s="131"/>
    </row>
    <row r="58" spans="1:1">
      <c r="A58" s="49"/>
    </row>
    <row r="66" spans="1:1">
      <c r="A66" s="131"/>
    </row>
    <row r="74" spans="1:1">
      <c r="A74" s="1"/>
    </row>
  </sheetData>
  <mergeCells count="4">
    <mergeCell ref="A1:C1"/>
    <mergeCell ref="A2:C2"/>
    <mergeCell ref="A3:B3"/>
    <mergeCell ref="B14:B26"/>
  </mergeCells>
  <printOptions horizontalCentered="1"/>
  <pageMargins left="0.4" right="0.43" top="0.44"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6" sqref="B26"/>
    </sheetView>
  </sheetViews>
  <sheetFormatPr defaultRowHeight="15.75"/>
  <cols>
    <col min="1" max="1" width="5.7109375" style="2" bestFit="1" customWidth="1"/>
    <col min="2" max="2" width="29.85546875" style="2" bestFit="1" customWidth="1"/>
    <col min="3" max="3" width="56.140625" style="2" customWidth="1"/>
    <col min="4" max="16384" width="9.140625" style="2"/>
  </cols>
  <sheetData>
    <row r="1" spans="1:3">
      <c r="A1" s="113" t="s">
        <v>37</v>
      </c>
      <c r="B1" s="113"/>
      <c r="C1" s="113"/>
    </row>
    <row r="2" spans="1:3">
      <c r="A2" s="113" t="s">
        <v>38</v>
      </c>
      <c r="B2" s="113"/>
      <c r="C2" s="113"/>
    </row>
    <row r="3" spans="1:3">
      <c r="A3" s="132"/>
    </row>
    <row r="4" spans="1:3" ht="49.5" customHeight="1">
      <c r="A4" s="133" t="s">
        <v>39</v>
      </c>
      <c r="B4" s="133"/>
      <c r="C4" s="133"/>
    </row>
    <row r="5" spans="1:3">
      <c r="A5" s="121" t="s">
        <v>102</v>
      </c>
      <c r="B5" s="121"/>
      <c r="C5" s="46" t="str">
        <f>'Form 1'!C3</f>
        <v>Mangalore</v>
      </c>
    </row>
    <row r="6" spans="1:3">
      <c r="A6" s="1"/>
    </row>
    <row r="7" spans="1:3" ht="31.5">
      <c r="A7" s="122" t="s">
        <v>23</v>
      </c>
      <c r="B7" s="134" t="s">
        <v>25</v>
      </c>
      <c r="C7" s="48" t="s">
        <v>40</v>
      </c>
    </row>
    <row r="8" spans="1:3" ht="21" customHeight="1">
      <c r="A8" s="23">
        <v>1</v>
      </c>
      <c r="B8" s="123" t="s">
        <v>26</v>
      </c>
      <c r="C8" s="4" t="s">
        <v>117</v>
      </c>
    </row>
    <row r="9" spans="1:3" ht="21" customHeight="1">
      <c r="A9" s="23">
        <v>2</v>
      </c>
      <c r="B9" s="123" t="s">
        <v>41</v>
      </c>
      <c r="C9" s="4">
        <f>'Form 1'!C7</f>
        <v>0</v>
      </c>
    </row>
    <row r="10" spans="1:3" ht="21" customHeight="1">
      <c r="A10" s="23">
        <v>3</v>
      </c>
      <c r="B10" s="123" t="s">
        <v>28</v>
      </c>
      <c r="C10" s="4">
        <f>'Form 1'!C8</f>
        <v>0</v>
      </c>
    </row>
    <row r="11" spans="1:3" ht="21" customHeight="1">
      <c r="A11" s="23">
        <v>4</v>
      </c>
      <c r="B11" s="123" t="s">
        <v>29</v>
      </c>
      <c r="C11" s="4">
        <f>'Form 1'!C9</f>
        <v>331</v>
      </c>
    </row>
    <row r="12" spans="1:3" ht="21" customHeight="1">
      <c r="A12" s="23">
        <v>5</v>
      </c>
      <c r="B12" s="123" t="s">
        <v>42</v>
      </c>
      <c r="C12" s="4">
        <f>'Form 1'!C10</f>
        <v>12.537977</v>
      </c>
    </row>
    <row r="13" spans="1:3" ht="21" customHeight="1">
      <c r="A13" s="23">
        <v>6</v>
      </c>
      <c r="B13" s="123" t="s">
        <v>43</v>
      </c>
      <c r="C13" s="4">
        <f>'Form 1'!C11</f>
        <v>75.429813999999993</v>
      </c>
    </row>
    <row r="14" spans="1:3" ht="21" customHeight="1">
      <c r="A14" s="23">
        <v>7</v>
      </c>
      <c r="B14" s="123" t="s">
        <v>44</v>
      </c>
      <c r="C14" s="4" t="s">
        <v>175</v>
      </c>
    </row>
    <row r="15" spans="1:3" ht="21" customHeight="1">
      <c r="A15" s="23">
        <v>8</v>
      </c>
      <c r="B15" s="123" t="s">
        <v>45</v>
      </c>
      <c r="C15" s="4" t="s">
        <v>163</v>
      </c>
    </row>
    <row r="16" spans="1:3" ht="21" customHeight="1">
      <c r="A16" s="23">
        <v>9</v>
      </c>
      <c r="B16" s="123" t="s">
        <v>46</v>
      </c>
      <c r="C16" s="4" t="s">
        <v>164</v>
      </c>
    </row>
    <row r="17" spans="1:3" ht="21" customHeight="1">
      <c r="A17" s="23">
        <v>10</v>
      </c>
      <c r="B17" s="123" t="s">
        <v>47</v>
      </c>
      <c r="C17" s="4" t="s">
        <v>176</v>
      </c>
    </row>
    <row r="18" spans="1:3" ht="21" customHeight="1">
      <c r="A18" s="23">
        <v>11</v>
      </c>
      <c r="B18" s="123" t="s">
        <v>48</v>
      </c>
      <c r="C18" s="135" t="s">
        <v>177</v>
      </c>
    </row>
    <row r="19" spans="1:3" ht="21" customHeight="1">
      <c r="A19" s="23">
        <v>12</v>
      </c>
      <c r="B19" s="123" t="s">
        <v>49</v>
      </c>
      <c r="C19" s="135" t="s">
        <v>178</v>
      </c>
    </row>
    <row r="20" spans="1:3" ht="21" customHeight="1">
      <c r="A20" s="23">
        <v>13</v>
      </c>
      <c r="B20" s="123" t="s">
        <v>50</v>
      </c>
      <c r="C20" s="135" t="s">
        <v>113</v>
      </c>
    </row>
    <row r="21" spans="1:3" ht="31.5">
      <c r="A21" s="23">
        <v>14</v>
      </c>
      <c r="B21" s="123" t="s">
        <v>51</v>
      </c>
      <c r="C21" s="135" t="s">
        <v>165</v>
      </c>
    </row>
    <row r="22" spans="1:3" ht="21" customHeight="1">
      <c r="A22" s="23">
        <v>15</v>
      </c>
      <c r="B22" s="123" t="s">
        <v>52</v>
      </c>
      <c r="C22" s="135" t="s">
        <v>166</v>
      </c>
    </row>
    <row r="23" spans="1:3" ht="31.5">
      <c r="A23" s="23">
        <v>16</v>
      </c>
      <c r="B23" s="123" t="s">
        <v>53</v>
      </c>
      <c r="C23" s="135" t="s">
        <v>167</v>
      </c>
    </row>
    <row r="24" spans="1:3" ht="21" customHeight="1">
      <c r="A24" s="23">
        <v>17</v>
      </c>
      <c r="B24" s="123" t="s">
        <v>54</v>
      </c>
      <c r="C24" s="135" t="s">
        <v>114</v>
      </c>
    </row>
    <row r="25" spans="1:3" ht="21" customHeight="1">
      <c r="A25" s="23">
        <v>18</v>
      </c>
      <c r="B25" s="123" t="s">
        <v>55</v>
      </c>
      <c r="C25" s="135" t="s">
        <v>112</v>
      </c>
    </row>
    <row r="26" spans="1:3" ht="21" customHeight="1">
      <c r="A26" s="23">
        <v>19</v>
      </c>
      <c r="B26" s="123" t="s">
        <v>56</v>
      </c>
      <c r="C26" s="135" t="s">
        <v>112</v>
      </c>
    </row>
    <row r="27" spans="1:3" ht="21" customHeight="1">
      <c r="A27" s="23">
        <v>20</v>
      </c>
      <c r="B27" s="123" t="s">
        <v>57</v>
      </c>
      <c r="C27" s="135" t="s">
        <v>168</v>
      </c>
    </row>
    <row r="28" spans="1:3" ht="21" customHeight="1">
      <c r="A28" s="23">
        <v>21</v>
      </c>
      <c r="B28" s="123" t="s">
        <v>58</v>
      </c>
      <c r="C28" s="135" t="s">
        <v>168</v>
      </c>
    </row>
    <row r="29" spans="1:3" ht="21" customHeight="1">
      <c r="A29" s="23">
        <v>22</v>
      </c>
      <c r="B29" s="123" t="s">
        <v>59</v>
      </c>
      <c r="C29" s="135" t="s">
        <v>168</v>
      </c>
    </row>
    <row r="30" spans="1:3" ht="21" customHeight="1">
      <c r="A30" s="23">
        <v>23</v>
      </c>
      <c r="B30" s="123" t="s">
        <v>60</v>
      </c>
      <c r="C30" s="135" t="s">
        <v>115</v>
      </c>
    </row>
    <row r="31" spans="1:3" ht="21" customHeight="1">
      <c r="A31" s="23">
        <v>24</v>
      </c>
      <c r="B31" s="123" t="s">
        <v>61</v>
      </c>
      <c r="C31" s="135" t="s">
        <v>179</v>
      </c>
    </row>
    <row r="32" spans="1:3" ht="21" customHeight="1">
      <c r="A32" s="23">
        <v>25</v>
      </c>
      <c r="B32" s="123" t="s">
        <v>62</v>
      </c>
      <c r="C32" s="135" t="s">
        <v>116</v>
      </c>
    </row>
    <row r="33" spans="1:3" ht="21" customHeight="1">
      <c r="A33" s="23">
        <v>26</v>
      </c>
      <c r="B33" s="123" t="s">
        <v>63</v>
      </c>
      <c r="C33" s="135" t="s">
        <v>112</v>
      </c>
    </row>
    <row r="34" spans="1:3" ht="21" customHeight="1">
      <c r="A34" s="23">
        <v>27</v>
      </c>
      <c r="B34" s="123" t="s">
        <v>64</v>
      </c>
      <c r="C34" s="135" t="s">
        <v>112</v>
      </c>
    </row>
  </sheetData>
  <mergeCells count="4">
    <mergeCell ref="A1:C1"/>
    <mergeCell ref="A2:C2"/>
    <mergeCell ref="A4:C4"/>
    <mergeCell ref="A5:B5"/>
  </mergeCells>
  <printOptions horizontalCentered="1"/>
  <pageMargins left="0.38" right="0.47"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J10" sqref="J10:K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140625" customWidth="1"/>
    <col min="12" max="12" width="12.5703125" customWidth="1"/>
  </cols>
  <sheetData>
    <row r="1" spans="1:12" ht="15.6" customHeight="1">
      <c r="A1" s="67" t="s">
        <v>0</v>
      </c>
      <c r="B1" s="67"/>
      <c r="C1" s="67"/>
      <c r="D1" s="67"/>
      <c r="E1" s="67"/>
      <c r="F1" s="67"/>
      <c r="G1" s="67"/>
      <c r="H1" s="67"/>
      <c r="I1" s="67"/>
      <c r="J1" s="67"/>
      <c r="K1" s="67"/>
      <c r="L1" s="67"/>
    </row>
    <row r="2" spans="1:12" ht="15.6" customHeight="1">
      <c r="A2" s="67" t="s">
        <v>1</v>
      </c>
      <c r="B2" s="67"/>
      <c r="C2" s="67"/>
      <c r="D2" s="67"/>
      <c r="E2" s="67"/>
      <c r="F2" s="67"/>
      <c r="G2" s="67"/>
      <c r="H2" s="67"/>
      <c r="I2" s="67"/>
      <c r="J2" s="67"/>
      <c r="K2" s="67"/>
      <c r="L2" s="67"/>
    </row>
    <row r="3" spans="1:12" ht="15.6" customHeight="1">
      <c r="A3" s="67" t="s">
        <v>2</v>
      </c>
      <c r="B3" s="67"/>
      <c r="C3" s="67"/>
      <c r="D3" s="67"/>
      <c r="E3" s="67"/>
      <c r="F3" s="67"/>
      <c r="G3" s="67"/>
      <c r="H3" s="67"/>
      <c r="I3" s="67"/>
      <c r="J3" s="67"/>
      <c r="K3" s="67"/>
      <c r="L3" s="67"/>
    </row>
    <row r="4" spans="1:12" ht="15.6" customHeight="1" thickBot="1">
      <c r="A4" s="68"/>
      <c r="B4" s="68"/>
      <c r="C4" s="68"/>
      <c r="D4" s="68"/>
      <c r="E4" s="68"/>
      <c r="F4" s="68"/>
      <c r="G4" s="68"/>
      <c r="H4" s="68"/>
      <c r="I4" s="68"/>
      <c r="J4" s="68"/>
      <c r="K4" s="68"/>
      <c r="L4" s="68"/>
    </row>
    <row r="5" spans="1:12" ht="15.6" customHeight="1">
      <c r="A5" s="69" t="s">
        <v>3</v>
      </c>
      <c r="B5" s="70"/>
      <c r="C5" s="59">
        <f>'Form II'!C10</f>
        <v>0</v>
      </c>
      <c r="D5" s="60"/>
      <c r="E5" s="58" t="s">
        <v>109</v>
      </c>
      <c r="F5" s="59"/>
      <c r="G5" s="59"/>
      <c r="H5" s="59"/>
      <c r="I5" s="60"/>
      <c r="J5" s="14" t="s">
        <v>4</v>
      </c>
      <c r="K5" s="70"/>
      <c r="L5" s="71"/>
    </row>
    <row r="6" spans="1:12" ht="15.6" customHeight="1">
      <c r="A6" s="80" t="s">
        <v>5</v>
      </c>
      <c r="B6" s="81"/>
      <c r="C6" s="63" t="str">
        <f>'Form 1'!C6</f>
        <v>Sulia</v>
      </c>
      <c r="D6" s="64"/>
      <c r="E6" s="37" t="s">
        <v>101</v>
      </c>
      <c r="F6" s="36"/>
      <c r="G6" s="63" t="str">
        <f>'Form 1'!C3</f>
        <v>Mangalore</v>
      </c>
      <c r="H6" s="63"/>
      <c r="I6" s="64"/>
      <c r="J6" s="15" t="s">
        <v>6</v>
      </c>
      <c r="K6" s="63" t="str">
        <f>'Form II'!C14</f>
        <v>213 m</v>
      </c>
      <c r="L6" s="72"/>
    </row>
    <row r="7" spans="1:12" ht="15.6" customHeight="1" thickBot="1">
      <c r="A7" s="61" t="s">
        <v>7</v>
      </c>
      <c r="B7" s="62"/>
      <c r="C7" s="65">
        <f>'Form 1'!C10</f>
        <v>12.537977</v>
      </c>
      <c r="D7" s="66"/>
      <c r="E7" s="16" t="s">
        <v>8</v>
      </c>
      <c r="F7" s="13"/>
      <c r="G7" s="65">
        <f>'Form 1'!C11</f>
        <v>75.429813999999993</v>
      </c>
      <c r="H7" s="65"/>
      <c r="I7" s="66"/>
      <c r="J7" s="16" t="s">
        <v>9</v>
      </c>
      <c r="K7" s="65">
        <f>'Form 1'!C9</f>
        <v>331</v>
      </c>
      <c r="L7" s="73"/>
    </row>
    <row r="8" spans="1:12" ht="15.6" customHeight="1" thickBot="1">
      <c r="A8" s="1"/>
      <c r="B8" s="1"/>
      <c r="C8" s="5"/>
      <c r="D8" s="6"/>
      <c r="E8" s="2"/>
      <c r="F8" s="2"/>
      <c r="G8" s="2"/>
      <c r="H8" s="2"/>
      <c r="I8" s="2"/>
      <c r="J8" s="2"/>
      <c r="K8" s="2"/>
      <c r="L8" s="2"/>
    </row>
    <row r="9" spans="1:12" ht="18.600000000000001" customHeight="1">
      <c r="A9" s="76" t="s">
        <v>10</v>
      </c>
      <c r="B9" s="87" t="s">
        <v>11</v>
      </c>
      <c r="C9" s="88"/>
      <c r="D9" s="78" t="s">
        <v>12</v>
      </c>
      <c r="E9" s="78" t="s">
        <v>13</v>
      </c>
      <c r="F9" s="17" t="s">
        <v>14</v>
      </c>
      <c r="G9" s="78" t="s">
        <v>20</v>
      </c>
      <c r="H9" s="84" t="s">
        <v>15</v>
      </c>
      <c r="I9" s="85"/>
      <c r="J9" s="85"/>
      <c r="K9" s="86"/>
      <c r="L9" s="74" t="s">
        <v>16</v>
      </c>
    </row>
    <row r="10" spans="1:12" ht="57" customHeight="1">
      <c r="A10" s="77"/>
      <c r="B10" s="89"/>
      <c r="C10" s="90"/>
      <c r="D10" s="79"/>
      <c r="E10" s="79"/>
      <c r="F10" s="18" t="s">
        <v>17</v>
      </c>
      <c r="G10" s="79"/>
      <c r="H10" s="82" t="s">
        <v>18</v>
      </c>
      <c r="I10" s="83"/>
      <c r="J10" s="82" t="s">
        <v>19</v>
      </c>
      <c r="K10" s="83"/>
      <c r="L10" s="75"/>
    </row>
    <row r="11" spans="1:12" ht="15.6" customHeight="1">
      <c r="A11" s="11">
        <v>1</v>
      </c>
      <c r="B11" s="52" t="s">
        <v>141</v>
      </c>
      <c r="C11" s="53"/>
      <c r="D11" s="3" t="s">
        <v>118</v>
      </c>
      <c r="E11" s="40">
        <v>96</v>
      </c>
      <c r="F11" s="40"/>
      <c r="G11" s="40">
        <v>15</v>
      </c>
      <c r="H11" s="56"/>
      <c r="I11" s="57"/>
      <c r="J11" s="54"/>
      <c r="K11" s="55"/>
      <c r="L11" s="12"/>
    </row>
    <row r="12" spans="1:12" ht="15.6" customHeight="1">
      <c r="A12" s="11">
        <v>2</v>
      </c>
      <c r="B12" s="52" t="s">
        <v>142</v>
      </c>
      <c r="C12" s="53"/>
      <c r="D12" s="4" t="s">
        <v>119</v>
      </c>
      <c r="E12" s="40">
        <v>48</v>
      </c>
      <c r="F12" s="40"/>
      <c r="G12" s="40">
        <v>7</v>
      </c>
      <c r="H12" s="56"/>
      <c r="I12" s="57"/>
      <c r="J12" s="54"/>
      <c r="K12" s="55"/>
      <c r="L12" s="12"/>
    </row>
    <row r="13" spans="1:12" ht="15.6" customHeight="1">
      <c r="A13" s="11">
        <v>3</v>
      </c>
      <c r="B13" s="52" t="s">
        <v>143</v>
      </c>
      <c r="C13" s="53"/>
      <c r="D13" s="3" t="s">
        <v>120</v>
      </c>
      <c r="E13" s="40">
        <v>120</v>
      </c>
      <c r="F13" s="40"/>
      <c r="G13" s="40">
        <v>15</v>
      </c>
      <c r="H13" s="56"/>
      <c r="I13" s="57"/>
      <c r="J13" s="54"/>
      <c r="K13" s="55"/>
      <c r="L13" s="12"/>
    </row>
    <row r="14" spans="1:12" ht="15.6" customHeight="1">
      <c r="A14" s="11">
        <v>4</v>
      </c>
      <c r="B14" s="52" t="s">
        <v>142</v>
      </c>
      <c r="C14" s="53"/>
      <c r="D14" s="3" t="s">
        <v>119</v>
      </c>
      <c r="E14" s="40">
        <v>54</v>
      </c>
      <c r="F14" s="40"/>
      <c r="G14" s="40">
        <v>8</v>
      </c>
      <c r="H14" s="56"/>
      <c r="I14" s="57"/>
      <c r="J14" s="54"/>
      <c r="K14" s="55"/>
      <c r="L14" s="12"/>
    </row>
    <row r="15" spans="1:12" ht="15.6" customHeight="1">
      <c r="A15" s="11">
        <v>5</v>
      </c>
      <c r="B15" s="52" t="s">
        <v>142</v>
      </c>
      <c r="C15" s="53"/>
      <c r="D15" s="7" t="s">
        <v>119</v>
      </c>
      <c r="E15" s="41">
        <v>72</v>
      </c>
      <c r="F15" s="40"/>
      <c r="G15" s="40">
        <v>10</v>
      </c>
      <c r="H15" s="56"/>
      <c r="I15" s="57"/>
      <c r="J15" s="54"/>
      <c r="K15" s="55"/>
      <c r="L15" s="12"/>
    </row>
    <row r="16" spans="1:12" ht="15.6" customHeight="1">
      <c r="A16" s="11">
        <v>6</v>
      </c>
      <c r="B16" s="52" t="s">
        <v>144</v>
      </c>
      <c r="C16" s="53"/>
      <c r="D16" s="4" t="s">
        <v>121</v>
      </c>
      <c r="E16" s="40">
        <v>60</v>
      </c>
      <c r="F16" s="41"/>
      <c r="G16" s="41">
        <v>9</v>
      </c>
      <c r="H16" s="50"/>
      <c r="I16" s="51"/>
      <c r="J16" s="54"/>
      <c r="K16" s="55"/>
      <c r="L16" s="12"/>
    </row>
    <row r="17" spans="1:12" ht="15.6" customHeight="1">
      <c r="A17" s="11">
        <v>7</v>
      </c>
      <c r="B17" s="52" t="s">
        <v>145</v>
      </c>
      <c r="C17" s="53"/>
      <c r="D17" s="7" t="s">
        <v>122</v>
      </c>
      <c r="E17" s="40">
        <v>154</v>
      </c>
      <c r="F17" s="41"/>
      <c r="G17" s="41">
        <v>15</v>
      </c>
      <c r="H17" s="50"/>
      <c r="I17" s="51"/>
      <c r="J17" s="54"/>
      <c r="K17" s="55"/>
      <c r="L17" s="12"/>
    </row>
    <row r="18" spans="1:12" ht="15.6" customHeight="1">
      <c r="A18" s="11">
        <v>8</v>
      </c>
      <c r="B18" s="52" t="s">
        <v>123</v>
      </c>
      <c r="C18" s="53"/>
      <c r="D18" s="3" t="s">
        <v>123</v>
      </c>
      <c r="E18" s="40">
        <v>85</v>
      </c>
      <c r="F18" s="41"/>
      <c r="G18" s="41">
        <v>12</v>
      </c>
      <c r="H18" s="50"/>
      <c r="I18" s="51"/>
      <c r="J18" s="54"/>
      <c r="K18" s="55"/>
      <c r="L18" s="12"/>
    </row>
    <row r="19" spans="1:12" ht="15.75">
      <c r="A19" s="11">
        <v>9</v>
      </c>
      <c r="B19" s="52" t="s">
        <v>143</v>
      </c>
      <c r="C19" s="53"/>
      <c r="D19" s="19" t="s">
        <v>120</v>
      </c>
      <c r="E19" s="40">
        <v>76</v>
      </c>
      <c r="F19" s="41"/>
      <c r="G19" s="41">
        <v>10</v>
      </c>
      <c r="H19" s="50"/>
      <c r="I19" s="51"/>
      <c r="J19" s="54"/>
      <c r="K19" s="55"/>
      <c r="L19" s="12"/>
    </row>
    <row r="20" spans="1:12" ht="15.6" customHeight="1">
      <c r="A20" s="11">
        <v>10</v>
      </c>
      <c r="B20" s="52" t="s">
        <v>143</v>
      </c>
      <c r="C20" s="53"/>
      <c r="D20" s="4" t="s">
        <v>120</v>
      </c>
      <c r="E20" s="40">
        <v>52</v>
      </c>
      <c r="F20" s="41"/>
      <c r="G20" s="41">
        <v>10</v>
      </c>
      <c r="H20" s="50"/>
      <c r="I20" s="51"/>
      <c r="J20" s="54"/>
      <c r="K20" s="55"/>
      <c r="L20" s="12"/>
    </row>
    <row r="21" spans="1:12" ht="15.6" customHeight="1">
      <c r="A21" s="11">
        <v>11</v>
      </c>
      <c r="B21" s="52" t="s">
        <v>146</v>
      </c>
      <c r="C21" s="53"/>
      <c r="D21" s="7" t="s">
        <v>124</v>
      </c>
      <c r="E21" s="40">
        <v>94</v>
      </c>
      <c r="F21" s="41"/>
      <c r="G21" s="41">
        <v>13</v>
      </c>
      <c r="H21" s="50"/>
      <c r="I21" s="51"/>
      <c r="J21" s="54"/>
      <c r="K21" s="55"/>
      <c r="L21" s="12"/>
    </row>
    <row r="22" spans="1:12" ht="15.6" customHeight="1">
      <c r="A22" s="11">
        <v>12</v>
      </c>
      <c r="B22" s="52" t="s">
        <v>148</v>
      </c>
      <c r="C22" s="53"/>
      <c r="D22" s="7" t="s">
        <v>147</v>
      </c>
      <c r="E22" s="40">
        <v>112</v>
      </c>
      <c r="F22" s="41"/>
      <c r="G22" s="41">
        <v>14</v>
      </c>
      <c r="H22" s="50"/>
      <c r="I22" s="51"/>
      <c r="J22" s="54"/>
      <c r="K22" s="55"/>
      <c r="L22" s="12"/>
    </row>
    <row r="23" spans="1:12" ht="15.6" customHeight="1">
      <c r="A23" s="11">
        <v>13</v>
      </c>
      <c r="B23" s="52" t="s">
        <v>142</v>
      </c>
      <c r="C23" s="53"/>
      <c r="D23" s="3" t="s">
        <v>119</v>
      </c>
      <c r="E23" s="40">
        <v>54</v>
      </c>
      <c r="F23" s="41"/>
      <c r="G23" s="41">
        <v>10</v>
      </c>
      <c r="H23" s="50"/>
      <c r="I23" s="51"/>
      <c r="J23" s="54"/>
      <c r="K23" s="55"/>
      <c r="L23" s="12"/>
    </row>
    <row r="24" spans="1:12" ht="15.6" customHeight="1">
      <c r="A24" s="11">
        <v>14</v>
      </c>
      <c r="B24" s="52" t="s">
        <v>143</v>
      </c>
      <c r="C24" s="53"/>
      <c r="D24" s="3" t="s">
        <v>120</v>
      </c>
      <c r="E24" s="40">
        <v>78</v>
      </c>
      <c r="F24" s="41"/>
      <c r="G24" s="41">
        <v>8</v>
      </c>
      <c r="H24" s="50"/>
      <c r="I24" s="51"/>
      <c r="J24" s="54"/>
      <c r="K24" s="55"/>
      <c r="L24" s="12"/>
    </row>
    <row r="25" spans="1:12" ht="15.6" customHeight="1">
      <c r="A25" s="11">
        <v>15</v>
      </c>
      <c r="B25" s="52" t="s">
        <v>143</v>
      </c>
      <c r="C25" s="53"/>
      <c r="D25" s="4" t="s">
        <v>120</v>
      </c>
      <c r="E25" s="40">
        <v>155</v>
      </c>
      <c r="F25" s="41"/>
      <c r="G25" s="41">
        <v>16</v>
      </c>
      <c r="H25" s="50"/>
      <c r="I25" s="51"/>
      <c r="J25" s="54"/>
      <c r="K25" s="55"/>
      <c r="L25" s="12"/>
    </row>
    <row r="26" spans="1:12" ht="15.6" customHeight="1">
      <c r="A26" s="11">
        <v>16</v>
      </c>
      <c r="B26" s="52" t="s">
        <v>143</v>
      </c>
      <c r="C26" s="53"/>
      <c r="D26" s="4" t="s">
        <v>120</v>
      </c>
      <c r="E26" s="40">
        <v>65</v>
      </c>
      <c r="F26" s="41"/>
      <c r="G26" s="41">
        <v>11</v>
      </c>
      <c r="H26" s="50"/>
      <c r="I26" s="51"/>
      <c r="J26" s="54"/>
      <c r="K26" s="55"/>
      <c r="L26" s="12"/>
    </row>
    <row r="27" spans="1:12" ht="15.6" customHeight="1">
      <c r="A27" s="11">
        <v>17</v>
      </c>
      <c r="B27" s="52" t="s">
        <v>149</v>
      </c>
      <c r="C27" s="53"/>
      <c r="D27" s="4" t="s">
        <v>125</v>
      </c>
      <c r="E27" s="40">
        <v>40</v>
      </c>
      <c r="F27" s="41"/>
      <c r="G27" s="41">
        <v>7</v>
      </c>
      <c r="H27" s="50"/>
      <c r="I27" s="51"/>
      <c r="J27" s="54"/>
      <c r="K27" s="55"/>
      <c r="L27" s="12"/>
    </row>
    <row r="28" spans="1:12" ht="15.6" customHeight="1">
      <c r="A28" s="11">
        <v>18</v>
      </c>
      <c r="B28" s="52" t="s">
        <v>145</v>
      </c>
      <c r="C28" s="53"/>
      <c r="D28" s="3" t="s">
        <v>122</v>
      </c>
      <c r="E28" s="40">
        <v>64</v>
      </c>
      <c r="F28" s="41"/>
      <c r="G28" s="41">
        <v>12</v>
      </c>
      <c r="H28" s="50"/>
      <c r="I28" s="51"/>
      <c r="J28" s="54"/>
      <c r="K28" s="55"/>
      <c r="L28" s="12"/>
    </row>
    <row r="29" spans="1:12" ht="15.6" customHeight="1">
      <c r="A29" s="11">
        <v>19</v>
      </c>
      <c r="B29" s="52" t="s">
        <v>142</v>
      </c>
      <c r="C29" s="53"/>
      <c r="D29" s="8" t="s">
        <v>119</v>
      </c>
      <c r="E29" s="40">
        <v>36</v>
      </c>
      <c r="F29" s="41"/>
      <c r="G29" s="41">
        <v>6</v>
      </c>
      <c r="H29" s="50"/>
      <c r="I29" s="51"/>
      <c r="J29" s="54"/>
      <c r="K29" s="55"/>
      <c r="L29" s="12"/>
    </row>
    <row r="30" spans="1:12" ht="15.6" customHeight="1">
      <c r="A30" s="11">
        <v>20</v>
      </c>
      <c r="B30" s="52" t="s">
        <v>142</v>
      </c>
      <c r="C30" s="53"/>
      <c r="D30" s="7" t="s">
        <v>119</v>
      </c>
      <c r="E30" s="40">
        <v>52</v>
      </c>
      <c r="F30" s="41"/>
      <c r="G30" s="41">
        <v>8</v>
      </c>
      <c r="H30" s="50"/>
      <c r="I30" s="51"/>
      <c r="J30" s="54"/>
      <c r="K30" s="55"/>
      <c r="L30" s="12"/>
    </row>
    <row r="31" spans="1:12" ht="15.6" customHeight="1">
      <c r="A31" s="11">
        <v>21</v>
      </c>
      <c r="B31" s="52" t="s">
        <v>142</v>
      </c>
      <c r="C31" s="53"/>
      <c r="D31" s="8" t="s">
        <v>119</v>
      </c>
      <c r="E31" s="40">
        <v>40</v>
      </c>
      <c r="F31" s="41"/>
      <c r="G31" s="41">
        <v>7</v>
      </c>
      <c r="H31" s="50"/>
      <c r="I31" s="51"/>
      <c r="J31" s="54"/>
      <c r="K31" s="55"/>
      <c r="L31" s="12"/>
    </row>
    <row r="32" spans="1:12" ht="15.6" customHeight="1">
      <c r="A32" s="11">
        <v>22</v>
      </c>
      <c r="B32" s="52" t="s">
        <v>143</v>
      </c>
      <c r="C32" s="53"/>
      <c r="D32" s="8" t="s">
        <v>120</v>
      </c>
      <c r="E32" s="40">
        <v>82</v>
      </c>
      <c r="F32" s="41"/>
      <c r="G32" s="41">
        <v>13</v>
      </c>
      <c r="H32" s="50"/>
      <c r="I32" s="51"/>
      <c r="J32" s="54"/>
      <c r="K32" s="55"/>
      <c r="L32" s="12"/>
    </row>
  </sheetData>
  <mergeCells count="91">
    <mergeCell ref="J31:K31"/>
    <mergeCell ref="J32:K32"/>
    <mergeCell ref="J28:K28"/>
    <mergeCell ref="J29:K29"/>
    <mergeCell ref="J30:K30"/>
    <mergeCell ref="J14:K14"/>
    <mergeCell ref="J15:K15"/>
    <mergeCell ref="H14:I14"/>
    <mergeCell ref="H15:I15"/>
    <mergeCell ref="J26:K26"/>
    <mergeCell ref="H26:I26"/>
    <mergeCell ref="J21:K21"/>
    <mergeCell ref="J22:K22"/>
    <mergeCell ref="J23:K23"/>
    <mergeCell ref="J24:K24"/>
    <mergeCell ref="J25:K25"/>
    <mergeCell ref="H27:I27"/>
    <mergeCell ref="J16:K16"/>
    <mergeCell ref="J17:K17"/>
    <mergeCell ref="J18:K18"/>
    <mergeCell ref="J19:K19"/>
    <mergeCell ref="J20:K20"/>
    <mergeCell ref="J27:K27"/>
    <mergeCell ref="H21:I21"/>
    <mergeCell ref="H22:I22"/>
    <mergeCell ref="H23:I23"/>
    <mergeCell ref="H24:I24"/>
    <mergeCell ref="H25:I25"/>
    <mergeCell ref="H17:I17"/>
    <mergeCell ref="H18:I18"/>
    <mergeCell ref="H19:I19"/>
    <mergeCell ref="H20:I20"/>
    <mergeCell ref="B16:C16"/>
    <mergeCell ref="B17:C17"/>
    <mergeCell ref="B18:C18"/>
    <mergeCell ref="B19:C19"/>
    <mergeCell ref="B20:C20"/>
    <mergeCell ref="L9:L10"/>
    <mergeCell ref="A9:A10"/>
    <mergeCell ref="D9:D10"/>
    <mergeCell ref="A6:B6"/>
    <mergeCell ref="G6:I6"/>
    <mergeCell ref="J10:K10"/>
    <mergeCell ref="H9:K9"/>
    <mergeCell ref="E9:E10"/>
    <mergeCell ref="G9:G10"/>
    <mergeCell ref="B9:C10"/>
    <mergeCell ref="H10:I10"/>
    <mergeCell ref="E5:I5"/>
    <mergeCell ref="A7:B7"/>
    <mergeCell ref="C6:D6"/>
    <mergeCell ref="C7:D7"/>
    <mergeCell ref="A1:L1"/>
    <mergeCell ref="A2:L2"/>
    <mergeCell ref="A3:L3"/>
    <mergeCell ref="A4:L4"/>
    <mergeCell ref="A5:B5"/>
    <mergeCell ref="C5:D5"/>
    <mergeCell ref="K5:L5"/>
    <mergeCell ref="K6:L6"/>
    <mergeCell ref="K7:L7"/>
    <mergeCell ref="G7:I7"/>
    <mergeCell ref="B12:C12"/>
    <mergeCell ref="B13:C13"/>
    <mergeCell ref="H11:I11"/>
    <mergeCell ref="H12:I12"/>
    <mergeCell ref="H13:I13"/>
    <mergeCell ref="J11:K11"/>
    <mergeCell ref="J12:K12"/>
    <mergeCell ref="J13:K13"/>
    <mergeCell ref="H28:I28"/>
    <mergeCell ref="B28:C28"/>
    <mergeCell ref="B14:C14"/>
    <mergeCell ref="B15:C15"/>
    <mergeCell ref="B26:C26"/>
    <mergeCell ref="B27:C27"/>
    <mergeCell ref="B21:C21"/>
    <mergeCell ref="B22:C22"/>
    <mergeCell ref="B23:C23"/>
    <mergeCell ref="B24:C24"/>
    <mergeCell ref="B25:C25"/>
    <mergeCell ref="H16:I16"/>
    <mergeCell ref="B11:C11"/>
    <mergeCell ref="H32:I32"/>
    <mergeCell ref="H31:I31"/>
    <mergeCell ref="H30:I30"/>
    <mergeCell ref="B30:C30"/>
    <mergeCell ref="H29:I29"/>
    <mergeCell ref="B29:C29"/>
    <mergeCell ref="B31:C31"/>
    <mergeCell ref="B32:C32"/>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0" t="s">
        <v>65</v>
      </c>
      <c r="B1" s="100"/>
      <c r="C1" s="100"/>
      <c r="D1" s="100"/>
      <c r="E1" s="100"/>
      <c r="F1" s="100"/>
      <c r="G1" s="100"/>
      <c r="H1" s="100"/>
      <c r="I1" s="100"/>
      <c r="J1" s="100"/>
      <c r="K1" s="100"/>
      <c r="L1" s="100"/>
      <c r="M1" s="100"/>
      <c r="N1" s="100"/>
      <c r="O1" s="100"/>
      <c r="P1" s="100"/>
      <c r="Q1" s="100"/>
    </row>
    <row r="2" spans="1:17" ht="21">
      <c r="A2" s="100" t="s">
        <v>66</v>
      </c>
      <c r="B2" s="100"/>
      <c r="C2" s="100"/>
      <c r="D2" s="100"/>
      <c r="E2" s="100"/>
      <c r="F2" s="100"/>
      <c r="G2" s="100"/>
      <c r="H2" s="100"/>
      <c r="I2" s="100"/>
      <c r="J2" s="100"/>
      <c r="K2" s="100"/>
      <c r="L2" s="100"/>
      <c r="M2" s="100"/>
      <c r="N2" s="100"/>
      <c r="O2" s="100"/>
      <c r="P2" s="100"/>
      <c r="Q2" s="100"/>
    </row>
    <row r="3" spans="1:17">
      <c r="A3" s="21"/>
    </row>
    <row r="4" spans="1:17" ht="15.75" thickBot="1">
      <c r="A4" s="21"/>
    </row>
    <row r="5" spans="1:17" ht="16.5" thickBot="1">
      <c r="A5" s="91" t="s">
        <v>10</v>
      </c>
      <c r="B5" s="91" t="s">
        <v>11</v>
      </c>
      <c r="C5" s="91" t="s">
        <v>180</v>
      </c>
      <c r="D5" s="91" t="s">
        <v>67</v>
      </c>
      <c r="E5" s="102" t="s">
        <v>68</v>
      </c>
      <c r="F5" s="103"/>
      <c r="G5" s="103"/>
      <c r="H5" s="103"/>
      <c r="I5" s="103"/>
      <c r="J5" s="103"/>
      <c r="K5" s="103"/>
      <c r="L5" s="103"/>
      <c r="M5" s="104"/>
      <c r="N5" s="91" t="s">
        <v>69</v>
      </c>
      <c r="O5" s="102" t="s">
        <v>70</v>
      </c>
      <c r="P5" s="104"/>
      <c r="Q5" s="91" t="s">
        <v>71</v>
      </c>
    </row>
    <row r="6" spans="1:17" ht="15.75">
      <c r="A6" s="92"/>
      <c r="B6" s="92"/>
      <c r="C6" s="92"/>
      <c r="D6" s="92"/>
      <c r="E6" s="105" t="s">
        <v>72</v>
      </c>
      <c r="F6" s="106"/>
      <c r="G6" s="107"/>
      <c r="H6" s="105" t="s">
        <v>73</v>
      </c>
      <c r="I6" s="106"/>
      <c r="J6" s="107"/>
      <c r="K6" s="105" t="s">
        <v>74</v>
      </c>
      <c r="L6" s="106"/>
      <c r="M6" s="107"/>
      <c r="N6" s="92"/>
      <c r="O6" s="91" t="s">
        <v>75</v>
      </c>
      <c r="P6" s="91" t="s">
        <v>76</v>
      </c>
      <c r="Q6" s="92"/>
    </row>
    <row r="7" spans="1:17" ht="16.5" thickBot="1">
      <c r="A7" s="92"/>
      <c r="B7" s="92"/>
      <c r="C7" s="101"/>
      <c r="D7" s="92"/>
      <c r="E7" s="94" t="s">
        <v>77</v>
      </c>
      <c r="F7" s="95"/>
      <c r="G7" s="96"/>
      <c r="H7" s="94" t="s">
        <v>78</v>
      </c>
      <c r="I7" s="95"/>
      <c r="J7" s="96"/>
      <c r="K7" s="94" t="s">
        <v>77</v>
      </c>
      <c r="L7" s="95"/>
      <c r="M7" s="96"/>
      <c r="N7" s="92"/>
      <c r="O7" s="92"/>
      <c r="P7" s="92"/>
      <c r="Q7" s="92"/>
    </row>
    <row r="8" spans="1:17" ht="16.5" thickBot="1">
      <c r="A8" s="93"/>
      <c r="B8" s="93"/>
      <c r="C8" s="93"/>
      <c r="D8" s="93"/>
      <c r="E8" s="22" t="s">
        <v>79</v>
      </c>
      <c r="F8" s="22" t="s">
        <v>80</v>
      </c>
      <c r="G8" s="22" t="s">
        <v>81</v>
      </c>
      <c r="H8" s="22" t="s">
        <v>79</v>
      </c>
      <c r="I8" s="22" t="s">
        <v>80</v>
      </c>
      <c r="J8" s="22" t="s">
        <v>81</v>
      </c>
      <c r="K8" s="22" t="s">
        <v>79</v>
      </c>
      <c r="L8" s="22" t="s">
        <v>80</v>
      </c>
      <c r="M8" s="22" t="s">
        <v>81</v>
      </c>
      <c r="N8" s="93"/>
      <c r="O8" s="93"/>
      <c r="P8" s="93"/>
      <c r="Q8" s="93"/>
    </row>
    <row r="9" spans="1:17" ht="21.75" customHeight="1">
      <c r="A9" s="47">
        <v>1</v>
      </c>
      <c r="B9" s="97" t="s">
        <v>154</v>
      </c>
      <c r="C9" s="98"/>
      <c r="D9" s="98"/>
      <c r="E9" s="98"/>
      <c r="F9" s="98"/>
      <c r="G9" s="98"/>
      <c r="H9" s="98"/>
      <c r="I9" s="98"/>
      <c r="J9" s="98"/>
      <c r="K9" s="98"/>
      <c r="L9" s="98"/>
      <c r="M9" s="98"/>
      <c r="N9" s="98"/>
      <c r="O9" s="98"/>
      <c r="P9" s="98"/>
      <c r="Q9" s="99"/>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B24" sqref="B24"/>
    </sheetView>
  </sheetViews>
  <sheetFormatPr defaultRowHeight="15"/>
  <cols>
    <col min="1" max="1" width="6.85546875" bestFit="1" customWidth="1"/>
    <col min="2" max="2" width="21.28515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0" t="s">
        <v>82</v>
      </c>
      <c r="B1" s="100"/>
      <c r="C1" s="100"/>
      <c r="D1" s="100"/>
      <c r="E1" s="100"/>
      <c r="F1" s="100"/>
      <c r="G1" s="100"/>
      <c r="H1" s="100"/>
      <c r="I1" s="100"/>
    </row>
    <row r="2" spans="1:9">
      <c r="A2" s="108"/>
      <c r="B2" s="108"/>
      <c r="H2" t="s">
        <v>83</v>
      </c>
      <c r="I2" s="10">
        <f>'Form 1'!C9</f>
        <v>331</v>
      </c>
    </row>
    <row r="3" spans="1:9" ht="24" customHeight="1">
      <c r="A3" s="109" t="s">
        <v>10</v>
      </c>
      <c r="B3" s="109" t="s">
        <v>11</v>
      </c>
      <c r="C3" s="109" t="s">
        <v>12</v>
      </c>
      <c r="D3" s="109" t="s">
        <v>84</v>
      </c>
      <c r="E3" s="109" t="s">
        <v>108</v>
      </c>
      <c r="F3" s="109" t="s">
        <v>85</v>
      </c>
      <c r="G3" s="82" t="s">
        <v>15</v>
      </c>
      <c r="H3" s="83"/>
      <c r="I3" s="109" t="s">
        <v>86</v>
      </c>
    </row>
    <row r="4" spans="1:9" ht="63">
      <c r="A4" s="110"/>
      <c r="B4" s="110"/>
      <c r="C4" s="110"/>
      <c r="D4" s="110"/>
      <c r="E4" s="110"/>
      <c r="F4" s="110"/>
      <c r="G4" s="20" t="s">
        <v>87</v>
      </c>
      <c r="H4" s="20" t="s">
        <v>19</v>
      </c>
      <c r="I4" s="110"/>
    </row>
    <row r="5" spans="1:9" ht="15.6" customHeight="1">
      <c r="A5" s="23">
        <v>1</v>
      </c>
      <c r="B5" s="45" t="s">
        <v>142</v>
      </c>
      <c r="C5" s="4" t="s">
        <v>119</v>
      </c>
      <c r="D5" s="4"/>
      <c r="E5" s="4">
        <v>58.7</v>
      </c>
      <c r="F5" s="41">
        <v>4</v>
      </c>
      <c r="G5" s="23"/>
      <c r="H5" s="23"/>
      <c r="I5" s="23"/>
    </row>
    <row r="6" spans="1:9" ht="15.6" customHeight="1">
      <c r="A6" s="23">
        <v>2</v>
      </c>
      <c r="B6" s="45" t="s">
        <v>142</v>
      </c>
      <c r="C6" s="4" t="s">
        <v>119</v>
      </c>
      <c r="D6" s="4"/>
      <c r="E6" s="4">
        <v>21.5</v>
      </c>
      <c r="F6" s="41">
        <v>1</v>
      </c>
      <c r="G6" s="23"/>
      <c r="H6" s="23"/>
      <c r="I6" s="23"/>
    </row>
    <row r="7" spans="1:9" ht="15.6" customHeight="1">
      <c r="A7" s="23">
        <v>3</v>
      </c>
      <c r="B7" s="45" t="s">
        <v>150</v>
      </c>
      <c r="C7" s="4" t="s">
        <v>126</v>
      </c>
      <c r="D7" s="4"/>
      <c r="E7" s="4">
        <v>32.6</v>
      </c>
      <c r="F7" s="41">
        <v>2</v>
      </c>
      <c r="G7" s="23"/>
      <c r="H7" s="23"/>
      <c r="I7" s="23"/>
    </row>
    <row r="8" spans="1:9" ht="15.75">
      <c r="A8" s="24"/>
      <c r="B8" s="25"/>
      <c r="C8" s="26"/>
      <c r="D8" s="27"/>
      <c r="E8" s="27"/>
      <c r="F8" s="27"/>
      <c r="G8" s="24"/>
      <c r="H8" s="24"/>
      <c r="I8" s="24"/>
    </row>
    <row r="9" spans="1:9" ht="21">
      <c r="A9" s="100" t="s">
        <v>88</v>
      </c>
      <c r="B9" s="100"/>
      <c r="C9" s="100"/>
      <c r="D9" s="100"/>
      <c r="E9" s="100"/>
      <c r="F9" s="100"/>
      <c r="G9" s="100"/>
      <c r="H9" s="100"/>
      <c r="I9" s="100"/>
    </row>
    <row r="10" spans="1:9" ht="15.75">
      <c r="A10" s="111"/>
      <c r="B10" s="111"/>
      <c r="H10" t="s">
        <v>83</v>
      </c>
      <c r="I10" s="10">
        <f>'Form 1'!C9</f>
        <v>331</v>
      </c>
    </row>
    <row r="11" spans="1:9" ht="15.75" customHeight="1">
      <c r="A11" s="79" t="s">
        <v>10</v>
      </c>
      <c r="B11" s="79" t="s">
        <v>11</v>
      </c>
      <c r="C11" s="79" t="s">
        <v>12</v>
      </c>
      <c r="D11" s="79" t="s">
        <v>84</v>
      </c>
      <c r="E11" s="109" t="s">
        <v>108</v>
      </c>
      <c r="F11" s="79" t="s">
        <v>85</v>
      </c>
      <c r="G11" s="79" t="s">
        <v>15</v>
      </c>
      <c r="H11" s="79"/>
      <c r="I11" s="109" t="s">
        <v>86</v>
      </c>
    </row>
    <row r="12" spans="1:9" ht="63">
      <c r="A12" s="79"/>
      <c r="B12" s="79"/>
      <c r="C12" s="79"/>
      <c r="D12" s="79"/>
      <c r="E12" s="110"/>
      <c r="F12" s="79"/>
      <c r="G12" s="20" t="s">
        <v>87</v>
      </c>
      <c r="H12" s="20" t="s">
        <v>19</v>
      </c>
      <c r="I12" s="110"/>
    </row>
    <row r="13" spans="1:9" ht="15.75">
      <c r="A13" s="23">
        <v>1</v>
      </c>
      <c r="B13" s="45" t="s">
        <v>151</v>
      </c>
      <c r="C13" s="3" t="s">
        <v>131</v>
      </c>
      <c r="D13" s="40"/>
      <c r="E13" s="42">
        <v>32.200000000000003</v>
      </c>
      <c r="F13" s="40">
        <v>2</v>
      </c>
      <c r="G13" s="23"/>
      <c r="H13" s="23"/>
      <c r="I13" s="28"/>
    </row>
    <row r="14" spans="1:9" ht="15.75">
      <c r="A14" s="23">
        <v>2</v>
      </c>
      <c r="B14" s="45" t="s">
        <v>151</v>
      </c>
      <c r="C14" s="3" t="s">
        <v>131</v>
      </c>
      <c r="D14" s="40"/>
      <c r="E14" s="42">
        <v>20.100000000000001</v>
      </c>
      <c r="F14" s="40">
        <v>1</v>
      </c>
      <c r="G14" s="23"/>
      <c r="H14" s="23"/>
      <c r="I14" s="28"/>
    </row>
    <row r="15" spans="1:9" ht="15.75">
      <c r="A15" s="23">
        <v>3</v>
      </c>
      <c r="B15" s="45" t="s">
        <v>151</v>
      </c>
      <c r="C15" s="3" t="s">
        <v>131</v>
      </c>
      <c r="D15" s="40"/>
      <c r="E15" s="42">
        <v>30.2</v>
      </c>
      <c r="F15" s="40">
        <v>1.5</v>
      </c>
      <c r="G15" s="23"/>
      <c r="H15" s="23"/>
      <c r="I15" s="28"/>
    </row>
    <row r="16" spans="1:9" ht="15.75">
      <c r="A16" s="23">
        <v>4</v>
      </c>
      <c r="B16" s="45" t="s">
        <v>151</v>
      </c>
      <c r="C16" s="3" t="s">
        <v>131</v>
      </c>
      <c r="D16" s="40"/>
      <c r="E16" s="42">
        <v>27.2</v>
      </c>
      <c r="F16" s="40">
        <v>1</v>
      </c>
      <c r="G16" s="23"/>
      <c r="H16" s="23"/>
      <c r="I16" s="28"/>
    </row>
    <row r="17" spans="1:9" ht="15.75">
      <c r="A17" s="23">
        <v>5</v>
      </c>
      <c r="B17" s="45" t="s">
        <v>142</v>
      </c>
      <c r="C17" s="3" t="s">
        <v>119</v>
      </c>
      <c r="D17" s="40"/>
      <c r="E17" s="42">
        <v>64.3</v>
      </c>
      <c r="F17" s="40">
        <v>4</v>
      </c>
      <c r="G17" s="23"/>
      <c r="H17" s="23"/>
      <c r="I17" s="28"/>
    </row>
    <row r="18" spans="1:9" ht="15.75">
      <c r="A18" s="23">
        <v>6</v>
      </c>
      <c r="B18" s="45" t="s">
        <v>142</v>
      </c>
      <c r="C18" s="3" t="s">
        <v>119</v>
      </c>
      <c r="D18" s="40"/>
      <c r="E18" s="42">
        <v>28.2</v>
      </c>
      <c r="F18" s="40">
        <v>1.5</v>
      </c>
      <c r="G18" s="23"/>
      <c r="H18" s="23"/>
      <c r="I18" s="28"/>
    </row>
    <row r="20" spans="1:9" ht="21">
      <c r="A20" s="100" t="s">
        <v>89</v>
      </c>
      <c r="B20" s="100"/>
      <c r="C20" s="100"/>
      <c r="D20" s="100"/>
      <c r="E20" s="100"/>
      <c r="F20" s="100"/>
      <c r="G20" s="100"/>
      <c r="H20" s="100"/>
      <c r="I20" s="100"/>
    </row>
    <row r="21" spans="1:9" ht="15.75">
      <c r="A21" s="111"/>
      <c r="B21" s="111"/>
      <c r="H21" s="10" t="s">
        <v>83</v>
      </c>
      <c r="I21" s="10">
        <f>'Form 1'!C9</f>
        <v>331</v>
      </c>
    </row>
    <row r="22" spans="1:9" ht="15.75" customHeight="1">
      <c r="A22" s="79" t="s">
        <v>10</v>
      </c>
      <c r="B22" s="79" t="s">
        <v>11</v>
      </c>
      <c r="C22" s="79" t="s">
        <v>12</v>
      </c>
      <c r="D22" s="79" t="s">
        <v>84</v>
      </c>
      <c r="E22" s="109" t="s">
        <v>108</v>
      </c>
      <c r="F22" s="79" t="s">
        <v>85</v>
      </c>
      <c r="G22" s="79" t="s">
        <v>15</v>
      </c>
      <c r="H22" s="79"/>
      <c r="I22" s="109" t="s">
        <v>86</v>
      </c>
    </row>
    <row r="23" spans="1:9" ht="63">
      <c r="A23" s="79"/>
      <c r="B23" s="79"/>
      <c r="C23" s="79"/>
      <c r="D23" s="79"/>
      <c r="E23" s="110"/>
      <c r="F23" s="79"/>
      <c r="G23" s="20" t="s">
        <v>87</v>
      </c>
      <c r="H23" s="20" t="s">
        <v>19</v>
      </c>
      <c r="I23" s="110"/>
    </row>
    <row r="24" spans="1:9" ht="15.6" customHeight="1">
      <c r="A24" s="23">
        <v>1</v>
      </c>
      <c r="B24" s="45" t="s">
        <v>151</v>
      </c>
      <c r="C24" s="3" t="s">
        <v>131</v>
      </c>
      <c r="D24" s="40"/>
      <c r="E24" s="3">
        <v>30.1</v>
      </c>
      <c r="F24" s="40">
        <v>1.5</v>
      </c>
      <c r="G24" s="23"/>
      <c r="H24" s="23"/>
      <c r="I24" s="23"/>
    </row>
    <row r="25" spans="1:9" ht="15.6" customHeight="1">
      <c r="A25" s="23">
        <v>2</v>
      </c>
      <c r="B25" s="45" t="s">
        <v>142</v>
      </c>
      <c r="C25" s="3" t="s">
        <v>119</v>
      </c>
      <c r="D25" s="40"/>
      <c r="E25" s="3">
        <v>27.2</v>
      </c>
      <c r="F25" s="40">
        <v>2</v>
      </c>
      <c r="G25" s="23"/>
      <c r="H25" s="23"/>
      <c r="I25" s="23"/>
    </row>
    <row r="26" spans="1:9" ht="15.75">
      <c r="D26" s="27"/>
      <c r="F26" s="29"/>
    </row>
    <row r="27" spans="1:9" ht="21">
      <c r="A27" s="100" t="s">
        <v>90</v>
      </c>
      <c r="B27" s="100"/>
      <c r="C27" s="100"/>
      <c r="D27" s="100"/>
      <c r="E27" s="100"/>
      <c r="F27" s="100"/>
      <c r="G27" s="100"/>
      <c r="H27" s="100"/>
      <c r="I27" s="100"/>
    </row>
    <row r="28" spans="1:9">
      <c r="A28" s="112"/>
      <c r="B28" s="112"/>
      <c r="H28" t="s">
        <v>83</v>
      </c>
      <c r="I28" s="10">
        <f>'Form 1'!C9</f>
        <v>331</v>
      </c>
    </row>
    <row r="29" spans="1:9" ht="15.75" customHeight="1">
      <c r="A29" s="79" t="s">
        <v>10</v>
      </c>
      <c r="B29" s="79" t="s">
        <v>11</v>
      </c>
      <c r="C29" s="79" t="s">
        <v>12</v>
      </c>
      <c r="D29" s="79" t="s">
        <v>84</v>
      </c>
      <c r="E29" s="109" t="s">
        <v>108</v>
      </c>
      <c r="F29" s="79" t="s">
        <v>85</v>
      </c>
      <c r="G29" s="79" t="s">
        <v>15</v>
      </c>
      <c r="H29" s="79"/>
      <c r="I29" s="79" t="s">
        <v>86</v>
      </c>
    </row>
    <row r="30" spans="1:9" ht="63">
      <c r="A30" s="79"/>
      <c r="B30" s="79"/>
      <c r="C30" s="79"/>
      <c r="D30" s="79"/>
      <c r="E30" s="110"/>
      <c r="F30" s="79"/>
      <c r="G30" s="38" t="s">
        <v>87</v>
      </c>
      <c r="H30" s="38" t="s">
        <v>19</v>
      </c>
      <c r="I30" s="79"/>
    </row>
    <row r="31" spans="1:9" ht="17.25" customHeight="1">
      <c r="A31" s="23">
        <v>1</v>
      </c>
      <c r="B31" s="45" t="s">
        <v>142</v>
      </c>
      <c r="C31" s="3" t="s">
        <v>119</v>
      </c>
      <c r="D31" s="43"/>
      <c r="E31" s="44">
        <v>20.100000000000001</v>
      </c>
      <c r="F31" s="43">
        <v>1</v>
      </c>
      <c r="G31" s="23"/>
      <c r="H31" s="23"/>
      <c r="I31" s="23"/>
    </row>
    <row r="32" spans="1:9" ht="17.25" customHeight="1">
      <c r="A32" s="23">
        <v>2</v>
      </c>
      <c r="B32" s="45" t="s">
        <v>148</v>
      </c>
      <c r="C32" s="3" t="s">
        <v>136</v>
      </c>
      <c r="D32" s="43"/>
      <c r="E32" s="44">
        <v>32.200000000000003</v>
      </c>
      <c r="F32" s="43" t="s">
        <v>137</v>
      </c>
      <c r="G32" s="23"/>
      <c r="H32" s="23"/>
      <c r="I32" s="23"/>
    </row>
  </sheetData>
  <mergeCells count="40">
    <mergeCell ref="A27:I27"/>
    <mergeCell ref="A28:B28"/>
    <mergeCell ref="A29:A30"/>
    <mergeCell ref="B29:B30"/>
    <mergeCell ref="C29:C30"/>
    <mergeCell ref="D29:D30"/>
    <mergeCell ref="E29:E30"/>
    <mergeCell ref="F29:F30"/>
    <mergeCell ref="G29:H29"/>
    <mergeCell ref="I29:I30"/>
    <mergeCell ref="A20:I20"/>
    <mergeCell ref="A21:B21"/>
    <mergeCell ref="A22:A23"/>
    <mergeCell ref="B22:B23"/>
    <mergeCell ref="C22:C23"/>
    <mergeCell ref="D22:D23"/>
    <mergeCell ref="E22:E23"/>
    <mergeCell ref="F22:F23"/>
    <mergeCell ref="G22:H22"/>
    <mergeCell ref="I22:I23"/>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workbookViewId="0">
      <selection activeCell="K36" sqref="K36"/>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7109375" customWidth="1"/>
    <col min="12" max="12" width="18.85546875" customWidth="1"/>
  </cols>
  <sheetData>
    <row r="1" spans="1:7" ht="15.75">
      <c r="A1" s="113" t="s">
        <v>91</v>
      </c>
      <c r="B1" s="113"/>
      <c r="C1" s="113"/>
      <c r="D1" s="113"/>
      <c r="E1" s="113"/>
      <c r="F1" s="113"/>
      <c r="G1" s="113"/>
    </row>
    <row r="2" spans="1:7" ht="15.75">
      <c r="A2" s="114"/>
      <c r="B2" s="114"/>
      <c r="C2" s="2"/>
      <c r="D2" s="2"/>
      <c r="E2" s="2"/>
      <c r="F2" t="s">
        <v>83</v>
      </c>
      <c r="G2" s="10">
        <f>'Form 1'!C9</f>
        <v>331</v>
      </c>
    </row>
    <row r="3" spans="1:7" ht="15.75">
      <c r="A3" s="79" t="s">
        <v>10</v>
      </c>
      <c r="B3" s="79" t="s">
        <v>11</v>
      </c>
      <c r="C3" s="79" t="s">
        <v>12</v>
      </c>
      <c r="D3" s="79" t="s">
        <v>92</v>
      </c>
      <c r="E3" s="79" t="s">
        <v>15</v>
      </c>
      <c r="F3" s="79"/>
      <c r="G3" s="79" t="s">
        <v>93</v>
      </c>
    </row>
    <row r="4" spans="1:7" ht="31.5">
      <c r="A4" s="79"/>
      <c r="B4" s="79"/>
      <c r="C4" s="79"/>
      <c r="D4" s="79"/>
      <c r="E4" s="30" t="s">
        <v>94</v>
      </c>
      <c r="F4" s="30" t="s">
        <v>95</v>
      </c>
      <c r="G4" s="79"/>
    </row>
    <row r="5" spans="1:7" ht="15.75">
      <c r="A5" s="79"/>
      <c r="B5" s="79"/>
      <c r="C5" s="79"/>
      <c r="D5" s="79"/>
      <c r="E5" s="31" t="s">
        <v>96</v>
      </c>
      <c r="F5" s="31" t="s">
        <v>97</v>
      </c>
      <c r="G5" s="79"/>
    </row>
    <row r="6" spans="1:7" ht="15.75">
      <c r="A6" s="23">
        <v>1</v>
      </c>
      <c r="B6" s="45" t="s">
        <v>142</v>
      </c>
      <c r="C6" s="3" t="s">
        <v>119</v>
      </c>
      <c r="D6" s="40">
        <v>22</v>
      </c>
      <c r="E6" s="23"/>
      <c r="F6" s="30"/>
      <c r="G6" s="23"/>
    </row>
    <row r="7" spans="1:7" ht="15.75">
      <c r="A7" s="23">
        <v>2</v>
      </c>
      <c r="B7" s="45" t="s">
        <v>142</v>
      </c>
      <c r="C7" s="3" t="s">
        <v>119</v>
      </c>
      <c r="D7" s="40">
        <v>18</v>
      </c>
      <c r="E7" s="23"/>
      <c r="F7" s="23"/>
      <c r="G7" s="23"/>
    </row>
    <row r="8" spans="1:7" ht="31.5">
      <c r="A8" s="23">
        <v>3</v>
      </c>
      <c r="B8" s="32" t="s">
        <v>144</v>
      </c>
      <c r="C8" s="3" t="s">
        <v>121</v>
      </c>
      <c r="D8" s="40">
        <v>13</v>
      </c>
      <c r="E8" s="23"/>
      <c r="F8" s="39"/>
      <c r="G8" s="23"/>
    </row>
    <row r="9" spans="1:7" ht="15.75">
      <c r="A9" s="23">
        <v>4</v>
      </c>
      <c r="B9" t="s">
        <v>152</v>
      </c>
      <c r="C9" s="3" t="s">
        <v>138</v>
      </c>
      <c r="D9" s="40" t="s">
        <v>139</v>
      </c>
      <c r="E9" s="23"/>
      <c r="F9" s="23"/>
      <c r="G9" s="23"/>
    </row>
    <row r="10" spans="1:7" ht="15.75">
      <c r="A10" s="23">
        <v>5</v>
      </c>
      <c r="B10" s="45" t="s">
        <v>151</v>
      </c>
      <c r="C10" s="3" t="s">
        <v>131</v>
      </c>
      <c r="D10" s="40">
        <v>32</v>
      </c>
      <c r="E10" s="23"/>
      <c r="F10" s="39"/>
      <c r="G10" s="23"/>
    </row>
    <row r="11" spans="1:7" ht="15.75">
      <c r="A11" s="23">
        <v>6</v>
      </c>
      <c r="B11" s="45" t="s">
        <v>151</v>
      </c>
      <c r="C11" s="3" t="s">
        <v>131</v>
      </c>
      <c r="D11" s="40">
        <v>15</v>
      </c>
      <c r="E11" s="23"/>
      <c r="F11" s="23"/>
      <c r="G11" s="23"/>
    </row>
    <row r="12" spans="1:7" ht="15.75">
      <c r="A12" s="23">
        <v>7</v>
      </c>
      <c r="B12" s="45" t="s">
        <v>151</v>
      </c>
      <c r="C12" s="3" t="s">
        <v>131</v>
      </c>
      <c r="D12" s="40">
        <v>10</v>
      </c>
      <c r="E12" s="23"/>
      <c r="F12" s="39"/>
      <c r="G12" s="23"/>
    </row>
    <row r="13" spans="1:7" ht="15.75">
      <c r="A13" s="23">
        <v>8</v>
      </c>
      <c r="B13" s="45" t="s">
        <v>151</v>
      </c>
      <c r="C13" s="3" t="s">
        <v>131</v>
      </c>
      <c r="D13" s="40">
        <v>7</v>
      </c>
      <c r="E13" s="23"/>
      <c r="F13" s="23"/>
      <c r="G13" s="23"/>
    </row>
    <row r="14" spans="1:7" ht="15.75">
      <c r="A14" s="82" t="s">
        <v>103</v>
      </c>
      <c r="B14" s="118"/>
      <c r="C14" s="118"/>
      <c r="D14" s="118"/>
      <c r="E14" s="118"/>
      <c r="F14" s="118"/>
      <c r="G14" s="83"/>
    </row>
    <row r="15" spans="1:7" ht="15.75">
      <c r="A15" s="23">
        <v>1</v>
      </c>
      <c r="B15" s="115" t="s">
        <v>104</v>
      </c>
      <c r="C15" s="116"/>
      <c r="D15" s="116"/>
      <c r="E15" s="116"/>
      <c r="F15" s="117"/>
      <c r="G15" s="3" t="s">
        <v>127</v>
      </c>
    </row>
    <row r="16" spans="1:7" ht="15.75">
      <c r="A16" s="23">
        <v>2</v>
      </c>
      <c r="B16" s="115" t="s">
        <v>105</v>
      </c>
      <c r="C16" s="116"/>
      <c r="D16" s="116"/>
      <c r="E16" s="116"/>
      <c r="F16" s="117"/>
      <c r="G16" s="3" t="s">
        <v>128</v>
      </c>
    </row>
    <row r="17" spans="1:12" ht="15.75">
      <c r="A17" s="23">
        <v>3</v>
      </c>
      <c r="B17" s="115" t="s">
        <v>106</v>
      </c>
      <c r="C17" s="116"/>
      <c r="D17" s="116"/>
      <c r="E17" s="116"/>
      <c r="F17" s="117"/>
      <c r="G17" s="3" t="s">
        <v>129</v>
      </c>
    </row>
    <row r="18" spans="1:12" ht="15.75">
      <c r="A18" s="23">
        <v>4</v>
      </c>
      <c r="B18" s="115" t="s">
        <v>107</v>
      </c>
      <c r="C18" s="116"/>
      <c r="D18" s="116"/>
      <c r="E18" s="116"/>
      <c r="F18" s="117"/>
      <c r="G18" s="3" t="s">
        <v>130</v>
      </c>
    </row>
    <row r="19" spans="1:12" ht="15.75">
      <c r="A19" s="24"/>
      <c r="B19" s="34"/>
      <c r="C19" s="34"/>
      <c r="D19" s="24"/>
      <c r="E19" s="24"/>
      <c r="F19" s="24"/>
      <c r="G19" s="24"/>
      <c r="L19" s="33"/>
    </row>
    <row r="20" spans="1:12" s="35" customFormat="1" ht="19.899999999999999" customHeight="1">
      <c r="A20" s="120" t="s">
        <v>98</v>
      </c>
      <c r="B20" s="120"/>
      <c r="C20" s="120"/>
      <c r="D20" s="120"/>
      <c r="E20" s="120"/>
      <c r="F20" s="120"/>
      <c r="G20" s="120"/>
      <c r="L20" s="33"/>
    </row>
    <row r="21" spans="1:12" ht="15.75">
      <c r="A21" s="35"/>
      <c r="B21" s="35"/>
      <c r="C21" s="35"/>
      <c r="D21" s="35"/>
      <c r="E21" s="35"/>
      <c r="F21" t="s">
        <v>83</v>
      </c>
      <c r="G21" s="10">
        <f>'Form 1'!C9</f>
        <v>331</v>
      </c>
      <c r="L21" s="33"/>
    </row>
    <row r="22" spans="1:12" ht="15.75" customHeight="1">
      <c r="A22" s="109" t="s">
        <v>10</v>
      </c>
      <c r="B22" s="109" t="s">
        <v>11</v>
      </c>
      <c r="C22" s="109" t="s">
        <v>12</v>
      </c>
      <c r="D22" s="109" t="s">
        <v>99</v>
      </c>
      <c r="E22" s="82" t="s">
        <v>15</v>
      </c>
      <c r="F22" s="83"/>
      <c r="G22" s="109" t="s">
        <v>100</v>
      </c>
      <c r="L22" s="33"/>
    </row>
    <row r="23" spans="1:12" ht="31.5">
      <c r="A23" s="119"/>
      <c r="B23" s="119"/>
      <c r="C23" s="119"/>
      <c r="D23" s="119"/>
      <c r="E23" s="30" t="s">
        <v>94</v>
      </c>
      <c r="F23" s="30" t="s">
        <v>95</v>
      </c>
      <c r="G23" s="119"/>
      <c r="L23" s="33"/>
    </row>
    <row r="24" spans="1:12" ht="15.75">
      <c r="A24" s="110"/>
      <c r="B24" s="110"/>
      <c r="C24" s="110"/>
      <c r="D24" s="110"/>
      <c r="E24" s="31" t="s">
        <v>96</v>
      </c>
      <c r="F24" s="31" t="s">
        <v>97</v>
      </c>
      <c r="G24" s="110"/>
      <c r="L24" s="33"/>
    </row>
    <row r="25" spans="1:12" ht="15.75">
      <c r="A25" s="23">
        <v>1</v>
      </c>
      <c r="B25" s="45" t="s">
        <v>148</v>
      </c>
      <c r="C25" s="3" t="s">
        <v>136</v>
      </c>
      <c r="D25" s="40">
        <v>45</v>
      </c>
      <c r="E25" s="23"/>
      <c r="F25" s="23"/>
      <c r="G25" s="23"/>
      <c r="L25" s="33"/>
    </row>
    <row r="26" spans="1:12" ht="15.75">
      <c r="A26" s="23">
        <v>2</v>
      </c>
      <c r="B26" s="45" t="s">
        <v>142</v>
      </c>
      <c r="C26" s="3" t="s">
        <v>119</v>
      </c>
      <c r="D26" s="40">
        <v>13</v>
      </c>
      <c r="E26" s="23"/>
      <c r="F26" s="23"/>
      <c r="G26" s="23"/>
      <c r="L26" s="33"/>
    </row>
    <row r="27" spans="1:12" ht="15.75">
      <c r="A27" s="23">
        <v>3</v>
      </c>
      <c r="B27" s="45" t="s">
        <v>153</v>
      </c>
      <c r="C27" s="3" t="s">
        <v>140</v>
      </c>
      <c r="D27" s="40">
        <v>21</v>
      </c>
      <c r="E27" s="23"/>
      <c r="F27" s="23"/>
      <c r="G27" s="23"/>
      <c r="L27" s="33"/>
    </row>
    <row r="28" spans="1:12" ht="15.75">
      <c r="A28" s="23">
        <v>4</v>
      </c>
      <c r="B28" s="45" t="s">
        <v>151</v>
      </c>
      <c r="C28" s="3" t="s">
        <v>131</v>
      </c>
      <c r="D28" s="40">
        <v>55</v>
      </c>
      <c r="E28" s="23"/>
      <c r="F28" s="23"/>
      <c r="G28" s="23"/>
      <c r="L28" s="33"/>
    </row>
    <row r="29" spans="1:12" ht="15.75">
      <c r="A29" s="23">
        <v>5</v>
      </c>
      <c r="B29" s="45" t="s">
        <v>151</v>
      </c>
      <c r="C29" s="3" t="s">
        <v>131</v>
      </c>
      <c r="D29" s="40">
        <v>40</v>
      </c>
      <c r="E29" s="23"/>
      <c r="F29" s="23"/>
      <c r="G29" s="23"/>
      <c r="L29" s="33"/>
    </row>
    <row r="30" spans="1:12" ht="15.75">
      <c r="A30" s="23">
        <v>6</v>
      </c>
      <c r="B30" s="45" t="s">
        <v>151</v>
      </c>
      <c r="C30" s="3" t="s">
        <v>131</v>
      </c>
      <c r="D30" s="40">
        <v>18</v>
      </c>
      <c r="E30" s="23"/>
      <c r="F30" s="23"/>
      <c r="G30" s="23"/>
      <c r="L30" s="33"/>
    </row>
    <row r="31" spans="1:12" ht="15.75">
      <c r="A31" s="23">
        <v>7</v>
      </c>
      <c r="B31" s="45" t="s">
        <v>151</v>
      </c>
      <c r="C31" s="3" t="s">
        <v>131</v>
      </c>
      <c r="D31" s="40">
        <v>120</v>
      </c>
      <c r="E31" s="23"/>
      <c r="F31" s="23"/>
      <c r="G31" s="23"/>
      <c r="L31" s="33"/>
    </row>
    <row r="32" spans="1:12" ht="15.75">
      <c r="A32" s="23">
        <v>8</v>
      </c>
      <c r="B32" t="s">
        <v>152</v>
      </c>
      <c r="C32" s="3" t="s">
        <v>138</v>
      </c>
      <c r="D32" s="40" t="s">
        <v>139</v>
      </c>
      <c r="E32" s="23"/>
      <c r="F32" s="23"/>
      <c r="G32" s="23"/>
      <c r="L32" s="33"/>
    </row>
    <row r="33" spans="1:7" ht="15.75">
      <c r="A33" s="82" t="s">
        <v>103</v>
      </c>
      <c r="B33" s="118"/>
      <c r="C33" s="118"/>
      <c r="D33" s="118"/>
      <c r="E33" s="118"/>
      <c r="F33" s="118"/>
      <c r="G33" s="83"/>
    </row>
    <row r="34" spans="1:7" ht="15.75">
      <c r="A34" s="23">
        <v>1</v>
      </c>
      <c r="B34" s="115" t="s">
        <v>104</v>
      </c>
      <c r="C34" s="116"/>
      <c r="D34" s="116"/>
      <c r="E34" s="116"/>
      <c r="F34" s="117"/>
      <c r="G34" s="3" t="s">
        <v>132</v>
      </c>
    </row>
    <row r="35" spans="1:7" ht="15.75">
      <c r="A35" s="23">
        <v>2</v>
      </c>
      <c r="B35" s="115" t="s">
        <v>105</v>
      </c>
      <c r="C35" s="116"/>
      <c r="D35" s="116"/>
      <c r="E35" s="116"/>
      <c r="F35" s="117"/>
      <c r="G35" s="3" t="s">
        <v>133</v>
      </c>
    </row>
    <row r="36" spans="1:7" ht="15.75">
      <c r="A36" s="23">
        <v>3</v>
      </c>
      <c r="B36" s="115" t="s">
        <v>106</v>
      </c>
      <c r="C36" s="116"/>
      <c r="D36" s="116"/>
      <c r="E36" s="116"/>
      <c r="F36" s="117"/>
      <c r="G36" s="3" t="s">
        <v>134</v>
      </c>
    </row>
    <row r="37" spans="1:7" ht="15.75">
      <c r="A37" s="23">
        <v>4</v>
      </c>
      <c r="B37" s="115" t="s">
        <v>107</v>
      </c>
      <c r="C37" s="116"/>
      <c r="D37" s="116"/>
      <c r="E37" s="116"/>
      <c r="F37" s="117"/>
      <c r="G37" s="3" t="s">
        <v>135</v>
      </c>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rintOptions horizontalCentered="1"/>
  <pageMargins left="0.59" right="0.51"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2024-03-14T11:24:59Z</dcterms:modified>
</cp:coreProperties>
</file>