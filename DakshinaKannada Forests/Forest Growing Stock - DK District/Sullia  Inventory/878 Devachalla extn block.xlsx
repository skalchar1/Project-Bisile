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4" i="11"/>
  <c r="I17" i="11"/>
  <c r="I9" i="11"/>
  <c r="I2" i="11"/>
  <c r="C13" i="8"/>
  <c r="C12" i="8"/>
  <c r="C11" i="8"/>
  <c r="C10" i="8"/>
  <c r="C5" i="6" s="1"/>
  <c r="C9" i="8"/>
</calcChain>
</file>

<file path=xl/sharedStrings.xml><?xml version="1.0" encoding="utf-8"?>
<sst xmlns="http://schemas.openxmlformats.org/spreadsheetml/2006/main" count="306" uniqueCount="177">
  <si>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</si>
  <si>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</si>
  <si>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</si>
  <si>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</si>
  <si>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</si>
  <si>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</si>
  <si>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</si>
  <si>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</si>
  <si>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</si>
  <si>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</si>
  <si>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</si>
  <si>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</si>
  <si>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</si>
  <si>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</si>
  <si>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</si>
  <si>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</si>
  <si>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</si>
  <si>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</si>
  <si>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</si>
  <si>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</si>
  <si>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</si>
  <si>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</si>
  <si>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</si>
  <si>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</si>
  <si>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</si>
  <si>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</si>
  <si>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</si>
  <si>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</si>
  <si>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</si>
  <si>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</si>
  <si>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</si>
  <si>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</si>
  <si>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</si>
  <si>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</si>
  <si>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</si>
  <si>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</si>
  <si>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</si>
  <si>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</si>
  <si>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</si>
  <si>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</si>
  <si>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</si>
  <si>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</si>
  <si>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</si>
  <si>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</si>
  <si>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</si>
  <si>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</si>
  <si>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</si>
  <si>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</si>
  <si>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</si>
  <si>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</si>
  <si>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</si>
  <si>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</si>
  <si>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</si>
  <si>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</si>
  <si>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</si>
  <si>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</si>
  <si>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</si>
  <si>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</si>
  <si>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</si>
  <si>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</si>
  <si>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</si>
  <si>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</si>
  <si>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</si>
  <si>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</si>
  <si>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</si>
  <si>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</si>
  <si>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</si>
  <si>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</si>
  <si>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</si>
  <si>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</si>
  <si>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</si>
  <si>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</si>
  <si>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</si>
  <si>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</si>
  <si>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</si>
  <si>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</si>
  <si>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</si>
  <si>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</si>
  <si>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</si>
  <si>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</si>
  <si>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</si>
  <si>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</si>
  <si>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</si>
  <si>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</si>
  <si>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</si>
  <si>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</si>
  <si>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</si>
  <si>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</si>
  <si>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</si>
  <si>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</si>
  <si>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</si>
  <si>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</si>
  <si>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</si>
  <si>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</si>
  <si>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</si>
  <si>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</si>
  <si>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</si>
  <si>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</si>
  <si>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</si>
  <si>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</si>
  <si>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</si>
  <si>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</si>
  <si>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</si>
  <si>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</si>
  <si>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</si>
  <si>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</si>
  <si>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</si>
  <si>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</si>
  <si>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</si>
  <si>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</si>
  <si>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</si>
  <si>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</si>
  <si>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</si>
  <si>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Natural forerst</t>
  </si>
  <si>
    <t>Sulia</t>
  </si>
  <si>
    <t>Marva</t>
  </si>
  <si>
    <t>Nerale</t>
  </si>
  <si>
    <t>Bannate</t>
  </si>
  <si>
    <t>Jambe</t>
  </si>
  <si>
    <t>Chaar</t>
  </si>
  <si>
    <t>Vaatmadike</t>
  </si>
  <si>
    <t>Salle</t>
  </si>
  <si>
    <t>395grm</t>
  </si>
  <si>
    <t>1.2kg</t>
  </si>
  <si>
    <t>nill</t>
  </si>
  <si>
    <t>120grm</t>
  </si>
  <si>
    <t>Adchari</t>
  </si>
  <si>
    <t>310grm</t>
  </si>
  <si>
    <t>840grm</t>
  </si>
  <si>
    <t>185grm</t>
  </si>
  <si>
    <t>ankole</t>
  </si>
  <si>
    <t>Dalchinni</t>
  </si>
  <si>
    <t>Seege</t>
  </si>
  <si>
    <t>Kaalmenasu</t>
  </si>
  <si>
    <t>climber</t>
  </si>
  <si>
    <t>Terminalea paniculata</t>
  </si>
  <si>
    <t>Syzygium cumini</t>
  </si>
  <si>
    <t>Lophopetalum wightianum</t>
  </si>
  <si>
    <t>Xylea xylocarpa</t>
  </si>
  <si>
    <t>Holigarna arnttiana</t>
  </si>
  <si>
    <t>Phychotrica dalzellii</t>
  </si>
  <si>
    <t>Aporosa lindleyana</t>
  </si>
  <si>
    <t>Memecylon talbotianum</t>
  </si>
  <si>
    <t>Alangium salvifolium</t>
  </si>
  <si>
    <t>Cinnamomum zeylanicum</t>
  </si>
  <si>
    <t>Senegalia rugata</t>
  </si>
  <si>
    <t xml:space="preserve">Piper tioicum </t>
  </si>
  <si>
    <t>3.Canopy density - Closed forest, 75% canopy closed</t>
  </si>
  <si>
    <t>6. Weeds - Absent</t>
  </si>
  <si>
    <t>7. Bamboo -Absent</t>
  </si>
  <si>
    <t>9. Shrubs - Zyzipus muroantana (Parige), Calycopteris floribunda(Kumsa balli).</t>
  </si>
  <si>
    <t xml:space="preserve">10. Underwood species - Xylea xylocarpa (Jambe), Ixora brachiata (KaanSurgi), Tabernaentana montana (Maddarsa), Aparosa lindliana (Salle),  Olea dioca (Agasalle), </t>
  </si>
  <si>
    <t>11. Climber - Piper tioicum (Kaadu kalu menasu), Strychonos wallichiana (Balli kasaraka).</t>
  </si>
  <si>
    <t>12. Rattans - Nill</t>
  </si>
  <si>
    <t xml:space="preserve">13. NTFP yielding sps - Cinnamomum zelanicum (Dalchinni), Senegalia rugata (Seege), </t>
  </si>
  <si>
    <t>Closed forest 75% canopy closed</t>
  </si>
  <si>
    <t>Mild Erosion</t>
  </si>
  <si>
    <t>Terminalea panioculata (Marva) - 20%, Aparosa lindliana (Salle) - 10%, Xylea xylocarpa (Jambe) - 20%.</t>
  </si>
  <si>
    <t>Absent</t>
  </si>
  <si>
    <t>Ansent</t>
  </si>
  <si>
    <t>Start from Sullya range office to towards Subramanya road to Elimale for 16.1 km N- 12.600009, E- 75.482164.  Then Right turn to  Devchalla extn block Rf  for 3.2 km N-12.598395,  E- 75.505966 (By Jeep). Then walke towards left for 140 mtr to reached center of the plot.</t>
  </si>
  <si>
    <t>Moist decidiuos Closed forest, Species like Lophopetalum wightianum (Bannate, Olea dioca (Agasalle), Xylea xylocarpa (Jambe), Aparosa lindliana (Salle), Holiarna arnottiana (Chaar), Terminalea paniculata (Marva).</t>
  </si>
  <si>
    <t>1. Track -  Gently rolling</t>
  </si>
  <si>
    <t>2. Aspect - Southern</t>
  </si>
  <si>
    <t>4. Soil- Black soil</t>
  </si>
  <si>
    <t>5. Grass -  Absent</t>
  </si>
  <si>
    <t>8. Herbs -  Phychotrica dalzellii (Vaatmadike), Leea indica (Nedthi).</t>
  </si>
  <si>
    <t>371 m</t>
  </si>
  <si>
    <t>Devchalla extension block</t>
  </si>
  <si>
    <t>Gently rolling</t>
  </si>
  <si>
    <t>Upto 4 - 15</t>
  </si>
  <si>
    <t>Southern</t>
  </si>
  <si>
    <t>Black soil, Texture -Smooth, Depth - 30cm, Permiabilty - Good.</t>
  </si>
  <si>
    <t>Moderate</t>
  </si>
  <si>
    <t>Prone to encroachment</t>
  </si>
  <si>
    <t>Mildy Degrated</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</si>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</sst>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7" zoomScaleSheetLayoutView="115" workbookViewId="0">
      <selection activeCell="B14" sqref="B14:B26"/>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22" t="s">
        <v>21</v>
      </c>
      <c r="B1" s="122"/>
      <c r="C1" s="122"/>
    </row>
    <row r="2" spans="1:3" x14ac:dyDescent="0.3">
      <c r="A2" s="122" t="s">
        <v>22</v>
      </c>
      <c r="B2" s="122"/>
      <c r="C2" s="122"/>
    </row>
    <row r="3" spans="1:3" x14ac:dyDescent="0.3">
      <c r="A3" s="124" t="s">
        <v>102</v>
      </c>
      <c r="B3" s="124"/>
      <c r="C3" s="45" t="s">
        <v>110</v>
      </c>
    </row>
    <row r="4" spans="1:3" x14ac:dyDescent="0.3">
      <c r="A4" s="1"/>
    </row>
    <row r="5" spans="1:3" ht="31.2" x14ac:dyDescent="0.3">
      <c r="A5" s="125" t="s">
        <v>23</v>
      </c>
      <c r="B5" s="54" t="s">
        <v>24</v>
      </c>
      <c r="C5" s="54" t="s">
        <v>25</v>
      </c>
    </row>
    <row r="6" spans="1:3" ht="21" customHeight="1" x14ac:dyDescent="0.3">
      <c r="A6" s="21">
        <v>1</v>
      </c>
      <c r="B6" s="126" t="s">
        <v>26</v>
      </c>
      <c r="C6" s="3" t="s">
        <v>114</v>
      </c>
    </row>
    <row r="7" spans="1:3" ht="21" customHeight="1" x14ac:dyDescent="0.3">
      <c r="A7" s="21">
        <v>2</v>
      </c>
      <c r="B7" s="126" t="s">
        <v>27</v>
      </c>
      <c r="C7" s="3"/>
    </row>
    <row r="8" spans="1:3" ht="21" customHeight="1" x14ac:dyDescent="0.3">
      <c r="A8" s="21">
        <v>3</v>
      </c>
      <c r="B8" s="126" t="s">
        <v>28</v>
      </c>
      <c r="C8" s="3"/>
    </row>
    <row r="9" spans="1:3" ht="21" customHeight="1" x14ac:dyDescent="0.3">
      <c r="A9" s="21">
        <v>4</v>
      </c>
      <c r="B9" s="126" t="s">
        <v>29</v>
      </c>
      <c r="C9" s="3">
        <v>878</v>
      </c>
    </row>
    <row r="10" spans="1:3" ht="21" customHeight="1" x14ac:dyDescent="0.3">
      <c r="A10" s="21">
        <v>5</v>
      </c>
      <c r="B10" s="126" t="s">
        <v>30</v>
      </c>
      <c r="C10" s="127">
        <v>12.598882</v>
      </c>
    </row>
    <row r="11" spans="1:3" ht="21" customHeight="1" x14ac:dyDescent="0.3">
      <c r="A11" s="21">
        <v>6</v>
      </c>
      <c r="B11" s="126" t="s">
        <v>31</v>
      </c>
      <c r="C11" s="127">
        <v>75.505870999999999</v>
      </c>
    </row>
    <row r="12" spans="1:3" ht="78" x14ac:dyDescent="0.3">
      <c r="A12" s="21">
        <v>7</v>
      </c>
      <c r="B12" s="126" t="s">
        <v>32</v>
      </c>
      <c r="C12" s="3" t="s">
        <v>160</v>
      </c>
    </row>
    <row r="13" spans="1:3" ht="62.4" x14ac:dyDescent="0.3">
      <c r="A13" s="21">
        <v>8</v>
      </c>
      <c r="B13" s="126" t="s">
        <v>33</v>
      </c>
      <c r="C13" s="128" t="s">
        <v>161</v>
      </c>
    </row>
    <row r="14" spans="1:3" ht="21" customHeight="1" x14ac:dyDescent="0.3">
      <c r="A14" s="129">
        <v>9</v>
      </c>
      <c r="B14" s="130" t="s">
        <v>34</v>
      </c>
      <c r="C14" s="128" t="s">
        <v>162</v>
      </c>
    </row>
    <row r="15" spans="1:3" ht="21" customHeight="1" x14ac:dyDescent="0.3">
      <c r="A15" s="131"/>
      <c r="B15" s="132"/>
      <c r="C15" s="128" t="s">
        <v>163</v>
      </c>
    </row>
    <row r="16" spans="1:3" ht="21" customHeight="1" x14ac:dyDescent="0.3">
      <c r="A16" s="131"/>
      <c r="B16" s="132"/>
      <c r="C16" s="128" t="s">
        <v>147</v>
      </c>
    </row>
    <row r="17" spans="1:3" ht="21" customHeight="1" x14ac:dyDescent="0.3">
      <c r="A17" s="131"/>
      <c r="B17" s="132"/>
      <c r="C17" s="128" t="s">
        <v>164</v>
      </c>
    </row>
    <row r="18" spans="1:3" ht="21" customHeight="1" x14ac:dyDescent="0.3">
      <c r="A18" s="131"/>
      <c r="B18" s="132"/>
      <c r="C18" s="133" t="s">
        <v>165</v>
      </c>
    </row>
    <row r="19" spans="1:3" ht="21" customHeight="1" x14ac:dyDescent="0.3">
      <c r="A19" s="131"/>
      <c r="B19" s="132"/>
      <c r="C19" s="128" t="s">
        <v>148</v>
      </c>
    </row>
    <row r="20" spans="1:3" ht="21" customHeight="1" x14ac:dyDescent="0.3">
      <c r="A20" s="131"/>
      <c r="B20" s="132"/>
      <c r="C20" s="128" t="s">
        <v>149</v>
      </c>
    </row>
    <row r="21" spans="1:3" ht="31.2" x14ac:dyDescent="0.3">
      <c r="A21" s="131"/>
      <c r="B21" s="132"/>
      <c r="C21" s="128" t="s">
        <v>166</v>
      </c>
    </row>
    <row r="22" spans="1:3" ht="31.2" x14ac:dyDescent="0.3">
      <c r="A22" s="131"/>
      <c r="B22" s="132"/>
      <c r="C22" s="128" t="s">
        <v>150</v>
      </c>
    </row>
    <row r="23" spans="1:3" ht="46.8" x14ac:dyDescent="0.3">
      <c r="A23" s="131"/>
      <c r="B23" s="132"/>
      <c r="C23" s="128" t="s">
        <v>151</v>
      </c>
    </row>
    <row r="24" spans="1:3" ht="45.75" customHeight="1" x14ac:dyDescent="0.3">
      <c r="A24" s="131"/>
      <c r="B24" s="132"/>
      <c r="C24" s="128" t="s">
        <v>152</v>
      </c>
    </row>
    <row r="25" spans="1:3" ht="21" customHeight="1" x14ac:dyDescent="0.3">
      <c r="A25" s="131"/>
      <c r="B25" s="132"/>
      <c r="C25" s="128" t="s">
        <v>153</v>
      </c>
    </row>
    <row r="26" spans="1:3" ht="31.2" x14ac:dyDescent="0.3">
      <c r="A26" s="131"/>
      <c r="B26" s="132"/>
      <c r="C26" s="128" t="s">
        <v>154</v>
      </c>
    </row>
    <row r="27" spans="1:3" ht="21" customHeight="1" x14ac:dyDescent="0.3">
      <c r="A27" s="21">
        <v>10</v>
      </c>
      <c r="B27" s="126" t="s">
        <v>35</v>
      </c>
      <c r="C27" s="126" t="s">
        <v>111</v>
      </c>
    </row>
    <row r="28" spans="1:3" ht="21" customHeight="1" x14ac:dyDescent="0.3">
      <c r="A28" s="21">
        <v>11</v>
      </c>
      <c r="B28" s="126" t="s">
        <v>36</v>
      </c>
      <c r="C28" s="126" t="s">
        <v>111</v>
      </c>
    </row>
    <row r="29" spans="1:3" ht="61.5" customHeight="1" x14ac:dyDescent="0.3">
      <c r="A29" s="1"/>
    </row>
    <row r="30" spans="1:3" ht="15.75" customHeight="1" x14ac:dyDescent="0.3">
      <c r="A30" s="1"/>
    </row>
    <row r="31" spans="1:3" x14ac:dyDescent="0.3">
      <c r="A31" s="1"/>
    </row>
    <row r="32" spans="1:3" x14ac:dyDescent="0.3">
      <c r="A32" s="55"/>
    </row>
    <row r="33" spans="1:1" x14ac:dyDescent="0.3">
      <c r="A33" s="134"/>
    </row>
    <row r="34" spans="1:1" x14ac:dyDescent="0.3">
      <c r="A34" s="134"/>
    </row>
    <row r="35" spans="1:1" x14ac:dyDescent="0.3">
      <c r="A35" s="134"/>
    </row>
    <row r="36" spans="1:1" x14ac:dyDescent="0.3">
      <c r="A36" s="134"/>
    </row>
    <row r="37" spans="1:1" x14ac:dyDescent="0.3">
      <c r="A37" s="134"/>
    </row>
    <row r="38" spans="1:1" x14ac:dyDescent="0.3">
      <c r="A38" s="134"/>
    </row>
    <row r="49" spans="1:1" x14ac:dyDescent="0.3">
      <c r="A49" s="134"/>
    </row>
    <row r="50" spans="1:1" ht="62.25" customHeight="1" x14ac:dyDescent="0.3">
      <c r="A50" s="134"/>
    </row>
    <row r="51" spans="1:1" x14ac:dyDescent="0.3">
      <c r="A51" s="134"/>
    </row>
    <row r="52" spans="1:1" x14ac:dyDescent="0.3">
      <c r="A52" s="134"/>
    </row>
    <row r="53" spans="1:1" x14ac:dyDescent="0.3">
      <c r="A53" s="134"/>
    </row>
    <row r="54" spans="1:1" x14ac:dyDescent="0.3">
      <c r="A54" s="134"/>
    </row>
    <row r="55" spans="1:1" x14ac:dyDescent="0.3">
      <c r="A55" s="134"/>
    </row>
    <row r="56" spans="1:1" x14ac:dyDescent="0.3">
      <c r="A56" s="134"/>
    </row>
    <row r="57" spans="1:1" x14ac:dyDescent="0.3">
      <c r="A57" s="134"/>
    </row>
    <row r="58" spans="1:1" x14ac:dyDescent="0.3">
      <c r="A58" s="55"/>
    </row>
    <row r="66" spans="1:1" x14ac:dyDescent="0.3">
      <c r="A66" s="134"/>
    </row>
    <row r="74" spans="1:1" x14ac:dyDescent="0.3">
      <c r="A74" s="1"/>
    </row>
  </sheetData>
  <mergeCells count="4">
    <mergeCell ref="A1:C1"/>
    <mergeCell ref="A2:C2"/>
    <mergeCell ref="A3:B3"/>
    <mergeCell ref="B14:B26"/>
  </mergeCells>
  <printOptions horizontalCentered="1"/>
  <pageMargins left="0.33" right="0.37" top="0.34"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A26" sqref="A26"/>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22" t="s">
        <v>37</v>
      </c>
      <c r="B1" s="122"/>
      <c r="C1" s="122"/>
    </row>
    <row r="2" spans="1:3" x14ac:dyDescent="0.3">
      <c r="A2" s="122" t="s">
        <v>38</v>
      </c>
      <c r="B2" s="122"/>
      <c r="C2" s="122"/>
    </row>
    <row r="3" spans="1:3" x14ac:dyDescent="0.3">
      <c r="A3" s="135"/>
    </row>
    <row r="4" spans="1:3" ht="47.4" customHeight="1" x14ac:dyDescent="0.3">
      <c r="A4" s="136" t="s">
        <v>39</v>
      </c>
      <c r="B4" s="136"/>
      <c r="C4" s="136"/>
    </row>
    <row r="5" spans="1:3" x14ac:dyDescent="0.3">
      <c r="A5" s="124" t="s">
        <v>102</v>
      </c>
      <c r="B5" s="124"/>
      <c r="C5" s="45" t="str">
        <f>'Form 1'!C3</f>
        <v>Mangalore</v>
      </c>
    </row>
    <row r="6" spans="1:3" x14ac:dyDescent="0.3">
      <c r="A6" s="1"/>
    </row>
    <row r="7" spans="1:3" ht="31.2" x14ac:dyDescent="0.3">
      <c r="A7" s="125" t="s">
        <v>23</v>
      </c>
      <c r="B7" s="137" t="s">
        <v>25</v>
      </c>
      <c r="C7" s="54" t="s">
        <v>40</v>
      </c>
    </row>
    <row r="8" spans="1:3" ht="21" customHeight="1" x14ac:dyDescent="0.3">
      <c r="A8" s="21">
        <v>1</v>
      </c>
      <c r="B8" s="126" t="s">
        <v>26</v>
      </c>
      <c r="C8" s="4" t="s">
        <v>114</v>
      </c>
    </row>
    <row r="9" spans="1:3" ht="21" customHeight="1" x14ac:dyDescent="0.3">
      <c r="A9" s="21">
        <v>2</v>
      </c>
      <c r="B9" s="126" t="s">
        <v>41</v>
      </c>
      <c r="C9" s="4">
        <f>'Form 1'!C7</f>
        <v>0</v>
      </c>
    </row>
    <row r="10" spans="1:3" ht="21" customHeight="1" x14ac:dyDescent="0.3">
      <c r="A10" s="21">
        <v>3</v>
      </c>
      <c r="B10" s="126" t="s">
        <v>28</v>
      </c>
      <c r="C10" s="4">
        <f>'Form 1'!C8</f>
        <v>0</v>
      </c>
    </row>
    <row r="11" spans="1:3" ht="21" customHeight="1" x14ac:dyDescent="0.3">
      <c r="A11" s="21">
        <v>4</v>
      </c>
      <c r="B11" s="126" t="s">
        <v>29</v>
      </c>
      <c r="C11" s="4">
        <f>'Form 1'!C9</f>
        <v>878</v>
      </c>
    </row>
    <row r="12" spans="1:3" ht="21" customHeight="1" x14ac:dyDescent="0.3">
      <c r="A12" s="21">
        <v>5</v>
      </c>
      <c r="B12" s="126" t="s">
        <v>42</v>
      </c>
      <c r="C12" s="4">
        <f>'Form 1'!C10</f>
        <v>12.598882</v>
      </c>
    </row>
    <row r="13" spans="1:3" ht="21" customHeight="1" x14ac:dyDescent="0.3">
      <c r="A13" s="21">
        <v>6</v>
      </c>
      <c r="B13" s="126" t="s">
        <v>43</v>
      </c>
      <c r="C13" s="4">
        <f>'Form 1'!C11</f>
        <v>75.505870999999999</v>
      </c>
    </row>
    <row r="14" spans="1:3" ht="21" customHeight="1" x14ac:dyDescent="0.3">
      <c r="A14" s="21">
        <v>7</v>
      </c>
      <c r="B14" s="126" t="s">
        <v>44</v>
      </c>
      <c r="C14" s="4" t="s">
        <v>167</v>
      </c>
    </row>
    <row r="15" spans="1:3" ht="21" customHeight="1" x14ac:dyDescent="0.3">
      <c r="A15" s="21">
        <v>8</v>
      </c>
      <c r="B15" s="126" t="s">
        <v>45</v>
      </c>
      <c r="C15" s="4" t="s">
        <v>168</v>
      </c>
    </row>
    <row r="16" spans="1:3" ht="21" customHeight="1" x14ac:dyDescent="0.3">
      <c r="A16" s="21">
        <v>9</v>
      </c>
      <c r="B16" s="126" t="s">
        <v>46</v>
      </c>
      <c r="C16" s="4" t="s">
        <v>155</v>
      </c>
    </row>
    <row r="17" spans="1:3" ht="21" customHeight="1" x14ac:dyDescent="0.3">
      <c r="A17" s="21">
        <v>10</v>
      </c>
      <c r="B17" s="126" t="s">
        <v>47</v>
      </c>
      <c r="C17" s="4" t="s">
        <v>169</v>
      </c>
    </row>
    <row r="18" spans="1:3" ht="21" customHeight="1" x14ac:dyDescent="0.3">
      <c r="A18" s="21">
        <v>11</v>
      </c>
      <c r="B18" s="126" t="s">
        <v>48</v>
      </c>
      <c r="C18" s="138" t="s">
        <v>170</v>
      </c>
    </row>
    <row r="19" spans="1:3" ht="21" customHeight="1" x14ac:dyDescent="0.3">
      <c r="A19" s="21">
        <v>12</v>
      </c>
      <c r="B19" s="126" t="s">
        <v>49</v>
      </c>
      <c r="C19" s="138" t="s">
        <v>171</v>
      </c>
    </row>
    <row r="20" spans="1:3" ht="21" customHeight="1" x14ac:dyDescent="0.3">
      <c r="A20" s="21">
        <v>13</v>
      </c>
      <c r="B20" s="126" t="s">
        <v>50</v>
      </c>
      <c r="C20" s="138" t="s">
        <v>112</v>
      </c>
    </row>
    <row r="21" spans="1:3" ht="31.2" x14ac:dyDescent="0.3">
      <c r="A21" s="21">
        <v>14</v>
      </c>
      <c r="B21" s="126" t="s">
        <v>51</v>
      </c>
      <c r="C21" s="138" t="s">
        <v>172</v>
      </c>
    </row>
    <row r="22" spans="1:3" ht="21" customHeight="1" x14ac:dyDescent="0.3">
      <c r="A22" s="21">
        <v>15</v>
      </c>
      <c r="B22" s="126" t="s">
        <v>52</v>
      </c>
      <c r="C22" s="138" t="s">
        <v>156</v>
      </c>
    </row>
    <row r="23" spans="1:3" ht="31.2" x14ac:dyDescent="0.3">
      <c r="A23" s="21">
        <v>16</v>
      </c>
      <c r="B23" s="126" t="s">
        <v>53</v>
      </c>
      <c r="C23" s="138" t="s">
        <v>157</v>
      </c>
    </row>
    <row r="24" spans="1:3" ht="21" customHeight="1" x14ac:dyDescent="0.3">
      <c r="A24" s="21">
        <v>17</v>
      </c>
      <c r="B24" s="126" t="s">
        <v>54</v>
      </c>
      <c r="C24" s="138" t="s">
        <v>173</v>
      </c>
    </row>
    <row r="25" spans="1:3" ht="21" customHeight="1" x14ac:dyDescent="0.3">
      <c r="A25" s="21">
        <v>18</v>
      </c>
      <c r="B25" s="126" t="s">
        <v>55</v>
      </c>
      <c r="C25" s="138" t="s">
        <v>174</v>
      </c>
    </row>
    <row r="26" spans="1:3" ht="21" customHeight="1" x14ac:dyDescent="0.3">
      <c r="A26" s="21">
        <v>19</v>
      </c>
      <c r="B26" s="126" t="s">
        <v>56</v>
      </c>
      <c r="C26" s="138" t="s">
        <v>111</v>
      </c>
    </row>
    <row r="27" spans="1:3" ht="21" customHeight="1" x14ac:dyDescent="0.3">
      <c r="A27" s="21">
        <v>20</v>
      </c>
      <c r="B27" s="126" t="s">
        <v>57</v>
      </c>
      <c r="C27" s="138" t="s">
        <v>158</v>
      </c>
    </row>
    <row r="28" spans="1:3" ht="21" customHeight="1" x14ac:dyDescent="0.3">
      <c r="A28" s="21">
        <v>21</v>
      </c>
      <c r="B28" s="126" t="s">
        <v>58</v>
      </c>
      <c r="C28" s="138" t="s">
        <v>159</v>
      </c>
    </row>
    <row r="29" spans="1:3" ht="21" customHeight="1" x14ac:dyDescent="0.3">
      <c r="A29" s="21">
        <v>22</v>
      </c>
      <c r="B29" s="126" t="s">
        <v>59</v>
      </c>
      <c r="C29" s="138" t="s">
        <v>158</v>
      </c>
    </row>
    <row r="30" spans="1:3" ht="21" customHeight="1" x14ac:dyDescent="0.3">
      <c r="A30" s="21">
        <v>23</v>
      </c>
      <c r="B30" s="126" t="s">
        <v>60</v>
      </c>
      <c r="C30" s="138" t="s">
        <v>113</v>
      </c>
    </row>
    <row r="31" spans="1:3" ht="21" customHeight="1" x14ac:dyDescent="0.3">
      <c r="A31" s="21">
        <v>24</v>
      </c>
      <c r="B31" s="126" t="s">
        <v>61</v>
      </c>
      <c r="C31" s="138" t="s">
        <v>111</v>
      </c>
    </row>
    <row r="32" spans="1:3" ht="21" customHeight="1" x14ac:dyDescent="0.3">
      <c r="A32" s="21">
        <v>25</v>
      </c>
      <c r="B32" s="126" t="s">
        <v>62</v>
      </c>
      <c r="C32" s="138" t="s">
        <v>175</v>
      </c>
    </row>
    <row r="33" spans="1:3" ht="21" customHeight="1" x14ac:dyDescent="0.3">
      <c r="A33" s="21">
        <v>26</v>
      </c>
      <c r="B33" s="126" t="s">
        <v>63</v>
      </c>
      <c r="C33" s="138" t="s">
        <v>111</v>
      </c>
    </row>
    <row r="34" spans="1:3" ht="21" customHeight="1" x14ac:dyDescent="0.3">
      <c r="A34" s="21">
        <v>27</v>
      </c>
      <c r="B34" s="126" t="s">
        <v>64</v>
      </c>
      <c r="C34" s="138" t="s">
        <v>111</v>
      </c>
    </row>
  </sheetData>
  <mergeCells count="4">
    <mergeCell ref="A1:C1"/>
    <mergeCell ref="A2:C2"/>
    <mergeCell ref="A4:C4"/>
    <mergeCell ref="A5:B5"/>
  </mergeCells>
  <printOptions horizontalCentered="1"/>
  <pageMargins left="0.4" right="0.44" top="0.43" bottom="0.74803149606299213"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election activeCell="B18" sqref="B18:C18"/>
    </sheetView>
  </sheetViews>
  <sheetFormatPr defaultRowHeight="14.4" x14ac:dyDescent="0.3"/>
  <cols>
    <col min="1" max="1" width="6.5546875" bestFit="1" customWidth="1"/>
    <col min="2" max="2" width="12.33203125" customWidth="1"/>
    <col min="3" max="3" width="15.33203125" style="8" customWidth="1"/>
    <col min="4" max="4" width="11.77734375" style="9" bestFit="1" customWidth="1"/>
    <col min="5" max="5" width="9.44140625" customWidth="1"/>
    <col min="6" max="6" width="0.88671875" hidden="1" customWidth="1"/>
    <col min="7" max="7" width="9.6640625" bestFit="1" customWidth="1"/>
    <col min="8" max="8" width="5.33203125" customWidth="1"/>
    <col min="9" max="9" width="3.77734375" customWidth="1"/>
    <col min="10" max="10" width="9.109375" customWidth="1"/>
    <col min="11" max="11" width="4" customWidth="1"/>
    <col min="12" max="12" width="12.5546875" customWidth="1"/>
  </cols>
  <sheetData>
    <row r="1" spans="1:12" ht="15.6" customHeight="1" x14ac:dyDescent="0.3">
      <c r="A1" s="83" t="s">
        <v>0</v>
      </c>
      <c r="B1" s="83"/>
      <c r="C1" s="83"/>
      <c r="D1" s="83"/>
      <c r="E1" s="83"/>
      <c r="F1" s="83"/>
      <c r="G1" s="83"/>
      <c r="H1" s="83"/>
      <c r="I1" s="83"/>
      <c r="J1" s="83"/>
      <c r="K1" s="83"/>
      <c r="L1" s="83"/>
    </row>
    <row r="2" spans="1:12" ht="15.6" customHeight="1" x14ac:dyDescent="0.3">
      <c r="A2" s="83" t="s">
        <v>1</v>
      </c>
      <c r="B2" s="83"/>
      <c r="C2" s="83"/>
      <c r="D2" s="83"/>
      <c r="E2" s="83"/>
      <c r="F2" s="83"/>
      <c r="G2" s="83"/>
      <c r="H2" s="83"/>
      <c r="I2" s="83"/>
      <c r="J2" s="83"/>
      <c r="K2" s="83"/>
      <c r="L2" s="83"/>
    </row>
    <row r="3" spans="1:12" ht="15.6" customHeight="1" x14ac:dyDescent="0.3">
      <c r="A3" s="83" t="s">
        <v>2</v>
      </c>
      <c r="B3" s="83"/>
      <c r="C3" s="83"/>
      <c r="D3" s="83"/>
      <c r="E3" s="83"/>
      <c r="F3" s="83"/>
      <c r="G3" s="83"/>
      <c r="H3" s="83"/>
      <c r="I3" s="83"/>
      <c r="J3" s="83"/>
      <c r="K3" s="83"/>
      <c r="L3" s="83"/>
    </row>
    <row r="4" spans="1:12" ht="15.6" customHeight="1" thickBot="1" x14ac:dyDescent="0.35">
      <c r="A4" s="84"/>
      <c r="B4" s="84"/>
      <c r="C4" s="84"/>
      <c r="D4" s="84"/>
      <c r="E4" s="84"/>
      <c r="F4" s="84"/>
      <c r="G4" s="84"/>
      <c r="H4" s="84"/>
      <c r="I4" s="84"/>
      <c r="J4" s="84"/>
      <c r="K4" s="84"/>
      <c r="L4" s="84"/>
    </row>
    <row r="5" spans="1:12" ht="15.6" customHeight="1" x14ac:dyDescent="0.3">
      <c r="A5" s="85" t="s">
        <v>3</v>
      </c>
      <c r="B5" s="86"/>
      <c r="C5" s="79">
        <f>'Form II'!C10</f>
        <v>0</v>
      </c>
      <c r="D5" s="80"/>
      <c r="E5" s="78" t="s">
        <v>109</v>
      </c>
      <c r="F5" s="79"/>
      <c r="G5" s="79"/>
      <c r="H5" s="79"/>
      <c r="I5" s="80"/>
      <c r="J5" s="13" t="s">
        <v>4</v>
      </c>
      <c r="K5" s="86"/>
      <c r="L5" s="87"/>
    </row>
    <row r="6" spans="1:12" ht="15.6" customHeight="1" x14ac:dyDescent="0.3">
      <c r="A6" s="75" t="s">
        <v>5</v>
      </c>
      <c r="B6" s="76"/>
      <c r="C6" s="64" t="str">
        <f>'Form 1'!C6</f>
        <v>Sulia</v>
      </c>
      <c r="D6" s="77"/>
      <c r="E6" s="35" t="s">
        <v>101</v>
      </c>
      <c r="F6" s="34"/>
      <c r="G6" s="64" t="str">
        <f>'Form 1'!C3</f>
        <v>Mangalore</v>
      </c>
      <c r="H6" s="64"/>
      <c r="I6" s="77"/>
      <c r="J6" s="14" t="s">
        <v>6</v>
      </c>
      <c r="K6" s="64" t="str">
        <f>'Form II'!C14</f>
        <v>371 m</v>
      </c>
      <c r="L6" s="65"/>
    </row>
    <row r="7" spans="1:12" ht="15.6" customHeight="1" thickBot="1" x14ac:dyDescent="0.35">
      <c r="A7" s="81" t="s">
        <v>7</v>
      </c>
      <c r="B7" s="82"/>
      <c r="C7" s="66">
        <f>'Form 1'!C10</f>
        <v>12.598882</v>
      </c>
      <c r="D7" s="68"/>
      <c r="E7" s="15" t="s">
        <v>8</v>
      </c>
      <c r="F7" s="12"/>
      <c r="G7" s="66">
        <f>'Form 1'!C11</f>
        <v>75.505870999999999</v>
      </c>
      <c r="H7" s="66"/>
      <c r="I7" s="68"/>
      <c r="J7" s="15" t="s">
        <v>9</v>
      </c>
      <c r="K7" s="66">
        <f>'Form 1'!C9</f>
        <v>878</v>
      </c>
      <c r="L7" s="67"/>
    </row>
    <row r="8" spans="1:12" ht="15.6" customHeight="1" thickBot="1" x14ac:dyDescent="0.35">
      <c r="A8" s="1"/>
      <c r="B8" s="1"/>
      <c r="C8" s="5"/>
      <c r="D8" s="6"/>
      <c r="E8" s="2"/>
      <c r="F8" s="2"/>
      <c r="G8" s="2"/>
      <c r="H8" s="2"/>
      <c r="I8" s="2"/>
      <c r="J8" s="2"/>
      <c r="K8" s="2"/>
      <c r="L8" s="2"/>
    </row>
    <row r="9" spans="1:12" ht="18.600000000000001" customHeight="1" x14ac:dyDescent="0.3">
      <c r="A9" s="71" t="s">
        <v>10</v>
      </c>
      <c r="B9" s="88" t="s">
        <v>11</v>
      </c>
      <c r="C9" s="89"/>
      <c r="D9" s="73" t="s">
        <v>12</v>
      </c>
      <c r="E9" s="73" t="s">
        <v>13</v>
      </c>
      <c r="F9" s="16" t="s">
        <v>14</v>
      </c>
      <c r="G9" s="73" t="s">
        <v>20</v>
      </c>
      <c r="H9" s="94" t="s">
        <v>15</v>
      </c>
      <c r="I9" s="95"/>
      <c r="J9" s="95"/>
      <c r="K9" s="96"/>
      <c r="L9" s="69" t="s">
        <v>16</v>
      </c>
    </row>
    <row r="10" spans="1:12" ht="57" customHeight="1" x14ac:dyDescent="0.3">
      <c r="A10" s="72"/>
      <c r="B10" s="90"/>
      <c r="C10" s="91"/>
      <c r="D10" s="74"/>
      <c r="E10" s="74"/>
      <c r="F10" s="17" t="s">
        <v>17</v>
      </c>
      <c r="G10" s="74"/>
      <c r="H10" s="92" t="s">
        <v>18</v>
      </c>
      <c r="I10" s="93"/>
      <c r="J10" s="92" t="s">
        <v>19</v>
      </c>
      <c r="K10" s="93"/>
      <c r="L10" s="70"/>
    </row>
    <row r="11" spans="1:12" ht="15.6" customHeight="1" x14ac:dyDescent="0.3">
      <c r="A11" s="10">
        <v>1</v>
      </c>
      <c r="B11" s="60" t="s">
        <v>135</v>
      </c>
      <c r="C11" s="61"/>
      <c r="D11" s="3" t="s">
        <v>115</v>
      </c>
      <c r="E11" s="38">
        <v>129</v>
      </c>
      <c r="F11" s="38"/>
      <c r="G11" s="38">
        <v>14</v>
      </c>
      <c r="H11" s="62"/>
      <c r="I11" s="63"/>
      <c r="J11" s="56"/>
      <c r="K11" s="57"/>
      <c r="L11" s="11"/>
    </row>
    <row r="12" spans="1:12" ht="15.6" customHeight="1" x14ac:dyDescent="0.3">
      <c r="A12" s="10">
        <v>2</v>
      </c>
      <c r="B12" s="60" t="s">
        <v>136</v>
      </c>
      <c r="C12" s="61"/>
      <c r="D12" s="4" t="s">
        <v>116</v>
      </c>
      <c r="E12" s="38">
        <v>160</v>
      </c>
      <c r="F12" s="38"/>
      <c r="G12" s="38">
        <v>15</v>
      </c>
      <c r="H12" s="62"/>
      <c r="I12" s="63"/>
      <c r="J12" s="56"/>
      <c r="K12" s="57"/>
      <c r="L12" s="11"/>
    </row>
    <row r="13" spans="1:12" ht="15.6" customHeight="1" x14ac:dyDescent="0.3">
      <c r="A13" s="10">
        <v>3</v>
      </c>
      <c r="B13" s="60" t="s">
        <v>137</v>
      </c>
      <c r="C13" s="61"/>
      <c r="D13" s="3" t="s">
        <v>117</v>
      </c>
      <c r="E13" s="38">
        <v>138</v>
      </c>
      <c r="F13" s="38"/>
      <c r="G13" s="38">
        <v>16</v>
      </c>
      <c r="H13" s="62"/>
      <c r="I13" s="63"/>
      <c r="J13" s="56"/>
      <c r="K13" s="57"/>
      <c r="L13" s="11"/>
    </row>
    <row r="14" spans="1:12" ht="15.6" customHeight="1" x14ac:dyDescent="0.3">
      <c r="A14" s="10">
        <v>4</v>
      </c>
      <c r="B14" s="60" t="s">
        <v>138</v>
      </c>
      <c r="C14" s="61"/>
      <c r="D14" s="3" t="s">
        <v>118</v>
      </c>
      <c r="E14" s="38">
        <v>146</v>
      </c>
      <c r="F14" s="38"/>
      <c r="G14" s="38">
        <v>15</v>
      </c>
      <c r="H14" s="62"/>
      <c r="I14" s="63"/>
      <c r="J14" s="56"/>
      <c r="K14" s="57"/>
      <c r="L14" s="11"/>
    </row>
    <row r="15" spans="1:12" ht="15.6" customHeight="1" x14ac:dyDescent="0.3">
      <c r="A15" s="10">
        <v>5</v>
      </c>
      <c r="B15" s="60" t="s">
        <v>138</v>
      </c>
      <c r="C15" s="61"/>
      <c r="D15" s="7" t="s">
        <v>118</v>
      </c>
      <c r="E15" s="39">
        <v>114</v>
      </c>
      <c r="F15" s="38"/>
      <c r="G15" s="38">
        <v>15</v>
      </c>
      <c r="H15" s="62"/>
      <c r="I15" s="63"/>
      <c r="J15" s="56"/>
      <c r="K15" s="57"/>
      <c r="L15" s="11"/>
    </row>
    <row r="16" spans="1:12" ht="15.6" customHeight="1" x14ac:dyDescent="0.3">
      <c r="A16" s="10">
        <v>6</v>
      </c>
      <c r="B16" s="60" t="s">
        <v>137</v>
      </c>
      <c r="C16" s="61"/>
      <c r="D16" s="4" t="s">
        <v>117</v>
      </c>
      <c r="E16" s="38">
        <v>240</v>
      </c>
      <c r="F16" s="39"/>
      <c r="G16" s="39">
        <v>18</v>
      </c>
      <c r="H16" s="58"/>
      <c r="I16" s="59"/>
      <c r="J16" s="56"/>
      <c r="K16" s="57"/>
      <c r="L16" s="11"/>
    </row>
    <row r="17" spans="1:12" ht="15.6" customHeight="1" x14ac:dyDescent="0.3">
      <c r="A17" s="10">
        <v>7</v>
      </c>
      <c r="B17" s="60" t="s">
        <v>139</v>
      </c>
      <c r="C17" s="61"/>
      <c r="D17" s="7" t="s">
        <v>119</v>
      </c>
      <c r="E17" s="38">
        <v>206</v>
      </c>
      <c r="F17" s="39"/>
      <c r="G17" s="39">
        <v>18</v>
      </c>
      <c r="H17" s="58"/>
      <c r="I17" s="59"/>
      <c r="J17" s="56"/>
      <c r="K17" s="57"/>
      <c r="L17" s="11"/>
    </row>
    <row r="18" spans="1:12" ht="15.6" customHeight="1" x14ac:dyDescent="0.3">
      <c r="A18" s="10">
        <v>8</v>
      </c>
      <c r="B18" s="60" t="s">
        <v>136</v>
      </c>
      <c r="C18" s="61"/>
      <c r="D18" s="3" t="s">
        <v>116</v>
      </c>
      <c r="E18" s="38">
        <v>193</v>
      </c>
      <c r="F18" s="39"/>
      <c r="G18" s="39">
        <v>18</v>
      </c>
      <c r="H18" s="58"/>
      <c r="I18" s="59"/>
      <c r="J18" s="56"/>
      <c r="K18" s="57"/>
      <c r="L18" s="11"/>
    </row>
  </sheetData>
  <mergeCells count="49">
    <mergeCell ref="B11:C11"/>
    <mergeCell ref="B12:C12"/>
    <mergeCell ref="B13:C13"/>
    <mergeCell ref="B14:C14"/>
    <mergeCell ref="B15:C15"/>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H16:I16"/>
    <mergeCell ref="H17:I17"/>
    <mergeCell ref="H14:I14"/>
    <mergeCell ref="H15:I15"/>
    <mergeCell ref="H18:I18"/>
    <mergeCell ref="B16:C16"/>
    <mergeCell ref="B17:C17"/>
    <mergeCell ref="B18:C18"/>
    <mergeCell ref="J16:K16"/>
    <mergeCell ref="J17:K17"/>
    <mergeCell ref="J18:K18"/>
    <mergeCell ref="J11:K11"/>
    <mergeCell ref="J12:K12"/>
    <mergeCell ref="J13:K13"/>
    <mergeCell ref="J14:K14"/>
    <mergeCell ref="J15:K1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A10" sqref="A10:XFD10"/>
    </sheetView>
  </sheetViews>
  <sheetFormatPr defaultRowHeight="14.4" x14ac:dyDescent="0.3"/>
  <cols>
    <col min="1" max="1" width="6" customWidth="1"/>
    <col min="2" max="2" width="18.10937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100" t="s">
        <v>65</v>
      </c>
      <c r="B1" s="100"/>
      <c r="C1" s="100"/>
      <c r="D1" s="100"/>
      <c r="E1" s="100"/>
      <c r="F1" s="100"/>
      <c r="G1" s="100"/>
      <c r="H1" s="100"/>
      <c r="I1" s="100"/>
      <c r="J1" s="100"/>
      <c r="K1" s="100"/>
      <c r="L1" s="100"/>
      <c r="M1" s="100"/>
      <c r="N1" s="100"/>
      <c r="O1" s="100"/>
      <c r="P1" s="100"/>
      <c r="Q1" s="100"/>
    </row>
    <row r="2" spans="1:17" ht="21" x14ac:dyDescent="0.3">
      <c r="A2" s="100" t="s">
        <v>66</v>
      </c>
      <c r="B2" s="100"/>
      <c r="C2" s="100"/>
      <c r="D2" s="100"/>
      <c r="E2" s="100"/>
      <c r="F2" s="100"/>
      <c r="G2" s="100"/>
      <c r="H2" s="100"/>
      <c r="I2" s="100"/>
      <c r="J2" s="100"/>
      <c r="K2" s="100"/>
      <c r="L2" s="100"/>
      <c r="M2" s="100"/>
      <c r="N2" s="100"/>
      <c r="O2" s="100"/>
      <c r="P2" s="100"/>
      <c r="Q2" s="100"/>
    </row>
    <row r="3" spans="1:17" x14ac:dyDescent="0.3">
      <c r="A3" s="19"/>
    </row>
    <row r="4" spans="1:17" ht="15" thickBot="1" x14ac:dyDescent="0.35">
      <c r="A4" s="19"/>
    </row>
    <row r="5" spans="1:17" ht="16.2" thickBot="1" x14ac:dyDescent="0.35">
      <c r="A5" s="101" t="s">
        <v>10</v>
      </c>
      <c r="B5" s="101" t="s">
        <v>11</v>
      </c>
      <c r="C5" s="101" t="s">
        <v>176</v>
      </c>
      <c r="D5" s="101" t="s">
        <v>67</v>
      </c>
      <c r="E5" s="105" t="s">
        <v>68</v>
      </c>
      <c r="F5" s="106"/>
      <c r="G5" s="106"/>
      <c r="H5" s="106"/>
      <c r="I5" s="106"/>
      <c r="J5" s="106"/>
      <c r="K5" s="106"/>
      <c r="L5" s="106"/>
      <c r="M5" s="107"/>
      <c r="N5" s="101" t="s">
        <v>69</v>
      </c>
      <c r="O5" s="105" t="s">
        <v>70</v>
      </c>
      <c r="P5" s="107"/>
      <c r="Q5" s="101" t="s">
        <v>71</v>
      </c>
    </row>
    <row r="6" spans="1:17" ht="15.6" x14ac:dyDescent="0.3">
      <c r="A6" s="102"/>
      <c r="B6" s="102"/>
      <c r="C6" s="102"/>
      <c r="D6" s="102"/>
      <c r="E6" s="108" t="s">
        <v>72</v>
      </c>
      <c r="F6" s="109"/>
      <c r="G6" s="110"/>
      <c r="H6" s="108" t="s">
        <v>73</v>
      </c>
      <c r="I6" s="109"/>
      <c r="J6" s="110"/>
      <c r="K6" s="108" t="s">
        <v>74</v>
      </c>
      <c r="L6" s="109"/>
      <c r="M6" s="110"/>
      <c r="N6" s="102"/>
      <c r="O6" s="101" t="s">
        <v>75</v>
      </c>
      <c r="P6" s="101" t="s">
        <v>76</v>
      </c>
      <c r="Q6" s="102"/>
    </row>
    <row r="7" spans="1:17" ht="16.2" thickBot="1" x14ac:dyDescent="0.35">
      <c r="A7" s="102"/>
      <c r="B7" s="102"/>
      <c r="C7" s="104"/>
      <c r="D7" s="102"/>
      <c r="E7" s="97" t="s">
        <v>77</v>
      </c>
      <c r="F7" s="98"/>
      <c r="G7" s="99"/>
      <c r="H7" s="97" t="s">
        <v>78</v>
      </c>
      <c r="I7" s="98"/>
      <c r="J7" s="99"/>
      <c r="K7" s="97" t="s">
        <v>77</v>
      </c>
      <c r="L7" s="98"/>
      <c r="M7" s="99"/>
      <c r="N7" s="102"/>
      <c r="O7" s="102"/>
      <c r="P7" s="102"/>
      <c r="Q7" s="102"/>
    </row>
    <row r="8" spans="1:17" ht="16.2" thickBot="1" x14ac:dyDescent="0.35">
      <c r="A8" s="103"/>
      <c r="B8" s="103"/>
      <c r="C8" s="103"/>
      <c r="D8" s="103"/>
      <c r="E8" s="20" t="s">
        <v>79</v>
      </c>
      <c r="F8" s="20" t="s">
        <v>80</v>
      </c>
      <c r="G8" s="20" t="s">
        <v>81</v>
      </c>
      <c r="H8" s="20" t="s">
        <v>79</v>
      </c>
      <c r="I8" s="20" t="s">
        <v>80</v>
      </c>
      <c r="J8" s="20" t="s">
        <v>81</v>
      </c>
      <c r="K8" s="20" t="s">
        <v>79</v>
      </c>
      <c r="L8" s="20" t="s">
        <v>80</v>
      </c>
      <c r="M8" s="20" t="s">
        <v>81</v>
      </c>
      <c r="N8" s="103"/>
      <c r="O8" s="103"/>
      <c r="P8" s="103"/>
      <c r="Q8" s="103"/>
    </row>
    <row r="9" spans="1:17" ht="21.75" customHeight="1" x14ac:dyDescent="0.3">
      <c r="A9" s="46">
        <v>1</v>
      </c>
      <c r="B9" s="30"/>
      <c r="C9" s="47"/>
      <c r="D9" s="47"/>
      <c r="E9" s="48"/>
      <c r="F9" s="49"/>
      <c r="G9" s="47"/>
      <c r="H9" s="49"/>
      <c r="I9" s="47"/>
      <c r="J9" s="49"/>
      <c r="K9" s="47"/>
      <c r="L9" s="49"/>
      <c r="M9" s="47"/>
      <c r="N9" s="50"/>
      <c r="O9" s="51"/>
      <c r="P9" s="50"/>
      <c r="Q9" s="52"/>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election activeCell="B27" sqref="B27"/>
    </sheetView>
  </sheetViews>
  <sheetFormatPr defaultRowHeight="14.4" x14ac:dyDescent="0.3"/>
  <cols>
    <col min="1" max="1" width="6.5546875" bestFit="1" customWidth="1"/>
    <col min="2" max="2" width="24.88671875"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100" t="s">
        <v>82</v>
      </c>
      <c r="B1" s="100"/>
      <c r="C1" s="100"/>
      <c r="D1" s="100"/>
      <c r="E1" s="100"/>
      <c r="F1" s="100"/>
      <c r="G1" s="100"/>
      <c r="H1" s="100"/>
      <c r="I1" s="100"/>
    </row>
    <row r="2" spans="1:9" x14ac:dyDescent="0.3">
      <c r="A2" s="115"/>
      <c r="B2" s="115"/>
      <c r="H2" t="s">
        <v>83</v>
      </c>
      <c r="I2" s="9">
        <f>'Form 1'!C9</f>
        <v>878</v>
      </c>
    </row>
    <row r="3" spans="1:9" ht="24" customHeight="1" x14ac:dyDescent="0.3">
      <c r="A3" s="112" t="s">
        <v>10</v>
      </c>
      <c r="B3" s="112" t="s">
        <v>11</v>
      </c>
      <c r="C3" s="112" t="s">
        <v>12</v>
      </c>
      <c r="D3" s="112" t="s">
        <v>84</v>
      </c>
      <c r="E3" s="112" t="s">
        <v>108</v>
      </c>
      <c r="F3" s="112" t="s">
        <v>85</v>
      </c>
      <c r="G3" s="92" t="s">
        <v>15</v>
      </c>
      <c r="H3" s="93"/>
      <c r="I3" s="112" t="s">
        <v>86</v>
      </c>
    </row>
    <row r="4" spans="1:9" ht="62.4" x14ac:dyDescent="0.3">
      <c r="A4" s="113"/>
      <c r="B4" s="113"/>
      <c r="C4" s="113"/>
      <c r="D4" s="113"/>
      <c r="E4" s="113"/>
      <c r="F4" s="113"/>
      <c r="G4" s="18" t="s">
        <v>87</v>
      </c>
      <c r="H4" s="18" t="s">
        <v>19</v>
      </c>
      <c r="I4" s="113"/>
    </row>
    <row r="5" spans="1:9" ht="15.6" customHeight="1" x14ac:dyDescent="0.3">
      <c r="A5" s="21">
        <v>1</v>
      </c>
      <c r="B5" s="43" t="s">
        <v>140</v>
      </c>
      <c r="C5" s="4" t="s">
        <v>120</v>
      </c>
      <c r="D5" s="4"/>
      <c r="E5" s="4">
        <v>23.2</v>
      </c>
      <c r="F5" s="39">
        <v>2</v>
      </c>
      <c r="G5" s="21"/>
      <c r="H5" s="21"/>
      <c r="I5" s="21"/>
    </row>
    <row r="6" spans="1:9" ht="15.6" customHeight="1" x14ac:dyDescent="0.3">
      <c r="A6" s="21">
        <v>2</v>
      </c>
      <c r="B6" s="43" t="s">
        <v>141</v>
      </c>
      <c r="C6" s="4" t="s">
        <v>121</v>
      </c>
      <c r="D6" s="4"/>
      <c r="E6" s="4">
        <v>20.100000000000001</v>
      </c>
      <c r="F6" s="39">
        <v>1</v>
      </c>
      <c r="G6" s="21"/>
      <c r="H6" s="21"/>
      <c r="I6" s="21"/>
    </row>
    <row r="7" spans="1:9" ht="15.6" x14ac:dyDescent="0.3">
      <c r="A7" s="22"/>
      <c r="B7" s="23"/>
      <c r="C7" s="24"/>
      <c r="D7" s="25"/>
      <c r="E7" s="25"/>
      <c r="F7" s="25"/>
      <c r="G7" s="22"/>
      <c r="H7" s="22"/>
      <c r="I7" s="22"/>
    </row>
    <row r="8" spans="1:9" ht="21" x14ac:dyDescent="0.3">
      <c r="A8" s="100" t="s">
        <v>88</v>
      </c>
      <c r="B8" s="100"/>
      <c r="C8" s="100"/>
      <c r="D8" s="100"/>
      <c r="E8" s="100"/>
      <c r="F8" s="100"/>
      <c r="G8" s="100"/>
      <c r="H8" s="100"/>
      <c r="I8" s="100"/>
    </row>
    <row r="9" spans="1:9" ht="15.6" x14ac:dyDescent="0.3">
      <c r="A9" s="114"/>
      <c r="B9" s="114"/>
      <c r="H9" t="s">
        <v>83</v>
      </c>
      <c r="I9" s="9">
        <f>'Form 1'!C9</f>
        <v>878</v>
      </c>
    </row>
    <row r="10" spans="1:9" ht="15.75" customHeight="1" x14ac:dyDescent="0.3">
      <c r="A10" s="74" t="s">
        <v>10</v>
      </c>
      <c r="B10" s="74" t="s">
        <v>11</v>
      </c>
      <c r="C10" s="74" t="s">
        <v>12</v>
      </c>
      <c r="D10" s="74" t="s">
        <v>84</v>
      </c>
      <c r="E10" s="112" t="s">
        <v>108</v>
      </c>
      <c r="F10" s="74" t="s">
        <v>85</v>
      </c>
      <c r="G10" s="74" t="s">
        <v>15</v>
      </c>
      <c r="H10" s="74"/>
      <c r="I10" s="112" t="s">
        <v>86</v>
      </c>
    </row>
    <row r="11" spans="1:9" ht="62.4" x14ac:dyDescent="0.3">
      <c r="A11" s="74"/>
      <c r="B11" s="74"/>
      <c r="C11" s="74"/>
      <c r="D11" s="74"/>
      <c r="E11" s="113"/>
      <c r="F11" s="74"/>
      <c r="G11" s="18" t="s">
        <v>87</v>
      </c>
      <c r="H11" s="18" t="s">
        <v>19</v>
      </c>
      <c r="I11" s="113"/>
    </row>
    <row r="12" spans="1:9" ht="15.6" x14ac:dyDescent="0.3">
      <c r="A12" s="21">
        <v>1</v>
      </c>
      <c r="B12" s="43" t="s">
        <v>141</v>
      </c>
      <c r="C12" s="3" t="s">
        <v>121</v>
      </c>
      <c r="D12" s="38"/>
      <c r="E12" s="40">
        <v>35.700000000000003</v>
      </c>
      <c r="F12" s="38">
        <v>2.5</v>
      </c>
      <c r="G12" s="21"/>
      <c r="H12" s="21"/>
      <c r="I12" s="26"/>
    </row>
    <row r="13" spans="1:9" ht="15.6" x14ac:dyDescent="0.3">
      <c r="A13" s="21">
        <v>2</v>
      </c>
      <c r="B13" s="43" t="s">
        <v>141</v>
      </c>
      <c r="C13" s="3" t="s">
        <v>121</v>
      </c>
      <c r="D13" s="38"/>
      <c r="E13" s="40">
        <v>24.7</v>
      </c>
      <c r="F13" s="38">
        <v>2</v>
      </c>
      <c r="G13" s="21"/>
      <c r="H13" s="21"/>
      <c r="I13" s="26"/>
    </row>
    <row r="14" spans="1:9" ht="15.6" x14ac:dyDescent="0.3">
      <c r="A14" s="21">
        <v>3</v>
      </c>
      <c r="B14" s="43" t="s">
        <v>142</v>
      </c>
      <c r="C14" s="3" t="s">
        <v>126</v>
      </c>
      <c r="D14" s="38"/>
      <c r="E14" s="40">
        <v>21.5</v>
      </c>
      <c r="F14" s="38">
        <v>1.5</v>
      </c>
      <c r="G14" s="21"/>
      <c r="H14" s="21"/>
      <c r="I14" s="26"/>
    </row>
    <row r="16" spans="1:9" ht="21" x14ac:dyDescent="0.3">
      <c r="A16" s="100" t="s">
        <v>89</v>
      </c>
      <c r="B16" s="100"/>
      <c r="C16" s="100"/>
      <c r="D16" s="100"/>
      <c r="E16" s="100"/>
      <c r="F16" s="100"/>
      <c r="G16" s="100"/>
      <c r="H16" s="100"/>
      <c r="I16" s="100"/>
    </row>
    <row r="17" spans="1:9" ht="15.6" x14ac:dyDescent="0.3">
      <c r="A17" s="114"/>
      <c r="B17" s="114"/>
      <c r="H17" s="9" t="s">
        <v>83</v>
      </c>
      <c r="I17" s="9">
        <f>'Form 1'!C9</f>
        <v>878</v>
      </c>
    </row>
    <row r="18" spans="1:9" ht="15.75" customHeight="1" x14ac:dyDescent="0.3">
      <c r="A18" s="74" t="s">
        <v>10</v>
      </c>
      <c r="B18" s="74" t="s">
        <v>11</v>
      </c>
      <c r="C18" s="74" t="s">
        <v>12</v>
      </c>
      <c r="D18" s="74" t="s">
        <v>84</v>
      </c>
      <c r="E18" s="112" t="s">
        <v>108</v>
      </c>
      <c r="F18" s="74" t="s">
        <v>85</v>
      </c>
      <c r="G18" s="74" t="s">
        <v>15</v>
      </c>
      <c r="H18" s="74"/>
      <c r="I18" s="112" t="s">
        <v>86</v>
      </c>
    </row>
    <row r="19" spans="1:9" ht="62.4" x14ac:dyDescent="0.3">
      <c r="A19" s="74"/>
      <c r="B19" s="74"/>
      <c r="C19" s="74"/>
      <c r="D19" s="74"/>
      <c r="E19" s="113"/>
      <c r="F19" s="74"/>
      <c r="G19" s="18" t="s">
        <v>87</v>
      </c>
      <c r="H19" s="18" t="s">
        <v>19</v>
      </c>
      <c r="I19" s="113"/>
    </row>
    <row r="20" spans="1:9" ht="15.6" customHeight="1" x14ac:dyDescent="0.3">
      <c r="A20" s="21">
        <v>1</v>
      </c>
      <c r="B20" s="43" t="s">
        <v>143</v>
      </c>
      <c r="C20" s="3" t="s">
        <v>130</v>
      </c>
      <c r="D20" s="38"/>
      <c r="E20" s="3">
        <v>36.700000000000003</v>
      </c>
      <c r="F20" s="38"/>
      <c r="G20" s="21"/>
      <c r="H20" s="21"/>
      <c r="I20" s="21"/>
    </row>
    <row r="21" spans="1:9" ht="15.6" customHeight="1" x14ac:dyDescent="0.3">
      <c r="A21" s="21">
        <v>2</v>
      </c>
      <c r="B21" s="43" t="s">
        <v>141</v>
      </c>
      <c r="C21" s="3" t="s">
        <v>121</v>
      </c>
      <c r="D21" s="38"/>
      <c r="E21" s="3">
        <v>20.100000000000001</v>
      </c>
      <c r="F21" s="38"/>
      <c r="G21" s="21"/>
      <c r="H21" s="21"/>
      <c r="I21" s="21"/>
    </row>
    <row r="22" spans="1:9" ht="15.6" x14ac:dyDescent="0.3">
      <c r="D22" s="25"/>
      <c r="F22" s="27"/>
    </row>
    <row r="23" spans="1:9" ht="21" x14ac:dyDescent="0.3">
      <c r="A23" s="100" t="s">
        <v>90</v>
      </c>
      <c r="B23" s="100"/>
      <c r="C23" s="100"/>
      <c r="D23" s="100"/>
      <c r="E23" s="100"/>
      <c r="F23" s="100"/>
      <c r="G23" s="100"/>
      <c r="H23" s="100"/>
      <c r="I23" s="100"/>
    </row>
    <row r="24" spans="1:9" x14ac:dyDescent="0.3">
      <c r="A24" s="111"/>
      <c r="B24" s="111"/>
      <c r="H24" t="s">
        <v>83</v>
      </c>
      <c r="I24" s="9">
        <f>'Form 1'!C9</f>
        <v>878</v>
      </c>
    </row>
    <row r="25" spans="1:9" ht="15.75" customHeight="1" x14ac:dyDescent="0.3">
      <c r="A25" s="74" t="s">
        <v>10</v>
      </c>
      <c r="B25" s="74" t="s">
        <v>11</v>
      </c>
      <c r="C25" s="74" t="s">
        <v>12</v>
      </c>
      <c r="D25" s="74" t="s">
        <v>84</v>
      </c>
      <c r="E25" s="112" t="s">
        <v>108</v>
      </c>
      <c r="F25" s="74" t="s">
        <v>85</v>
      </c>
      <c r="G25" s="74" t="s">
        <v>15</v>
      </c>
      <c r="H25" s="74"/>
      <c r="I25" s="74" t="s">
        <v>86</v>
      </c>
    </row>
    <row r="26" spans="1:9" ht="62.4" x14ac:dyDescent="0.3">
      <c r="A26" s="74"/>
      <c r="B26" s="74"/>
      <c r="C26" s="74"/>
      <c r="D26" s="74"/>
      <c r="E26" s="113"/>
      <c r="F26" s="74"/>
      <c r="G26" s="36" t="s">
        <v>87</v>
      </c>
      <c r="H26" s="36" t="s">
        <v>19</v>
      </c>
      <c r="I26" s="74"/>
    </row>
    <row r="27" spans="1:9" ht="17.25" customHeight="1" x14ac:dyDescent="0.3">
      <c r="A27" s="21">
        <v>1</v>
      </c>
      <c r="B27" s="53" t="s">
        <v>144</v>
      </c>
      <c r="C27" s="3" t="s">
        <v>131</v>
      </c>
      <c r="D27" s="41"/>
      <c r="E27" s="42">
        <v>37.200000000000003</v>
      </c>
      <c r="F27" s="41">
        <v>2</v>
      </c>
      <c r="G27" s="21"/>
      <c r="H27" s="21"/>
      <c r="I27" s="21"/>
    </row>
    <row r="28" spans="1:9" ht="17.25" customHeight="1" x14ac:dyDescent="0.3">
      <c r="A28" s="21">
        <v>2</v>
      </c>
      <c r="B28" s="43" t="s">
        <v>141</v>
      </c>
      <c r="C28" s="3" t="s">
        <v>121</v>
      </c>
      <c r="D28" s="41"/>
      <c r="E28" s="42">
        <v>28.2</v>
      </c>
      <c r="F28" s="41">
        <v>1.5</v>
      </c>
      <c r="G28" s="21"/>
      <c r="H28" s="21"/>
      <c r="I28" s="21"/>
    </row>
    <row r="29" spans="1:9" ht="17.25" customHeight="1" x14ac:dyDescent="0.3">
      <c r="A29" s="21">
        <v>3</v>
      </c>
      <c r="B29" s="43" t="s">
        <v>141</v>
      </c>
      <c r="C29" s="3" t="s">
        <v>121</v>
      </c>
      <c r="D29" s="41"/>
      <c r="E29" s="42">
        <v>23.2</v>
      </c>
      <c r="F29" s="41">
        <v>1.5</v>
      </c>
      <c r="G29" s="21"/>
      <c r="H29" s="21"/>
      <c r="I29" s="21"/>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6:I16"/>
    <mergeCell ref="A17:B17"/>
    <mergeCell ref="A18:A19"/>
    <mergeCell ref="B18:B19"/>
    <mergeCell ref="C18:C19"/>
    <mergeCell ref="D18:D19"/>
    <mergeCell ref="E18:E19"/>
    <mergeCell ref="F18:F19"/>
    <mergeCell ref="G18:H18"/>
    <mergeCell ref="I18:I19"/>
    <mergeCell ref="A23:I23"/>
    <mergeCell ref="A24:B24"/>
    <mergeCell ref="A25:A26"/>
    <mergeCell ref="B25:B26"/>
    <mergeCell ref="C25:C26"/>
    <mergeCell ref="D25:D26"/>
    <mergeCell ref="E25:E26"/>
    <mergeCell ref="F25:F26"/>
    <mergeCell ref="G25:H25"/>
    <mergeCell ref="I25:I2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workbookViewId="0">
      <selection activeCell="B16" sqref="B16"/>
    </sheetView>
  </sheetViews>
  <sheetFormatPr defaultRowHeight="14.4" x14ac:dyDescent="0.3"/>
  <cols>
    <col min="1" max="1" width="6.5546875" bestFit="1" customWidth="1"/>
    <col min="2" max="2" width="25"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122" t="s">
        <v>91</v>
      </c>
      <c r="B1" s="122"/>
      <c r="C1" s="122"/>
      <c r="D1" s="122"/>
      <c r="E1" s="122"/>
      <c r="F1" s="122"/>
      <c r="G1" s="122"/>
    </row>
    <row r="2" spans="1:7" ht="15.6" x14ac:dyDescent="0.3">
      <c r="A2" s="123"/>
      <c r="B2" s="123"/>
      <c r="C2" s="2"/>
      <c r="D2" s="2"/>
      <c r="E2" s="2"/>
      <c r="F2" t="s">
        <v>83</v>
      </c>
      <c r="G2" s="9">
        <f>'Form 1'!C9</f>
        <v>878</v>
      </c>
    </row>
    <row r="3" spans="1:7" ht="15.6" x14ac:dyDescent="0.3">
      <c r="A3" s="74" t="s">
        <v>10</v>
      </c>
      <c r="B3" s="74" t="s">
        <v>11</v>
      </c>
      <c r="C3" s="74" t="s">
        <v>12</v>
      </c>
      <c r="D3" s="74" t="s">
        <v>92</v>
      </c>
      <c r="E3" s="74" t="s">
        <v>15</v>
      </c>
      <c r="F3" s="74"/>
      <c r="G3" s="74" t="s">
        <v>93</v>
      </c>
    </row>
    <row r="4" spans="1:7" ht="31.2" x14ac:dyDescent="0.3">
      <c r="A4" s="74"/>
      <c r="B4" s="74"/>
      <c r="C4" s="74"/>
      <c r="D4" s="74"/>
      <c r="E4" s="28" t="s">
        <v>94</v>
      </c>
      <c r="F4" s="28" t="s">
        <v>95</v>
      </c>
      <c r="G4" s="74"/>
    </row>
    <row r="5" spans="1:7" ht="15.6" x14ac:dyDescent="0.3">
      <c r="A5" s="74"/>
      <c r="B5" s="74"/>
      <c r="C5" s="74"/>
      <c r="D5" s="74"/>
      <c r="E5" s="29" t="s">
        <v>96</v>
      </c>
      <c r="F5" s="29" t="s">
        <v>97</v>
      </c>
      <c r="G5" s="74"/>
    </row>
    <row r="6" spans="1:7" ht="15.6" x14ac:dyDescent="0.3">
      <c r="A6" s="21">
        <v>1</v>
      </c>
      <c r="B6" s="43" t="s">
        <v>141</v>
      </c>
      <c r="C6" s="3" t="s">
        <v>121</v>
      </c>
      <c r="D6" s="38">
        <v>23</v>
      </c>
      <c r="E6" s="21"/>
      <c r="F6" s="28"/>
      <c r="G6" s="21"/>
    </row>
    <row r="7" spans="1:7" ht="15.6" x14ac:dyDescent="0.3">
      <c r="A7" s="21">
        <v>2</v>
      </c>
      <c r="B7" s="43" t="s">
        <v>141</v>
      </c>
      <c r="C7" s="3" t="s">
        <v>121</v>
      </c>
      <c r="D7" s="38">
        <v>12</v>
      </c>
      <c r="E7" s="21"/>
      <c r="F7" s="21"/>
      <c r="G7" s="21"/>
    </row>
    <row r="8" spans="1:7" ht="15.6" x14ac:dyDescent="0.3">
      <c r="A8" s="21">
        <v>3</v>
      </c>
      <c r="B8" s="53" t="s">
        <v>144</v>
      </c>
      <c r="C8" s="3" t="s">
        <v>131</v>
      </c>
      <c r="D8" s="38">
        <v>10</v>
      </c>
      <c r="E8" s="21"/>
      <c r="F8" s="37"/>
      <c r="G8" s="21"/>
    </row>
    <row r="9" spans="1:7" ht="15.6" x14ac:dyDescent="0.3">
      <c r="A9" s="21">
        <v>4</v>
      </c>
      <c r="B9" s="43" t="s">
        <v>145</v>
      </c>
      <c r="C9" s="3" t="s">
        <v>132</v>
      </c>
      <c r="D9" s="38">
        <v>17</v>
      </c>
      <c r="E9" s="21"/>
      <c r="F9" s="21"/>
      <c r="G9" s="21"/>
    </row>
    <row r="10" spans="1:7" ht="15.6" x14ac:dyDescent="0.3">
      <c r="A10" s="21">
        <v>5</v>
      </c>
      <c r="B10" s="43" t="s">
        <v>140</v>
      </c>
      <c r="C10" s="3" t="s">
        <v>120</v>
      </c>
      <c r="D10" s="38">
        <v>24</v>
      </c>
      <c r="E10" s="21"/>
      <c r="F10" s="37"/>
      <c r="G10" s="21"/>
    </row>
    <row r="11" spans="1:7" ht="15.6" x14ac:dyDescent="0.3">
      <c r="A11" s="21">
        <v>6</v>
      </c>
      <c r="B11" s="43" t="s">
        <v>140</v>
      </c>
      <c r="C11" s="3" t="s">
        <v>120</v>
      </c>
      <c r="D11" s="38">
        <v>30</v>
      </c>
      <c r="E11" s="21"/>
      <c r="F11" s="21"/>
      <c r="G11" s="21"/>
    </row>
    <row r="12" spans="1:7" ht="15.6" x14ac:dyDescent="0.3">
      <c r="A12" s="21">
        <v>7</v>
      </c>
      <c r="B12" s="43" t="s">
        <v>140</v>
      </c>
      <c r="C12" s="3" t="s">
        <v>120</v>
      </c>
      <c r="D12" s="38">
        <v>13</v>
      </c>
      <c r="E12" s="21"/>
      <c r="F12" s="37"/>
      <c r="G12" s="21"/>
    </row>
    <row r="13" spans="1:7" ht="15.6" x14ac:dyDescent="0.3">
      <c r="A13" s="21">
        <v>8</v>
      </c>
      <c r="B13" s="43" t="s">
        <v>140</v>
      </c>
      <c r="C13" s="3" t="s">
        <v>120</v>
      </c>
      <c r="D13" s="38">
        <v>17</v>
      </c>
      <c r="E13" s="21"/>
      <c r="F13" s="21"/>
      <c r="G13" s="21"/>
    </row>
    <row r="14" spans="1:7" ht="15.6" x14ac:dyDescent="0.3">
      <c r="A14" s="21">
        <v>9</v>
      </c>
      <c r="B14" s="43" t="s">
        <v>140</v>
      </c>
      <c r="C14" s="3" t="s">
        <v>120</v>
      </c>
      <c r="D14" s="38">
        <v>7</v>
      </c>
      <c r="E14" s="21"/>
      <c r="F14" s="37"/>
      <c r="G14" s="21"/>
    </row>
    <row r="15" spans="1:7" ht="15.6" x14ac:dyDescent="0.3">
      <c r="A15" s="21">
        <v>10</v>
      </c>
      <c r="B15" s="43" t="s">
        <v>140</v>
      </c>
      <c r="C15" s="3" t="s">
        <v>120</v>
      </c>
      <c r="D15" s="38">
        <v>5</v>
      </c>
      <c r="E15" s="21"/>
      <c r="F15" s="44"/>
      <c r="G15" s="21"/>
    </row>
    <row r="16" spans="1:7" ht="15.6" x14ac:dyDescent="0.3">
      <c r="A16" s="21">
        <v>11</v>
      </c>
      <c r="B16" t="s">
        <v>146</v>
      </c>
      <c r="C16" s="3" t="s">
        <v>133</v>
      </c>
      <c r="D16" s="38" t="s">
        <v>134</v>
      </c>
      <c r="E16" s="21"/>
      <c r="F16" s="44"/>
      <c r="G16" s="21"/>
    </row>
    <row r="17" spans="1:12" ht="15.6" x14ac:dyDescent="0.3">
      <c r="A17" s="92" t="s">
        <v>103</v>
      </c>
      <c r="B17" s="119"/>
      <c r="C17" s="119"/>
      <c r="D17" s="119"/>
      <c r="E17" s="119"/>
      <c r="F17" s="119"/>
      <c r="G17" s="93"/>
    </row>
    <row r="18" spans="1:12" ht="15.6" x14ac:dyDescent="0.3">
      <c r="A18" s="21">
        <v>1</v>
      </c>
      <c r="B18" s="116" t="s">
        <v>104</v>
      </c>
      <c r="C18" s="117"/>
      <c r="D18" s="117"/>
      <c r="E18" s="117"/>
      <c r="F18" s="118"/>
      <c r="G18" s="3" t="s">
        <v>122</v>
      </c>
    </row>
    <row r="19" spans="1:12" ht="15.6" x14ac:dyDescent="0.3">
      <c r="A19" s="21">
        <v>2</v>
      </c>
      <c r="B19" s="116" t="s">
        <v>105</v>
      </c>
      <c r="C19" s="117"/>
      <c r="D19" s="117"/>
      <c r="E19" s="117"/>
      <c r="F19" s="118"/>
      <c r="G19" s="3" t="s">
        <v>123</v>
      </c>
    </row>
    <row r="20" spans="1:12" ht="15.6" x14ac:dyDescent="0.3">
      <c r="A20" s="21">
        <v>3</v>
      </c>
      <c r="B20" s="116" t="s">
        <v>106</v>
      </c>
      <c r="C20" s="117"/>
      <c r="D20" s="117"/>
      <c r="E20" s="117"/>
      <c r="F20" s="118"/>
      <c r="G20" s="3" t="s">
        <v>124</v>
      </c>
    </row>
    <row r="21" spans="1:12" ht="15.6" x14ac:dyDescent="0.3">
      <c r="A21" s="21">
        <v>4</v>
      </c>
      <c r="B21" s="116" t="s">
        <v>107</v>
      </c>
      <c r="C21" s="117"/>
      <c r="D21" s="117"/>
      <c r="E21" s="117"/>
      <c r="F21" s="118"/>
      <c r="G21" s="3" t="s">
        <v>125</v>
      </c>
    </row>
    <row r="22" spans="1:12" ht="15.6" x14ac:dyDescent="0.3">
      <c r="A22" s="22"/>
      <c r="B22" s="32"/>
      <c r="C22" s="32"/>
      <c r="D22" s="22"/>
      <c r="E22" s="22"/>
      <c r="F22" s="22"/>
      <c r="G22" s="22"/>
      <c r="L22" s="31"/>
    </row>
    <row r="23" spans="1:12" s="33" customFormat="1" ht="19.95" customHeight="1" x14ac:dyDescent="0.3">
      <c r="A23" s="121" t="s">
        <v>98</v>
      </c>
      <c r="B23" s="121"/>
      <c r="C23" s="121"/>
      <c r="D23" s="121"/>
      <c r="E23" s="121"/>
      <c r="F23" s="121"/>
      <c r="G23" s="121"/>
      <c r="L23" s="31"/>
    </row>
    <row r="24" spans="1:12" ht="15.6" x14ac:dyDescent="0.3">
      <c r="A24" s="33"/>
      <c r="B24" s="33"/>
      <c r="C24" s="33"/>
      <c r="D24" s="33"/>
      <c r="E24" s="33"/>
      <c r="F24" t="s">
        <v>83</v>
      </c>
      <c r="G24" s="9">
        <f>'Form 1'!C9</f>
        <v>878</v>
      </c>
      <c r="L24" s="31"/>
    </row>
    <row r="25" spans="1:12" ht="15.75" customHeight="1" x14ac:dyDescent="0.3">
      <c r="A25" s="112" t="s">
        <v>10</v>
      </c>
      <c r="B25" s="112" t="s">
        <v>11</v>
      </c>
      <c r="C25" s="112" t="s">
        <v>12</v>
      </c>
      <c r="D25" s="112" t="s">
        <v>99</v>
      </c>
      <c r="E25" s="92" t="s">
        <v>15</v>
      </c>
      <c r="F25" s="93"/>
      <c r="G25" s="112" t="s">
        <v>100</v>
      </c>
      <c r="L25" s="31"/>
    </row>
    <row r="26" spans="1:12" ht="31.2" x14ac:dyDescent="0.3">
      <c r="A26" s="120"/>
      <c r="B26" s="120"/>
      <c r="C26" s="120"/>
      <c r="D26" s="120"/>
      <c r="E26" s="28" t="s">
        <v>94</v>
      </c>
      <c r="F26" s="28" t="s">
        <v>95</v>
      </c>
      <c r="G26" s="120"/>
      <c r="L26" s="31"/>
    </row>
    <row r="27" spans="1:12" ht="15.6" x14ac:dyDescent="0.3">
      <c r="A27" s="113"/>
      <c r="B27" s="113"/>
      <c r="C27" s="113"/>
      <c r="D27" s="113"/>
      <c r="E27" s="29" t="s">
        <v>96</v>
      </c>
      <c r="F27" s="29" t="s">
        <v>97</v>
      </c>
      <c r="G27" s="113"/>
      <c r="L27" s="31"/>
    </row>
    <row r="28" spans="1:12" ht="15.6" x14ac:dyDescent="0.3">
      <c r="A28" s="21">
        <v>1</v>
      </c>
      <c r="B28" s="43" t="s">
        <v>141</v>
      </c>
      <c r="C28" s="3" t="s">
        <v>121</v>
      </c>
      <c r="D28" s="38">
        <v>36</v>
      </c>
      <c r="E28" s="21"/>
      <c r="F28" s="21"/>
      <c r="G28" s="21"/>
      <c r="L28" s="31"/>
    </row>
    <row r="29" spans="1:12" ht="15.6" x14ac:dyDescent="0.3">
      <c r="A29" s="21">
        <v>2</v>
      </c>
      <c r="B29" s="43" t="s">
        <v>141</v>
      </c>
      <c r="C29" s="3" t="s">
        <v>121</v>
      </c>
      <c r="D29" s="38">
        <v>28</v>
      </c>
      <c r="E29" s="21"/>
      <c r="F29" s="21"/>
      <c r="G29" s="21"/>
      <c r="L29" s="31"/>
    </row>
    <row r="30" spans="1:12" ht="15.6" x14ac:dyDescent="0.3">
      <c r="A30" s="21">
        <v>3</v>
      </c>
      <c r="B30" t="s">
        <v>146</v>
      </c>
      <c r="C30" s="3" t="s">
        <v>133</v>
      </c>
      <c r="D30" s="38" t="s">
        <v>134</v>
      </c>
      <c r="E30" s="21"/>
      <c r="F30" s="21"/>
      <c r="G30" s="21"/>
      <c r="L30" s="31"/>
    </row>
    <row r="31" spans="1:12" ht="15.6" x14ac:dyDescent="0.3">
      <c r="A31" s="21">
        <v>4</v>
      </c>
      <c r="B31" s="43" t="s">
        <v>140</v>
      </c>
      <c r="C31" s="3" t="s">
        <v>120</v>
      </c>
      <c r="D31" s="38">
        <v>43</v>
      </c>
      <c r="E31" s="21"/>
      <c r="F31" s="21"/>
      <c r="G31" s="21"/>
      <c r="L31" s="31"/>
    </row>
    <row r="32" spans="1:12" ht="15.6" x14ac:dyDescent="0.3">
      <c r="A32" s="21">
        <v>5</v>
      </c>
      <c r="B32" s="43" t="s">
        <v>140</v>
      </c>
      <c r="C32" s="3" t="s">
        <v>120</v>
      </c>
      <c r="D32" s="38">
        <v>32</v>
      </c>
      <c r="E32" s="21"/>
      <c r="F32" s="21"/>
      <c r="G32" s="21"/>
      <c r="L32" s="31"/>
    </row>
    <row r="33" spans="1:12" ht="15.6" x14ac:dyDescent="0.3">
      <c r="A33" s="21">
        <v>6</v>
      </c>
      <c r="B33" s="43" t="s">
        <v>140</v>
      </c>
      <c r="C33" s="3" t="s">
        <v>120</v>
      </c>
      <c r="D33" s="38">
        <v>28</v>
      </c>
      <c r="E33" s="21"/>
      <c r="F33" s="21"/>
      <c r="G33" s="21"/>
      <c r="L33" s="31"/>
    </row>
    <row r="34" spans="1:12" ht="15.6" x14ac:dyDescent="0.3">
      <c r="A34" s="21">
        <v>7</v>
      </c>
      <c r="B34" s="43" t="s">
        <v>140</v>
      </c>
      <c r="C34" s="3" t="s">
        <v>120</v>
      </c>
      <c r="D34" s="38">
        <v>10</v>
      </c>
      <c r="E34" s="21"/>
      <c r="F34" s="21"/>
      <c r="G34" s="21"/>
      <c r="L34" s="31"/>
    </row>
    <row r="35" spans="1:12" ht="15.6" x14ac:dyDescent="0.3">
      <c r="A35" s="92" t="s">
        <v>103</v>
      </c>
      <c r="B35" s="119"/>
      <c r="C35" s="119"/>
      <c r="D35" s="119"/>
      <c r="E35" s="119"/>
      <c r="F35" s="119"/>
      <c r="G35" s="93"/>
    </row>
    <row r="36" spans="1:12" ht="15.6" x14ac:dyDescent="0.3">
      <c r="A36" s="21">
        <v>1</v>
      </c>
      <c r="B36" s="116" t="s">
        <v>104</v>
      </c>
      <c r="C36" s="117"/>
      <c r="D36" s="117"/>
      <c r="E36" s="117"/>
      <c r="F36" s="118"/>
      <c r="G36" s="3" t="s">
        <v>127</v>
      </c>
    </row>
    <row r="37" spans="1:12" ht="15.6" x14ac:dyDescent="0.3">
      <c r="A37" s="21">
        <v>2</v>
      </c>
      <c r="B37" s="116" t="s">
        <v>105</v>
      </c>
      <c r="C37" s="117"/>
      <c r="D37" s="117"/>
      <c r="E37" s="117"/>
      <c r="F37" s="118"/>
      <c r="G37" s="3" t="s">
        <v>128</v>
      </c>
    </row>
    <row r="38" spans="1:12" ht="15.6" x14ac:dyDescent="0.3">
      <c r="A38" s="21">
        <v>3</v>
      </c>
      <c r="B38" s="116" t="s">
        <v>106</v>
      </c>
      <c r="C38" s="117"/>
      <c r="D38" s="117"/>
      <c r="E38" s="117"/>
      <c r="F38" s="118"/>
      <c r="G38" s="3" t="s">
        <v>124</v>
      </c>
    </row>
    <row r="39" spans="1:12" ht="15.6" x14ac:dyDescent="0.3">
      <c r="A39" s="21">
        <v>4</v>
      </c>
      <c r="B39" s="116" t="s">
        <v>107</v>
      </c>
      <c r="C39" s="117"/>
      <c r="D39" s="117"/>
      <c r="E39" s="117"/>
      <c r="F39" s="118"/>
      <c r="G39" s="3" t="s">
        <v>129</v>
      </c>
    </row>
  </sheetData>
  <mergeCells count="25">
    <mergeCell ref="E25:F25"/>
    <mergeCell ref="A1:G1"/>
    <mergeCell ref="A2:B2"/>
    <mergeCell ref="A3:A5"/>
    <mergeCell ref="B3:B5"/>
    <mergeCell ref="C3:C5"/>
    <mergeCell ref="D3:D5"/>
    <mergeCell ref="E3:F3"/>
    <mergeCell ref="G3:G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s>
  <pageMargins left="0.7" right="0.26"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2024-03-20T07:06:31Z</dcterms:modified>
</cp:coreProperties>
</file>