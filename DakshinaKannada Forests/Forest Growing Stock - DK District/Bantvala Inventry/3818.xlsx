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7" i="12"/>
  <c r="G2"/>
  <c r="I34" i="11"/>
  <c r="I23"/>
  <c r="I12"/>
  <c r="I2"/>
  <c r="C13" i="8"/>
  <c r="C12"/>
  <c r="C11"/>
  <c r="C10"/>
  <c r="C5" i="6" s="1"/>
  <c r="C9" i="8"/>
</calcChain>
</file>

<file path=xl/sharedStrings.xml><?xml version="1.0" encoding="utf-8"?>
<sst xmlns="http://schemas.openxmlformats.org/spreadsheetml/2006/main" count="334" uniqueCount="179">
  <si>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</si>
  <si>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</si>
  <si>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</si>
  <si>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</si>
  <si>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</si>
  <si>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</si>
  <si>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</si>
  <si>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</si>
  <si>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</si>
  <si>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</si>
  <si>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</si>
  <si>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</si>
  <si>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</si>
  <si>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</si>
  <si>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</si>
  <si>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</si>
  <si>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</si>
  <si>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</si>
  <si>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</si>
  <si>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</si>
  <si>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</si>
  <si>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</si>
  <si>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</si>
  <si>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</si>
  <si>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</si>
  <si>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</si>
  <si>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</si>
  <si>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</si>
  <si>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</si>
  <si>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</si>
  <si>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</si>
  <si>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</si>
  <si>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</si>
  <si>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</si>
  <si>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</si>
  <si>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</si>
  <si>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</si>
  <si>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</si>
  <si>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</si>
  <si>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</si>
  <si>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</si>
  <si>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</si>
  <si>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</si>
  <si>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</si>
  <si>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</si>
  <si>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</si>
  <si>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</si>
  <si>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</si>
  <si>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</si>
  <si>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</si>
  <si>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</si>
  <si>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</si>
  <si>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</si>
  <si>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</si>
  <si>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</si>
  <si>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</si>
  <si>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</si>
  <si>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</si>
  <si>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</si>
  <si>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</si>
  <si>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</si>
  <si>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</si>
  <si>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</si>
  <si>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</si>
  <si>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</si>
  <si>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</si>
  <si>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</si>
  <si>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</si>
  <si>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</si>
  <si>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</si>
  <si>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</si>
  <si>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</si>
  <si>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</si>
  <si>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</si>
  <si>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</si>
  <si>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</si>
  <si>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</si>
  <si>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</si>
  <si>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</si>
  <si>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</si>
  <si>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</si>
  <si>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</si>
  <si>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</si>
  <si>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</si>
  <si>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</si>
  <si>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</si>
  <si>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</si>
  <si>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</si>
  <si>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</si>
  <si>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</si>
  <si>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</si>
  <si>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</si>
  <si>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</si>
  <si>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</si>
  <si>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</si>
  <si>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</si>
  <si>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</si>
  <si>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</si>
  <si>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</si>
  <si>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</si>
  <si>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</si>
  <si>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</si>
  <si>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</si>
  <si>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</si>
  <si>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</si>
  <si>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</si>
  <si>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</si>
  <si>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</si>
  <si>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</si>
  <si>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</si>
  <si>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</si>
  <si>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</si>
  <si>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</si>
  <si>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</si>
  <si>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</si>
  <si>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Moderate - </t>
    </r>
    <r>
      <rPr>
        <i/>
        <sz val="12"/>
        <color theme="1"/>
        <rFont val="Calibri"/>
        <family val="2"/>
        <scheme val="minor"/>
      </rPr>
      <t>Malastoma offine</t>
    </r>
    <r>
      <rPr>
        <sz val="12"/>
        <color theme="1"/>
        <rFont val="Calibri"/>
        <family val="2"/>
        <scheme val="minor"/>
      </rPr>
      <t>, Eupatorium.</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</si>
  <si>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</si>
  <si>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</si>
  <si>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</si>
  <si>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Veerkamba Block</t>
  </si>
  <si>
    <t>Ignecious Rocks</t>
  </si>
  <si>
    <t>Mild Erosion</t>
  </si>
  <si>
    <t>Scanty - Cynodon dactylon (Hambuhullu)</t>
  </si>
  <si>
    <t>Scanty - Malastoma offine, Eupatorium.</t>
  </si>
  <si>
    <t>Mildly Degrated</t>
  </si>
  <si>
    <t>I - 14</t>
  </si>
  <si>
    <t>Start from Bantvala Range office to towards Vitla road to  Veerkamba Rf for 10.6 km N- 12.824303, E- 75.083627 (By Jeep). Then walked right for 180 mtr to reached center of the plot.</t>
  </si>
  <si>
    <r>
      <t xml:space="preserve">Moist Decidiuos Open forest, Speices like </t>
    </r>
    <r>
      <rPr>
        <i/>
        <sz val="12"/>
        <color theme="1"/>
        <rFont val="Calibri"/>
        <family val="2"/>
        <scheme val="minor"/>
      </rPr>
      <t>Acassia</t>
    </r>
    <r>
      <rPr>
        <sz val="12"/>
        <color theme="1"/>
        <rFont val="Calibri"/>
        <family val="2"/>
        <scheme val="minor"/>
      </rPr>
      <t>,</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</si>
  <si>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</si>
  <si>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2. Aspect - Southern</t>
  </si>
  <si>
    <t>4. Soil-  Latarite soil</t>
  </si>
  <si>
    <r>
      <t xml:space="preserve">8. Herbs -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</si>
  <si>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</si>
  <si>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</si>
  <si>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88 m</t>
  </si>
  <si>
    <t>3.Canopy density - Open forest and 50% conopy dencity</t>
  </si>
  <si>
    <t>Open forest and 50% conopy dencity</t>
  </si>
  <si>
    <t>Gently rolling</t>
  </si>
  <si>
    <t>Upto 4 - 15</t>
  </si>
  <si>
    <t>Southern</t>
  </si>
  <si>
    <t>Latarite soil, Texture - Hard, Depth - 30cm, Permiability - Good.</t>
  </si>
  <si>
    <r>
      <rPr>
        <i/>
        <sz val="12"/>
        <color theme="1"/>
        <rFont val="Calibri"/>
        <family val="2"/>
        <scheme val="minor"/>
      </rPr>
      <t>Aparosa lindlyana</t>
    </r>
    <r>
      <rPr>
        <sz val="12"/>
        <color theme="1"/>
        <rFont val="Calibri"/>
        <family val="2"/>
        <scheme val="minor"/>
      </rPr>
      <t xml:space="preserve"> (Salle) - 10%, Holigarna arnottina (Chaar) - 10%, </t>
    </r>
    <r>
      <rPr>
        <i/>
        <sz val="12"/>
        <color theme="1"/>
        <rFont val="Calibri"/>
        <family val="2"/>
        <scheme val="minor"/>
      </rPr>
      <t xml:space="preserve">Acassia </t>
    </r>
    <r>
      <rPr>
        <sz val="12"/>
        <color theme="1"/>
        <rFont val="Calibri"/>
        <family val="2"/>
        <scheme val="minor"/>
      </rPr>
      <t>- 30%.</t>
    </r>
  </si>
  <si>
    <t>Poor</t>
  </si>
  <si>
    <t>Absent</t>
  </si>
  <si>
    <t>Natural forest with acassia</t>
  </si>
  <si>
    <t>Acassia</t>
  </si>
  <si>
    <t>Marva</t>
  </si>
  <si>
    <t>Salle</t>
  </si>
  <si>
    <t>Aparosa lindlyana</t>
  </si>
  <si>
    <t>Terminalea paniculata</t>
  </si>
  <si>
    <t>Nill</t>
  </si>
  <si>
    <t>Adchar</t>
  </si>
  <si>
    <t>Parige</t>
  </si>
  <si>
    <t>Haiga</t>
  </si>
  <si>
    <t>Kumsa</t>
  </si>
  <si>
    <t>Climber</t>
  </si>
  <si>
    <t>360 gm</t>
  </si>
  <si>
    <t>1.3 kg</t>
  </si>
  <si>
    <t>110 gm</t>
  </si>
  <si>
    <t>510 gm</t>
  </si>
  <si>
    <t>755 gm</t>
  </si>
  <si>
    <t>1.4 kg</t>
  </si>
  <si>
    <t>180 gm</t>
  </si>
  <si>
    <t>Kuntal</t>
  </si>
  <si>
    <t>Kuntalk</t>
  </si>
  <si>
    <t>Kaare</t>
  </si>
  <si>
    <t>Kepalu</t>
  </si>
  <si>
    <t>Hambuhullu</t>
  </si>
  <si>
    <t>Vaatmadike</t>
  </si>
  <si>
    <t>Ixora cocanea</t>
  </si>
  <si>
    <t>Hopea ponga</t>
  </si>
  <si>
    <t>Zizypus muriantana</t>
  </si>
  <si>
    <t>Phycotrea dalzelli</t>
  </si>
  <si>
    <t>Randea aculeata</t>
  </si>
  <si>
    <t>Cynodon dactylon</t>
  </si>
  <si>
    <t xml:space="preserve">Cynodon dactylon </t>
  </si>
  <si>
    <t>Memecylon talbotianum</t>
  </si>
  <si>
    <t>Calycopteris floribunda</t>
  </si>
  <si>
    <t>Syzygium caryophyllatum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</si>
</sst>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0" bestFit="1" customWidth="1"/>
    <col min="2" max="2" width="15.7109375" style="40" customWidth="1"/>
    <col min="3" max="3" width="58.42578125" style="40" bestFit="1" customWidth="1"/>
    <col min="4" max="16384" width="9.140625" style="40"/>
  </cols>
  <sheetData>
    <row r="1" spans="1:3">
      <c r="A1" s="67" t="s">
        <v>21</v>
      </c>
      <c r="B1" s="67"/>
      <c r="C1" s="67"/>
    </row>
    <row r="2" spans="1:3">
      <c r="A2" s="67" t="s">
        <v>22</v>
      </c>
      <c r="B2" s="67"/>
      <c r="C2" s="67"/>
    </row>
    <row r="3" spans="1:3">
      <c r="A3" s="68" t="s">
        <v>102</v>
      </c>
      <c r="B3" s="68"/>
      <c r="C3" s="51" t="s">
        <v>110</v>
      </c>
    </row>
    <row r="4" spans="1:3">
      <c r="A4" s="43"/>
    </row>
    <row r="5" spans="1:3" ht="31.5">
      <c r="A5" s="44" t="s">
        <v>23</v>
      </c>
      <c r="B5" s="46" t="s">
        <v>24</v>
      </c>
      <c r="C5" s="46" t="s">
        <v>25</v>
      </c>
    </row>
    <row r="6" spans="1:3">
      <c r="A6" s="47">
        <v>1</v>
      </c>
      <c r="B6" s="48" t="s">
        <v>26</v>
      </c>
      <c r="C6" s="52" t="s">
        <v>113</v>
      </c>
    </row>
    <row r="7" spans="1:3" ht="31.5">
      <c r="A7" s="47">
        <v>2</v>
      </c>
      <c r="B7" s="48" t="s">
        <v>27</v>
      </c>
      <c r="C7" s="52"/>
    </row>
    <row r="8" spans="1:3">
      <c r="A8" s="47">
        <v>3</v>
      </c>
      <c r="B8" s="48" t="s">
        <v>28</v>
      </c>
      <c r="C8" s="52" t="s">
        <v>125</v>
      </c>
    </row>
    <row r="9" spans="1:3">
      <c r="A9" s="47">
        <v>4</v>
      </c>
      <c r="B9" s="48" t="s">
        <v>29</v>
      </c>
      <c r="C9" s="39">
        <v>3818</v>
      </c>
    </row>
    <row r="10" spans="1:3" ht="20.25" customHeight="1">
      <c r="A10" s="47">
        <v>5</v>
      </c>
      <c r="B10" s="48" t="s">
        <v>30</v>
      </c>
      <c r="C10" s="53">
        <v>12.823159</v>
      </c>
    </row>
    <row r="11" spans="1:3" ht="23.25" customHeight="1">
      <c r="A11" s="47"/>
      <c r="B11" s="48" t="s">
        <v>31</v>
      </c>
      <c r="C11" s="53">
        <v>75.084729999999993</v>
      </c>
    </row>
    <row r="12" spans="1:3" ht="85.5" customHeight="1">
      <c r="A12" s="47">
        <v>7</v>
      </c>
      <c r="B12" s="48" t="s">
        <v>32</v>
      </c>
      <c r="C12" s="39" t="s">
        <v>126</v>
      </c>
    </row>
    <row r="13" spans="1:3" ht="78.75" customHeight="1">
      <c r="A13" s="47">
        <v>8</v>
      </c>
      <c r="B13" s="48" t="s">
        <v>33</v>
      </c>
      <c r="C13" s="54" t="s">
        <v>127</v>
      </c>
    </row>
    <row r="14" spans="1:3" ht="15.75" customHeight="1">
      <c r="A14" s="65">
        <v>9</v>
      </c>
      <c r="B14" s="69" t="s">
        <v>34</v>
      </c>
      <c r="C14" s="54" t="s">
        <v>128</v>
      </c>
    </row>
    <row r="15" spans="1:3">
      <c r="A15" s="66"/>
      <c r="B15" s="70"/>
      <c r="C15" s="54" t="s">
        <v>129</v>
      </c>
    </row>
    <row r="16" spans="1:3">
      <c r="A16" s="66"/>
      <c r="B16" s="70"/>
      <c r="C16" s="54" t="s">
        <v>135</v>
      </c>
    </row>
    <row r="17" spans="1:3">
      <c r="A17" s="66"/>
      <c r="B17" s="70"/>
      <c r="C17" s="54" t="s">
        <v>130</v>
      </c>
    </row>
    <row r="18" spans="1:3">
      <c r="A18" s="66"/>
      <c r="B18" s="70"/>
      <c r="C18" s="56" t="s">
        <v>114</v>
      </c>
    </row>
    <row r="19" spans="1:3">
      <c r="A19" s="66"/>
      <c r="B19" s="70"/>
      <c r="C19" s="54" t="s">
        <v>115</v>
      </c>
    </row>
    <row r="20" spans="1:3">
      <c r="A20" s="66"/>
      <c r="B20" s="70"/>
      <c r="C20" s="54" t="s">
        <v>116</v>
      </c>
    </row>
    <row r="21" spans="1:3" ht="31.5">
      <c r="A21" s="66"/>
      <c r="B21" s="70"/>
      <c r="C21" s="54" t="s">
        <v>131</v>
      </c>
    </row>
    <row r="22" spans="1:3" ht="31.5">
      <c r="A22" s="66"/>
      <c r="B22" s="70"/>
      <c r="C22" s="54" t="s">
        <v>112</v>
      </c>
    </row>
    <row r="23" spans="1:3" ht="47.25">
      <c r="A23" s="66"/>
      <c r="B23" s="70"/>
      <c r="C23" s="54" t="s">
        <v>117</v>
      </c>
    </row>
    <row r="24" spans="1:3" ht="48" customHeight="1">
      <c r="A24" s="66"/>
      <c r="B24" s="70"/>
      <c r="C24" s="54" t="s">
        <v>118</v>
      </c>
    </row>
    <row r="25" spans="1:3">
      <c r="A25" s="66"/>
      <c r="B25" s="70"/>
      <c r="C25" s="54" t="s">
        <v>132</v>
      </c>
    </row>
    <row r="26" spans="1:3">
      <c r="A26" s="66"/>
      <c r="B26" s="70"/>
      <c r="C26" s="54" t="s">
        <v>133</v>
      </c>
    </row>
    <row r="27" spans="1:3" ht="31.5">
      <c r="A27" s="47">
        <v>10</v>
      </c>
      <c r="B27" s="48" t="s">
        <v>35</v>
      </c>
      <c r="C27" s="48" t="s">
        <v>111</v>
      </c>
    </row>
    <row r="28" spans="1:3" ht="47.25">
      <c r="A28" s="47">
        <v>11</v>
      </c>
      <c r="B28" s="48" t="s">
        <v>36</v>
      </c>
      <c r="C28" s="48" t="s">
        <v>111</v>
      </c>
    </row>
    <row r="29" spans="1:3" ht="61.5" customHeight="1">
      <c r="A29" s="43"/>
    </row>
    <row r="30" spans="1:3" ht="15.75" customHeight="1">
      <c r="A30" s="43"/>
    </row>
    <row r="31" spans="1:3">
      <c r="A31" s="43"/>
    </row>
    <row r="32" spans="1:3">
      <c r="A32" s="64"/>
    </row>
    <row r="33" spans="1:1">
      <c r="A33" s="55"/>
    </row>
    <row r="34" spans="1:1">
      <c r="A34" s="55"/>
    </row>
    <row r="35" spans="1:1">
      <c r="A35" s="55"/>
    </row>
    <row r="36" spans="1:1">
      <c r="A36" s="55"/>
    </row>
    <row r="37" spans="1:1">
      <c r="A37" s="55"/>
    </row>
    <row r="38" spans="1:1">
      <c r="A38" s="55"/>
    </row>
    <row r="49" spans="1:1">
      <c r="A49" s="55"/>
    </row>
    <row r="50" spans="1:1" ht="62.25" customHeight="1">
      <c r="A50" s="55"/>
    </row>
    <row r="51" spans="1:1">
      <c r="A51" s="55"/>
    </row>
    <row r="52" spans="1:1">
      <c r="A52" s="55"/>
    </row>
    <row r="53" spans="1:1">
      <c r="A53" s="55"/>
    </row>
    <row r="54" spans="1:1">
      <c r="A54" s="55"/>
    </row>
    <row r="55" spans="1:1">
      <c r="A55" s="55"/>
    </row>
    <row r="56" spans="1:1">
      <c r="A56" s="55"/>
    </row>
    <row r="57" spans="1:1">
      <c r="A57" s="55"/>
    </row>
    <row r="58" spans="1:1">
      <c r="A58" s="64"/>
    </row>
    <row r="66" spans="1:1">
      <c r="A66" s="55"/>
    </row>
    <row r="74" spans="1:1">
      <c r="A74" s="43"/>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0" bestFit="1" customWidth="1"/>
    <col min="2" max="2" width="16.42578125" style="40" customWidth="1"/>
    <col min="3" max="3" width="55.85546875" style="40" customWidth="1"/>
    <col min="4" max="16384" width="9.140625" style="40"/>
  </cols>
  <sheetData>
    <row r="1" spans="1:3">
      <c r="A1" s="67" t="s">
        <v>37</v>
      </c>
      <c r="B1" s="67"/>
      <c r="C1" s="67"/>
    </row>
    <row r="2" spans="1:3">
      <c r="A2" s="67" t="s">
        <v>38</v>
      </c>
      <c r="B2" s="67"/>
      <c r="C2" s="67"/>
    </row>
    <row r="3" spans="1:3">
      <c r="A3" s="41"/>
    </row>
    <row r="4" spans="1:3" ht="70.900000000000006" customHeight="1">
      <c r="A4" s="71" t="s">
        <v>39</v>
      </c>
      <c r="B4" s="71"/>
      <c r="C4" s="71"/>
    </row>
    <row r="5" spans="1:3">
      <c r="A5" s="68" t="s">
        <v>102</v>
      </c>
      <c r="B5" s="68"/>
      <c r="C5" s="42" t="str">
        <f>'Form 1'!C3</f>
        <v>Mangalore</v>
      </c>
    </row>
    <row r="6" spans="1:3">
      <c r="A6" s="43"/>
    </row>
    <row r="7" spans="1:3" ht="31.5">
      <c r="A7" s="44" t="s">
        <v>23</v>
      </c>
      <c r="B7" s="45" t="s">
        <v>25</v>
      </c>
      <c r="C7" s="46" t="s">
        <v>40</v>
      </c>
    </row>
    <row r="8" spans="1:3">
      <c r="A8" s="47">
        <v>1</v>
      </c>
      <c r="B8" s="48" t="s">
        <v>26</v>
      </c>
      <c r="C8" s="4" t="s">
        <v>113</v>
      </c>
    </row>
    <row r="9" spans="1:3" ht="31.5">
      <c r="A9" s="47">
        <v>2</v>
      </c>
      <c r="B9" s="48" t="s">
        <v>41</v>
      </c>
      <c r="C9" s="49">
        <f>'Form 1'!C7</f>
        <v>0</v>
      </c>
    </row>
    <row r="10" spans="1:3">
      <c r="A10" s="47">
        <v>3</v>
      </c>
      <c r="B10" s="48" t="s">
        <v>28</v>
      </c>
      <c r="C10" s="49" t="str">
        <f>'Form 1'!C8</f>
        <v>I - 14</v>
      </c>
    </row>
    <row r="11" spans="1:3">
      <c r="A11" s="47">
        <v>4</v>
      </c>
      <c r="B11" s="48" t="s">
        <v>29</v>
      </c>
      <c r="C11" s="49">
        <f>'Form 1'!C9</f>
        <v>3818</v>
      </c>
    </row>
    <row r="12" spans="1:3">
      <c r="A12" s="47">
        <v>5</v>
      </c>
      <c r="B12" s="48" t="s">
        <v>42</v>
      </c>
      <c r="C12" s="49">
        <f>'Form 1'!C10</f>
        <v>12.823159</v>
      </c>
    </row>
    <row r="13" spans="1:3">
      <c r="A13" s="47">
        <v>6</v>
      </c>
      <c r="B13" s="48" t="s">
        <v>43</v>
      </c>
      <c r="C13" s="49">
        <f>'Form 1'!C11</f>
        <v>75.084729999999993</v>
      </c>
    </row>
    <row r="14" spans="1:3">
      <c r="A14" s="47">
        <v>7</v>
      </c>
      <c r="B14" s="48" t="s">
        <v>44</v>
      </c>
      <c r="C14" s="49" t="s">
        <v>134</v>
      </c>
    </row>
    <row r="15" spans="1:3">
      <c r="A15" s="47">
        <v>8</v>
      </c>
      <c r="B15" s="48" t="s">
        <v>45</v>
      </c>
      <c r="C15" s="49" t="s">
        <v>119</v>
      </c>
    </row>
    <row r="16" spans="1:3">
      <c r="A16" s="47">
        <v>9</v>
      </c>
      <c r="B16" s="48" t="s">
        <v>46</v>
      </c>
      <c r="C16" s="49" t="s">
        <v>136</v>
      </c>
    </row>
    <row r="17" spans="1:3" ht="31.5">
      <c r="A17" s="47">
        <v>10</v>
      </c>
      <c r="B17" s="48" t="s">
        <v>47</v>
      </c>
      <c r="C17" s="49" t="s">
        <v>137</v>
      </c>
    </row>
    <row r="18" spans="1:3">
      <c r="A18" s="47">
        <v>11</v>
      </c>
      <c r="B18" s="48" t="s">
        <v>48</v>
      </c>
      <c r="C18" s="50" t="s">
        <v>138</v>
      </c>
    </row>
    <row r="19" spans="1:3">
      <c r="A19" s="47">
        <v>12</v>
      </c>
      <c r="B19" s="48" t="s">
        <v>49</v>
      </c>
      <c r="C19" s="50" t="s">
        <v>139</v>
      </c>
    </row>
    <row r="20" spans="1:3" ht="31.5">
      <c r="A20" s="47">
        <v>13</v>
      </c>
      <c r="B20" s="48" t="s">
        <v>50</v>
      </c>
      <c r="C20" s="50" t="s">
        <v>120</v>
      </c>
    </row>
    <row r="21" spans="1:3" ht="31.5">
      <c r="A21" s="47">
        <v>14</v>
      </c>
      <c r="B21" s="48" t="s">
        <v>51</v>
      </c>
      <c r="C21" s="50" t="s">
        <v>140</v>
      </c>
    </row>
    <row r="22" spans="1:3">
      <c r="A22" s="47">
        <v>15</v>
      </c>
      <c r="B22" s="48" t="s">
        <v>52</v>
      </c>
      <c r="C22" s="50" t="s">
        <v>121</v>
      </c>
    </row>
    <row r="23" spans="1:3" ht="31.5">
      <c r="A23" s="47">
        <v>16</v>
      </c>
      <c r="B23" s="48" t="s">
        <v>53</v>
      </c>
      <c r="C23" s="50" t="s">
        <v>141</v>
      </c>
    </row>
    <row r="24" spans="1:3" ht="31.5">
      <c r="A24" s="47">
        <v>17</v>
      </c>
      <c r="B24" s="48" t="s">
        <v>54</v>
      </c>
      <c r="C24" s="50" t="s">
        <v>142</v>
      </c>
    </row>
    <row r="25" spans="1:3" ht="31.5">
      <c r="A25" s="47">
        <v>18</v>
      </c>
      <c r="B25" s="48" t="s">
        <v>55</v>
      </c>
      <c r="C25" s="50" t="s">
        <v>111</v>
      </c>
    </row>
    <row r="26" spans="1:3" ht="31.5">
      <c r="A26" s="47">
        <v>19</v>
      </c>
      <c r="B26" s="48" t="s">
        <v>56</v>
      </c>
      <c r="C26" s="50" t="s">
        <v>111</v>
      </c>
    </row>
    <row r="27" spans="1:3" ht="31.5">
      <c r="A27" s="47">
        <v>20</v>
      </c>
      <c r="B27" s="48" t="s">
        <v>57</v>
      </c>
      <c r="C27" s="50" t="s">
        <v>143</v>
      </c>
    </row>
    <row r="28" spans="1:3" ht="31.5">
      <c r="A28" s="47">
        <v>21</v>
      </c>
      <c r="B28" s="48" t="s">
        <v>58</v>
      </c>
      <c r="C28" s="50" t="s">
        <v>122</v>
      </c>
    </row>
    <row r="29" spans="1:3" ht="31.5">
      <c r="A29" s="47">
        <v>22</v>
      </c>
      <c r="B29" s="48" t="s">
        <v>59</v>
      </c>
      <c r="C29" s="50" t="s">
        <v>123</v>
      </c>
    </row>
    <row r="30" spans="1:3" ht="31.5">
      <c r="A30" s="47">
        <v>23</v>
      </c>
      <c r="B30" s="48" t="s">
        <v>60</v>
      </c>
      <c r="C30" s="50" t="s">
        <v>144</v>
      </c>
    </row>
    <row r="31" spans="1:3">
      <c r="A31" s="47">
        <v>24</v>
      </c>
      <c r="B31" s="48" t="s">
        <v>61</v>
      </c>
      <c r="C31" s="50" t="s">
        <v>111</v>
      </c>
    </row>
    <row r="32" spans="1:3" ht="31.5">
      <c r="A32" s="47">
        <v>25</v>
      </c>
      <c r="B32" s="48" t="s">
        <v>62</v>
      </c>
      <c r="C32" s="50" t="s">
        <v>124</v>
      </c>
    </row>
    <row r="33" spans="1:3" ht="31.5">
      <c r="A33" s="47">
        <v>26</v>
      </c>
      <c r="B33" s="48" t="s">
        <v>63</v>
      </c>
      <c r="C33" s="50" t="s">
        <v>111</v>
      </c>
    </row>
    <row r="34" spans="1:3" ht="47.25">
      <c r="A34" s="47">
        <v>27</v>
      </c>
      <c r="B34" s="48" t="s">
        <v>64</v>
      </c>
      <c r="C34" s="50"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14"/>
  <sheetViews>
    <sheetView workbookViewId="0">
      <selection activeCell="B14" sqref="B14:C14"/>
    </sheetView>
  </sheetViews>
  <sheetFormatPr defaultRowHeight="15"/>
  <cols>
    <col min="1" max="1" width="4.5703125" customWidth="1"/>
    <col min="2" max="2" width="12.28515625" customWidth="1"/>
    <col min="3" max="3" width="15.28515625" style="7" customWidth="1"/>
    <col min="4" max="4" width="18.7109375" style="8"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8" t="s">
        <v>0</v>
      </c>
      <c r="B1" s="98"/>
      <c r="C1" s="98"/>
      <c r="D1" s="98"/>
      <c r="E1" s="98"/>
      <c r="F1" s="98"/>
      <c r="G1" s="98"/>
      <c r="H1" s="98"/>
      <c r="I1" s="98"/>
      <c r="J1" s="98"/>
      <c r="K1" s="98"/>
      <c r="L1" s="98"/>
    </row>
    <row r="2" spans="1:12" ht="15.6" customHeight="1">
      <c r="A2" s="98" t="s">
        <v>1</v>
      </c>
      <c r="B2" s="98"/>
      <c r="C2" s="98"/>
      <c r="D2" s="98"/>
      <c r="E2" s="98"/>
      <c r="F2" s="98"/>
      <c r="G2" s="98"/>
      <c r="H2" s="98"/>
      <c r="I2" s="98"/>
      <c r="J2" s="98"/>
      <c r="K2" s="98"/>
      <c r="L2" s="98"/>
    </row>
    <row r="3" spans="1:12" ht="15.6" customHeight="1">
      <c r="A3" s="98" t="s">
        <v>2</v>
      </c>
      <c r="B3" s="98"/>
      <c r="C3" s="98"/>
      <c r="D3" s="98"/>
      <c r="E3" s="98"/>
      <c r="F3" s="98"/>
      <c r="G3" s="98"/>
      <c r="H3" s="98"/>
      <c r="I3" s="98"/>
      <c r="J3" s="98"/>
      <c r="K3" s="98"/>
      <c r="L3" s="98"/>
    </row>
    <row r="4" spans="1:12" ht="15.6" customHeight="1" thickBot="1">
      <c r="A4" s="99"/>
      <c r="B4" s="99"/>
      <c r="C4" s="99"/>
      <c r="D4" s="99"/>
      <c r="E4" s="99"/>
      <c r="F4" s="99"/>
      <c r="G4" s="99"/>
      <c r="H4" s="99"/>
      <c r="I4" s="99"/>
      <c r="J4" s="99"/>
      <c r="K4" s="99"/>
      <c r="L4" s="99"/>
    </row>
    <row r="5" spans="1:12" ht="15.6" customHeight="1">
      <c r="A5" s="100" t="s">
        <v>3</v>
      </c>
      <c r="B5" s="101"/>
      <c r="C5" s="102" t="str">
        <f>'Form II'!C10</f>
        <v>I - 14</v>
      </c>
      <c r="D5" s="103"/>
      <c r="E5" s="108" t="s">
        <v>109</v>
      </c>
      <c r="F5" s="102"/>
      <c r="G5" s="102"/>
      <c r="H5" s="102"/>
      <c r="I5" s="103"/>
      <c r="J5" s="12" t="s">
        <v>4</v>
      </c>
      <c r="K5" s="101"/>
      <c r="L5" s="104"/>
    </row>
    <row r="6" spans="1:12" ht="15.6" customHeight="1">
      <c r="A6" s="105" t="s">
        <v>5</v>
      </c>
      <c r="B6" s="106"/>
      <c r="C6" s="83" t="str">
        <f>'Form 1'!C6</f>
        <v>Bantvala</v>
      </c>
      <c r="D6" s="107"/>
      <c r="E6" s="35" t="s">
        <v>101</v>
      </c>
      <c r="F6" s="34"/>
      <c r="G6" s="83" t="str">
        <f>'Form 1'!C3</f>
        <v>Mangalore</v>
      </c>
      <c r="H6" s="83"/>
      <c r="I6" s="107"/>
      <c r="J6" s="13" t="s">
        <v>6</v>
      </c>
      <c r="K6" s="83" t="str">
        <f>'Form II'!C14</f>
        <v>88 m</v>
      </c>
      <c r="L6" s="84"/>
    </row>
    <row r="7" spans="1:12" ht="15.6" customHeight="1" thickBot="1">
      <c r="A7" s="109" t="s">
        <v>7</v>
      </c>
      <c r="B7" s="110"/>
      <c r="C7" s="85">
        <f>'Form 1'!C10</f>
        <v>12.823159</v>
      </c>
      <c r="D7" s="87"/>
      <c r="E7" s="14" t="s">
        <v>8</v>
      </c>
      <c r="F7" s="11"/>
      <c r="G7" s="85">
        <f>'Form 1'!C11</f>
        <v>75.084729999999993</v>
      </c>
      <c r="H7" s="85"/>
      <c r="I7" s="87"/>
      <c r="J7" s="14" t="s">
        <v>9</v>
      </c>
      <c r="K7" s="85">
        <f>'Form 1'!C9</f>
        <v>3818</v>
      </c>
      <c r="L7" s="86"/>
    </row>
    <row r="8" spans="1:12" ht="15.6" customHeight="1" thickBot="1">
      <c r="A8" s="1"/>
      <c r="B8" s="1"/>
      <c r="C8" s="5"/>
      <c r="D8" s="6"/>
      <c r="E8" s="2"/>
      <c r="F8" s="2"/>
      <c r="G8" s="2"/>
      <c r="H8" s="2"/>
      <c r="I8" s="2"/>
      <c r="J8" s="2"/>
      <c r="K8" s="2"/>
      <c r="L8" s="2"/>
    </row>
    <row r="9" spans="1:12" ht="18.600000000000001" customHeight="1">
      <c r="A9" s="90" t="s">
        <v>10</v>
      </c>
      <c r="B9" s="92" t="s">
        <v>11</v>
      </c>
      <c r="C9" s="93"/>
      <c r="D9" s="76" t="s">
        <v>12</v>
      </c>
      <c r="E9" s="76" t="s">
        <v>13</v>
      </c>
      <c r="F9" s="15" t="s">
        <v>14</v>
      </c>
      <c r="G9" s="76" t="s">
        <v>20</v>
      </c>
      <c r="H9" s="80" t="s">
        <v>15</v>
      </c>
      <c r="I9" s="81"/>
      <c r="J9" s="81"/>
      <c r="K9" s="82"/>
      <c r="L9" s="88" t="s">
        <v>16</v>
      </c>
    </row>
    <row r="10" spans="1:12" ht="57" customHeight="1">
      <c r="A10" s="91"/>
      <c r="B10" s="94"/>
      <c r="C10" s="95"/>
      <c r="D10" s="77"/>
      <c r="E10" s="77"/>
      <c r="F10" s="16" t="s">
        <v>17</v>
      </c>
      <c r="G10" s="77"/>
      <c r="H10" s="78" t="s">
        <v>18</v>
      </c>
      <c r="I10" s="79"/>
      <c r="J10" s="78" t="s">
        <v>19</v>
      </c>
      <c r="K10" s="79"/>
      <c r="L10" s="89"/>
    </row>
    <row r="11" spans="1:12" ht="15.6" customHeight="1">
      <c r="A11" s="9">
        <v>1</v>
      </c>
      <c r="B11" s="72" t="s">
        <v>145</v>
      </c>
      <c r="C11" s="73"/>
      <c r="D11" s="3" t="s">
        <v>145</v>
      </c>
      <c r="E11" s="38">
        <v>65</v>
      </c>
      <c r="F11" s="38"/>
      <c r="G11" s="38">
        <v>12</v>
      </c>
      <c r="H11" s="74"/>
      <c r="I11" s="75"/>
      <c r="J11" s="96"/>
      <c r="K11" s="97"/>
      <c r="L11" s="10"/>
    </row>
    <row r="12" spans="1:12" ht="15.6" customHeight="1">
      <c r="A12" s="9">
        <v>2</v>
      </c>
      <c r="B12" s="72" t="s">
        <v>148</v>
      </c>
      <c r="C12" s="73"/>
      <c r="D12" s="4" t="s">
        <v>147</v>
      </c>
      <c r="E12" s="38">
        <v>54</v>
      </c>
      <c r="F12" s="38"/>
      <c r="G12" s="38">
        <v>11</v>
      </c>
      <c r="H12" s="74"/>
      <c r="I12" s="75"/>
      <c r="J12" s="96"/>
      <c r="K12" s="97"/>
      <c r="L12" s="10"/>
    </row>
    <row r="13" spans="1:12" ht="15.6" customHeight="1">
      <c r="A13" s="9">
        <v>3</v>
      </c>
      <c r="B13" s="72" t="s">
        <v>148</v>
      </c>
      <c r="C13" s="73"/>
      <c r="D13" s="3" t="s">
        <v>147</v>
      </c>
      <c r="E13" s="38">
        <v>39</v>
      </c>
      <c r="F13" s="38"/>
      <c r="G13" s="38">
        <v>7</v>
      </c>
      <c r="H13" s="74"/>
      <c r="I13" s="75"/>
      <c r="J13" s="96"/>
      <c r="K13" s="97"/>
      <c r="L13" s="10"/>
    </row>
    <row r="14" spans="1:12" ht="15.6" customHeight="1">
      <c r="A14" s="9">
        <v>4</v>
      </c>
      <c r="B14" s="72" t="s">
        <v>149</v>
      </c>
      <c r="C14" s="73"/>
      <c r="D14" s="3" t="s">
        <v>146</v>
      </c>
      <c r="E14" s="38">
        <v>45</v>
      </c>
      <c r="F14" s="38"/>
      <c r="G14" s="38">
        <v>8</v>
      </c>
      <c r="H14" s="74"/>
      <c r="I14" s="75"/>
      <c r="J14" s="96"/>
      <c r="K14" s="97"/>
      <c r="L14" s="10"/>
    </row>
  </sheetData>
  <mergeCells count="37">
    <mergeCell ref="H14:I14"/>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7" sqref="C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7" t="s">
        <v>65</v>
      </c>
      <c r="B1" s="117"/>
      <c r="C1" s="117"/>
      <c r="D1" s="117"/>
      <c r="E1" s="117"/>
      <c r="F1" s="117"/>
      <c r="G1" s="117"/>
      <c r="H1" s="117"/>
      <c r="I1" s="117"/>
      <c r="J1" s="117"/>
      <c r="K1" s="117"/>
      <c r="L1" s="117"/>
      <c r="M1" s="117"/>
      <c r="N1" s="117"/>
      <c r="O1" s="117"/>
      <c r="P1" s="117"/>
      <c r="Q1" s="117"/>
    </row>
    <row r="2" spans="1:17" ht="21">
      <c r="A2" s="117" t="s">
        <v>66</v>
      </c>
      <c r="B2" s="117"/>
      <c r="C2" s="117"/>
      <c r="D2" s="117"/>
      <c r="E2" s="117"/>
      <c r="F2" s="117"/>
      <c r="G2" s="117"/>
      <c r="H2" s="117"/>
      <c r="I2" s="117"/>
      <c r="J2" s="117"/>
      <c r="K2" s="117"/>
      <c r="L2" s="117"/>
      <c r="M2" s="117"/>
      <c r="N2" s="117"/>
      <c r="O2" s="117"/>
      <c r="P2" s="117"/>
      <c r="Q2" s="117"/>
    </row>
    <row r="3" spans="1:17">
      <c r="A3" s="18"/>
    </row>
    <row r="4" spans="1:17" ht="15.75" thickBot="1">
      <c r="A4" s="18"/>
    </row>
    <row r="5" spans="1:17" ht="16.5" thickBot="1">
      <c r="A5" s="111" t="s">
        <v>10</v>
      </c>
      <c r="B5" s="111" t="s">
        <v>11</v>
      </c>
      <c r="C5" s="111" t="s">
        <v>12</v>
      </c>
      <c r="D5" s="111" t="s">
        <v>67</v>
      </c>
      <c r="E5" s="119" t="s">
        <v>68</v>
      </c>
      <c r="F5" s="120"/>
      <c r="G5" s="120"/>
      <c r="H5" s="120"/>
      <c r="I5" s="120"/>
      <c r="J5" s="120"/>
      <c r="K5" s="120"/>
      <c r="L5" s="120"/>
      <c r="M5" s="121"/>
      <c r="N5" s="111" t="s">
        <v>69</v>
      </c>
      <c r="O5" s="119" t="s">
        <v>70</v>
      </c>
      <c r="P5" s="121"/>
      <c r="Q5" s="111" t="s">
        <v>71</v>
      </c>
    </row>
    <row r="6" spans="1:17" ht="15.75">
      <c r="A6" s="112"/>
      <c r="B6" s="112"/>
      <c r="C6" s="112"/>
      <c r="D6" s="112"/>
      <c r="E6" s="122" t="s">
        <v>72</v>
      </c>
      <c r="F6" s="123"/>
      <c r="G6" s="124"/>
      <c r="H6" s="122" t="s">
        <v>73</v>
      </c>
      <c r="I6" s="123"/>
      <c r="J6" s="124"/>
      <c r="K6" s="122" t="s">
        <v>74</v>
      </c>
      <c r="L6" s="123"/>
      <c r="M6" s="124"/>
      <c r="N6" s="112"/>
      <c r="O6" s="111" t="s">
        <v>75</v>
      </c>
      <c r="P6" s="111" t="s">
        <v>76</v>
      </c>
      <c r="Q6" s="112"/>
    </row>
    <row r="7" spans="1:17" ht="16.5" thickBot="1">
      <c r="A7" s="112"/>
      <c r="B7" s="112"/>
      <c r="C7" s="118"/>
      <c r="D7" s="112"/>
      <c r="E7" s="114" t="s">
        <v>77</v>
      </c>
      <c r="F7" s="115"/>
      <c r="G7" s="116"/>
      <c r="H7" s="114" t="s">
        <v>78</v>
      </c>
      <c r="I7" s="115"/>
      <c r="J7" s="116"/>
      <c r="K7" s="114" t="s">
        <v>77</v>
      </c>
      <c r="L7" s="115"/>
      <c r="M7" s="116"/>
      <c r="N7" s="112"/>
      <c r="O7" s="112"/>
      <c r="P7" s="112"/>
      <c r="Q7" s="112"/>
    </row>
    <row r="8" spans="1:17" ht="16.5" thickBot="1">
      <c r="A8" s="113"/>
      <c r="B8" s="113"/>
      <c r="C8" s="113"/>
      <c r="D8" s="113"/>
      <c r="E8" s="19" t="s">
        <v>79</v>
      </c>
      <c r="F8" s="19" t="s">
        <v>80</v>
      </c>
      <c r="G8" s="19" t="s">
        <v>81</v>
      </c>
      <c r="H8" s="19" t="s">
        <v>79</v>
      </c>
      <c r="I8" s="19" t="s">
        <v>80</v>
      </c>
      <c r="J8" s="19" t="s">
        <v>81</v>
      </c>
      <c r="K8" s="19" t="s">
        <v>79</v>
      </c>
      <c r="L8" s="19" t="s">
        <v>80</v>
      </c>
      <c r="M8" s="19" t="s">
        <v>81</v>
      </c>
      <c r="N8" s="113"/>
      <c r="O8" s="113"/>
      <c r="P8" s="113"/>
      <c r="Q8" s="113"/>
    </row>
    <row r="9" spans="1:17" ht="21.75" customHeight="1">
      <c r="A9" s="57">
        <v>1</v>
      </c>
      <c r="B9" s="138" t="s">
        <v>150</v>
      </c>
      <c r="C9" s="139"/>
      <c r="D9" s="139"/>
      <c r="E9" s="139"/>
      <c r="F9" s="139"/>
      <c r="G9" s="139"/>
      <c r="H9" s="139"/>
      <c r="I9" s="139"/>
      <c r="J9" s="139"/>
      <c r="K9" s="139"/>
      <c r="L9" s="139"/>
      <c r="M9" s="139"/>
      <c r="N9" s="139"/>
      <c r="O9" s="139"/>
      <c r="P9" s="139"/>
      <c r="Q9" s="140"/>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topLeftCell="A19"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7" t="s">
        <v>82</v>
      </c>
      <c r="B1" s="117"/>
      <c r="C1" s="117"/>
      <c r="D1" s="117"/>
      <c r="E1" s="117"/>
      <c r="F1" s="117"/>
      <c r="G1" s="117"/>
      <c r="H1" s="117"/>
      <c r="I1" s="117"/>
    </row>
    <row r="2" spans="1:9">
      <c r="A2" s="125"/>
      <c r="B2" s="125"/>
      <c r="H2" t="s">
        <v>83</v>
      </c>
      <c r="I2" s="8">
        <f>'Form 1'!C9</f>
        <v>3818</v>
      </c>
    </row>
    <row r="3" spans="1:9" ht="24" customHeight="1">
      <c r="A3" s="126" t="s">
        <v>10</v>
      </c>
      <c r="B3" s="126" t="s">
        <v>11</v>
      </c>
      <c r="C3" s="126" t="s">
        <v>12</v>
      </c>
      <c r="D3" s="126" t="s">
        <v>84</v>
      </c>
      <c r="E3" s="126" t="s">
        <v>108</v>
      </c>
      <c r="F3" s="126" t="s">
        <v>85</v>
      </c>
      <c r="G3" s="78" t="s">
        <v>15</v>
      </c>
      <c r="H3" s="79"/>
      <c r="I3" s="126" t="s">
        <v>86</v>
      </c>
    </row>
    <row r="4" spans="1:9" ht="63">
      <c r="A4" s="127"/>
      <c r="B4" s="127"/>
      <c r="C4" s="127"/>
      <c r="D4" s="127"/>
      <c r="E4" s="127"/>
      <c r="F4" s="127"/>
      <c r="G4" s="17" t="s">
        <v>87</v>
      </c>
      <c r="H4" s="17" t="s">
        <v>19</v>
      </c>
      <c r="I4" s="127"/>
    </row>
    <row r="5" spans="1:9" ht="15.75">
      <c r="A5" s="26">
        <v>1</v>
      </c>
      <c r="B5" s="30" t="s">
        <v>176</v>
      </c>
      <c r="C5" s="62" t="s">
        <v>151</v>
      </c>
      <c r="D5" s="61"/>
      <c r="E5" s="61">
        <v>32.200000000000003</v>
      </c>
      <c r="F5" s="61">
        <v>2</v>
      </c>
      <c r="G5" s="58"/>
      <c r="H5" s="58"/>
      <c r="I5" s="59"/>
    </row>
    <row r="6" spans="1:9" ht="15.75">
      <c r="A6" s="26">
        <v>2</v>
      </c>
      <c r="B6" s="63" t="s">
        <v>171</v>
      </c>
      <c r="C6" s="62" t="s">
        <v>152</v>
      </c>
      <c r="D6" s="61"/>
      <c r="E6" s="61">
        <v>28.2</v>
      </c>
      <c r="F6" s="61" t="s">
        <v>155</v>
      </c>
      <c r="G6" s="58"/>
      <c r="H6" s="58"/>
      <c r="I6" s="59"/>
    </row>
    <row r="7" spans="1:9" ht="15.75">
      <c r="A7" s="26">
        <v>3</v>
      </c>
      <c r="B7" s="63" t="s">
        <v>170</v>
      </c>
      <c r="C7" s="62" t="s">
        <v>153</v>
      </c>
      <c r="D7" s="61"/>
      <c r="E7" s="61">
        <v>24.5</v>
      </c>
      <c r="F7" s="61">
        <v>1.5</v>
      </c>
      <c r="G7" s="58"/>
      <c r="H7" s="58"/>
      <c r="I7" s="59"/>
    </row>
    <row r="8" spans="1:9" ht="15.75">
      <c r="A8" s="26">
        <v>4</v>
      </c>
      <c r="B8" s="63" t="s">
        <v>170</v>
      </c>
      <c r="C8" s="62" t="s">
        <v>153</v>
      </c>
      <c r="D8" s="61"/>
      <c r="E8" s="61">
        <v>40.6</v>
      </c>
      <c r="F8" s="61">
        <v>2.5</v>
      </c>
      <c r="G8" s="58"/>
      <c r="H8" s="58"/>
      <c r="I8" s="59"/>
    </row>
    <row r="9" spans="1:9" ht="15.75">
      <c r="A9" s="26">
        <v>5</v>
      </c>
      <c r="B9" s="63" t="s">
        <v>177</v>
      </c>
      <c r="C9" s="62" t="s">
        <v>154</v>
      </c>
      <c r="D9" s="61"/>
      <c r="E9" s="61">
        <v>32.4</v>
      </c>
      <c r="F9" s="61">
        <v>2</v>
      </c>
      <c r="G9" s="58"/>
      <c r="H9" s="58"/>
      <c r="I9" s="59"/>
    </row>
    <row r="10" spans="1:9" ht="15.75">
      <c r="A10" s="22"/>
      <c r="B10" s="23"/>
      <c r="C10" s="24"/>
      <c r="D10" s="25"/>
      <c r="E10" s="25"/>
      <c r="F10" s="25"/>
      <c r="G10" s="22"/>
      <c r="H10" s="22"/>
      <c r="I10" s="22"/>
    </row>
    <row r="11" spans="1:9" ht="21">
      <c r="A11" s="117" t="s">
        <v>88</v>
      </c>
      <c r="B11" s="117"/>
      <c r="C11" s="117"/>
      <c r="D11" s="117"/>
      <c r="E11" s="117"/>
      <c r="F11" s="117"/>
      <c r="G11" s="117"/>
      <c r="H11" s="117"/>
      <c r="I11" s="117"/>
    </row>
    <row r="12" spans="1:9" ht="15.75">
      <c r="A12" s="128"/>
      <c r="B12" s="128"/>
      <c r="H12" t="s">
        <v>83</v>
      </c>
      <c r="I12" s="8">
        <f>'Form 1'!C9</f>
        <v>3818</v>
      </c>
    </row>
    <row r="13" spans="1:9" ht="15.75" customHeight="1">
      <c r="A13" s="77" t="s">
        <v>10</v>
      </c>
      <c r="B13" s="77" t="s">
        <v>11</v>
      </c>
      <c r="C13" s="77" t="s">
        <v>12</v>
      </c>
      <c r="D13" s="77" t="s">
        <v>84</v>
      </c>
      <c r="E13" s="126" t="s">
        <v>108</v>
      </c>
      <c r="F13" s="77" t="s">
        <v>85</v>
      </c>
      <c r="G13" s="77" t="s">
        <v>15</v>
      </c>
      <c r="H13" s="77"/>
      <c r="I13" s="126" t="s">
        <v>86</v>
      </c>
    </row>
    <row r="14" spans="1:9" ht="63">
      <c r="A14" s="77"/>
      <c r="B14" s="77"/>
      <c r="C14" s="77"/>
      <c r="D14" s="77"/>
      <c r="E14" s="127"/>
      <c r="F14" s="77"/>
      <c r="G14" s="17" t="s">
        <v>87</v>
      </c>
      <c r="H14" s="17" t="s">
        <v>19</v>
      </c>
      <c r="I14" s="127"/>
    </row>
    <row r="15" spans="1:9" ht="15.75">
      <c r="A15" s="20">
        <v>1</v>
      </c>
      <c r="B15" s="30" t="s">
        <v>178</v>
      </c>
      <c r="C15" s="3" t="s">
        <v>163</v>
      </c>
      <c r="D15" s="38"/>
      <c r="E15" s="61">
        <v>27.2</v>
      </c>
      <c r="F15" s="38">
        <v>1.5</v>
      </c>
      <c r="G15" s="20"/>
      <c r="H15" s="20"/>
      <c r="I15" s="26"/>
    </row>
    <row r="16" spans="1:9" ht="15.75">
      <c r="A16" s="20">
        <v>2</v>
      </c>
      <c r="B16" s="30" t="s">
        <v>148</v>
      </c>
      <c r="C16" s="3" t="s">
        <v>147</v>
      </c>
      <c r="D16" s="38"/>
      <c r="E16" s="61">
        <v>38.4</v>
      </c>
      <c r="F16" s="38">
        <v>2</v>
      </c>
      <c r="G16" s="20"/>
      <c r="H16" s="20"/>
      <c r="I16" s="26"/>
    </row>
    <row r="17" spans="1:9" ht="15.75">
      <c r="A17" s="20">
        <v>3</v>
      </c>
      <c r="B17" s="63" t="s">
        <v>170</v>
      </c>
      <c r="C17" s="3" t="s">
        <v>153</v>
      </c>
      <c r="D17" s="38"/>
      <c r="E17" s="61">
        <v>26.2</v>
      </c>
      <c r="F17" s="38">
        <v>1.5</v>
      </c>
      <c r="G17" s="20"/>
      <c r="H17" s="20"/>
      <c r="I17" s="26"/>
    </row>
    <row r="18" spans="1:9" ht="15.75">
      <c r="A18" s="20">
        <v>4</v>
      </c>
      <c r="B18" s="30" t="s">
        <v>148</v>
      </c>
      <c r="C18" s="3" t="s">
        <v>147</v>
      </c>
      <c r="D18" s="38"/>
      <c r="E18" s="61">
        <v>30.1</v>
      </c>
      <c r="F18" s="38">
        <v>1.5</v>
      </c>
      <c r="G18" s="20"/>
      <c r="H18" s="20"/>
      <c r="I18" s="26"/>
    </row>
    <row r="19" spans="1:9" ht="15.75">
      <c r="A19" s="20">
        <v>5</v>
      </c>
      <c r="B19" s="63" t="s">
        <v>171</v>
      </c>
      <c r="C19" s="3" t="s">
        <v>152</v>
      </c>
      <c r="D19" s="38"/>
      <c r="E19" s="61">
        <v>20.100000000000001</v>
      </c>
      <c r="F19" s="38" t="s">
        <v>155</v>
      </c>
      <c r="G19" s="20"/>
      <c r="H19" s="20"/>
      <c r="I19" s="26"/>
    </row>
    <row r="20" spans="1:9" ht="15.75">
      <c r="A20" s="20">
        <v>6</v>
      </c>
      <c r="B20" s="63" t="s">
        <v>171</v>
      </c>
      <c r="C20" s="3" t="s">
        <v>152</v>
      </c>
      <c r="D20" s="38"/>
      <c r="E20" s="61">
        <v>32.4</v>
      </c>
      <c r="F20" s="38" t="s">
        <v>155</v>
      </c>
      <c r="G20" s="20"/>
      <c r="H20" s="20"/>
      <c r="I20" s="26"/>
    </row>
    <row r="21" spans="1:9">
      <c r="E21" s="8"/>
    </row>
    <row r="22" spans="1:9" ht="21">
      <c r="A22" s="117" t="s">
        <v>89</v>
      </c>
      <c r="B22" s="117"/>
      <c r="C22" s="117"/>
      <c r="D22" s="117"/>
      <c r="E22" s="117"/>
      <c r="F22" s="117"/>
      <c r="G22" s="117"/>
      <c r="H22" s="117"/>
      <c r="I22" s="117"/>
    </row>
    <row r="23" spans="1:9" ht="15.75">
      <c r="A23" s="128"/>
      <c r="B23" s="128"/>
      <c r="H23" s="8" t="s">
        <v>83</v>
      </c>
      <c r="I23" s="8">
        <f>'Form 1'!C9</f>
        <v>3818</v>
      </c>
    </row>
    <row r="24" spans="1:9" ht="15.75" customHeight="1">
      <c r="A24" s="77" t="s">
        <v>10</v>
      </c>
      <c r="B24" s="77" t="s">
        <v>11</v>
      </c>
      <c r="C24" s="77" t="s">
        <v>12</v>
      </c>
      <c r="D24" s="77" t="s">
        <v>84</v>
      </c>
      <c r="E24" s="126" t="s">
        <v>108</v>
      </c>
      <c r="F24" s="77" t="s">
        <v>85</v>
      </c>
      <c r="G24" s="77" t="s">
        <v>15</v>
      </c>
      <c r="H24" s="77"/>
      <c r="I24" s="126" t="s">
        <v>86</v>
      </c>
    </row>
    <row r="25" spans="1:9" ht="63">
      <c r="A25" s="77"/>
      <c r="B25" s="77"/>
      <c r="C25" s="77"/>
      <c r="D25" s="77"/>
      <c r="E25" s="127"/>
      <c r="F25" s="77"/>
      <c r="G25" s="17" t="s">
        <v>87</v>
      </c>
      <c r="H25" s="17" t="s">
        <v>19</v>
      </c>
      <c r="I25" s="127"/>
    </row>
    <row r="26" spans="1:9" ht="15.75">
      <c r="A26" s="20">
        <v>1</v>
      </c>
      <c r="B26" s="30" t="s">
        <v>145</v>
      </c>
      <c r="C26" s="3" t="s">
        <v>145</v>
      </c>
      <c r="D26" s="58"/>
      <c r="E26" s="61">
        <v>25.2</v>
      </c>
      <c r="F26" s="38">
        <v>2</v>
      </c>
      <c r="G26" s="58"/>
      <c r="H26" s="58"/>
      <c r="I26" s="59"/>
    </row>
    <row r="27" spans="1:9" ht="15.75">
      <c r="A27" s="20">
        <v>2</v>
      </c>
      <c r="B27" s="63" t="s">
        <v>170</v>
      </c>
      <c r="C27" s="3" t="s">
        <v>153</v>
      </c>
      <c r="D27" s="58"/>
      <c r="E27" s="61">
        <v>38.4</v>
      </c>
      <c r="F27" s="38">
        <v>3</v>
      </c>
      <c r="G27" s="58"/>
      <c r="H27" s="58"/>
      <c r="I27" s="59"/>
    </row>
    <row r="28" spans="1:9" ht="15.75">
      <c r="A28" s="20">
        <v>3</v>
      </c>
      <c r="B28" s="30" t="s">
        <v>145</v>
      </c>
      <c r="C28" s="3" t="s">
        <v>145</v>
      </c>
      <c r="D28" s="58"/>
      <c r="E28" s="61">
        <v>26.2</v>
      </c>
      <c r="F28" s="38">
        <v>2</v>
      </c>
      <c r="G28" s="58"/>
      <c r="H28" s="58"/>
      <c r="I28" s="59"/>
    </row>
    <row r="29" spans="1:9" ht="15.75">
      <c r="A29" s="20">
        <v>4</v>
      </c>
      <c r="B29" s="30" t="s">
        <v>148</v>
      </c>
      <c r="C29" s="3" t="s">
        <v>147</v>
      </c>
      <c r="D29" s="58"/>
      <c r="E29" s="61">
        <v>48.7</v>
      </c>
      <c r="F29" s="38">
        <v>3</v>
      </c>
      <c r="G29" s="58"/>
      <c r="H29" s="58"/>
      <c r="I29" s="59"/>
    </row>
    <row r="30" spans="1:9" ht="15.75">
      <c r="A30" s="20">
        <v>5</v>
      </c>
      <c r="B30" s="30" t="s">
        <v>178</v>
      </c>
      <c r="C30" s="3" t="s">
        <v>164</v>
      </c>
      <c r="D30" s="58"/>
      <c r="E30" s="61">
        <v>29.2</v>
      </c>
      <c r="F30" s="38">
        <v>2</v>
      </c>
      <c r="G30" s="58"/>
      <c r="H30" s="58"/>
      <c r="I30" s="59"/>
    </row>
    <row r="31" spans="1:9" ht="15.75">
      <c r="A31" s="20">
        <v>6</v>
      </c>
      <c r="B31" s="63" t="s">
        <v>171</v>
      </c>
      <c r="C31" s="3" t="s">
        <v>152</v>
      </c>
      <c r="D31" s="58"/>
      <c r="E31" s="61">
        <v>32.4</v>
      </c>
      <c r="F31" s="38" t="s">
        <v>155</v>
      </c>
      <c r="G31" s="58"/>
      <c r="H31" s="58"/>
      <c r="I31" s="59"/>
    </row>
    <row r="32" spans="1:9" ht="15.75">
      <c r="D32" s="25"/>
      <c r="F32" s="27"/>
    </row>
    <row r="33" spans="1:9" ht="21">
      <c r="A33" s="117" t="s">
        <v>90</v>
      </c>
      <c r="B33" s="117"/>
      <c r="C33" s="117"/>
      <c r="D33" s="117"/>
      <c r="E33" s="117"/>
      <c r="F33" s="117"/>
      <c r="G33" s="117"/>
      <c r="H33" s="117"/>
      <c r="I33" s="117"/>
    </row>
    <row r="34" spans="1:9">
      <c r="A34" s="129"/>
      <c r="B34" s="129"/>
      <c r="H34" t="s">
        <v>83</v>
      </c>
      <c r="I34" s="8">
        <f>'Form 1'!C9</f>
        <v>3818</v>
      </c>
    </row>
    <row r="35" spans="1:9" ht="15.75" customHeight="1">
      <c r="A35" s="77" t="s">
        <v>10</v>
      </c>
      <c r="B35" s="77" t="s">
        <v>11</v>
      </c>
      <c r="C35" s="77" t="s">
        <v>12</v>
      </c>
      <c r="D35" s="77" t="s">
        <v>84</v>
      </c>
      <c r="E35" s="126" t="s">
        <v>108</v>
      </c>
      <c r="F35" s="77" t="s">
        <v>85</v>
      </c>
      <c r="G35" s="77" t="s">
        <v>15</v>
      </c>
      <c r="H35" s="77"/>
      <c r="I35" s="77" t="s">
        <v>86</v>
      </c>
    </row>
    <row r="36" spans="1:9" ht="63">
      <c r="A36" s="77"/>
      <c r="B36" s="77"/>
      <c r="C36" s="77"/>
      <c r="D36" s="77"/>
      <c r="E36" s="127"/>
      <c r="F36" s="77"/>
      <c r="G36" s="36" t="s">
        <v>87</v>
      </c>
      <c r="H36" s="36" t="s">
        <v>19</v>
      </c>
      <c r="I36" s="77"/>
    </row>
    <row r="37" spans="1:9" ht="15.75">
      <c r="A37" s="20">
        <v>1</v>
      </c>
      <c r="B37" s="63" t="s">
        <v>170</v>
      </c>
      <c r="C37" s="3" t="s">
        <v>153</v>
      </c>
      <c r="D37" s="58"/>
      <c r="E37" s="61">
        <v>32.4</v>
      </c>
      <c r="F37" s="38">
        <v>2.5</v>
      </c>
      <c r="G37" s="58"/>
      <c r="H37" s="58"/>
      <c r="I37" s="58"/>
    </row>
    <row r="38" spans="1:9" ht="15.75">
      <c r="A38" s="20">
        <v>2</v>
      </c>
      <c r="B38" s="30" t="s">
        <v>148</v>
      </c>
      <c r="C38" s="3" t="s">
        <v>147</v>
      </c>
      <c r="D38" s="58"/>
      <c r="E38" s="61">
        <v>39.299999999999997</v>
      </c>
      <c r="F38" s="38">
        <v>2.5</v>
      </c>
      <c r="G38" s="58"/>
      <c r="H38" s="58"/>
      <c r="I38" s="58"/>
    </row>
    <row r="39" spans="1:9" ht="15.75">
      <c r="A39" s="20">
        <v>3</v>
      </c>
      <c r="B39" s="30" t="s">
        <v>173</v>
      </c>
      <c r="C39" s="3" t="s">
        <v>165</v>
      </c>
      <c r="D39" s="58"/>
      <c r="E39" s="61">
        <v>25.2</v>
      </c>
      <c r="F39" s="38">
        <v>1.5</v>
      </c>
      <c r="G39" s="58"/>
      <c r="H39" s="58"/>
      <c r="I39" s="58"/>
    </row>
  </sheetData>
  <mergeCells count="40">
    <mergeCell ref="A33:I33"/>
    <mergeCell ref="A34:B34"/>
    <mergeCell ref="A35:A36"/>
    <mergeCell ref="B35:B36"/>
    <mergeCell ref="C35:C36"/>
    <mergeCell ref="D35:D36"/>
    <mergeCell ref="E35:E36"/>
    <mergeCell ref="F35:F36"/>
    <mergeCell ref="G35:H35"/>
    <mergeCell ref="I35:I36"/>
    <mergeCell ref="A22:I22"/>
    <mergeCell ref="A23:B23"/>
    <mergeCell ref="A24:A25"/>
    <mergeCell ref="B24:B25"/>
    <mergeCell ref="C24:C25"/>
    <mergeCell ref="D24:D25"/>
    <mergeCell ref="E24:E25"/>
    <mergeCell ref="F24:F25"/>
    <mergeCell ref="G24:H24"/>
    <mergeCell ref="I24:I25"/>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5"/>
  <sheetViews>
    <sheetView workbookViewId="0">
      <selection activeCell="B39" sqref="B39"/>
    </sheetView>
  </sheetViews>
  <sheetFormatPr defaultRowHeight="15"/>
  <cols>
    <col min="1" max="1" width="5.140625" customWidth="1"/>
    <col min="2" max="2" width="25" customWidth="1"/>
    <col min="3" max="3" width="16.5703125" customWidth="1"/>
    <col min="5" max="5" width="11.5703125" customWidth="1"/>
    <col min="6" max="6" width="11.140625" customWidth="1"/>
    <col min="7" max="7" width="17.140625" customWidth="1"/>
    <col min="12" max="12" width="18.85546875" customWidth="1"/>
  </cols>
  <sheetData>
    <row r="1" spans="1:7" ht="15.75">
      <c r="A1" s="130" t="s">
        <v>91</v>
      </c>
      <c r="B1" s="130"/>
      <c r="C1" s="130"/>
      <c r="D1" s="130"/>
      <c r="E1" s="130"/>
      <c r="F1" s="130"/>
      <c r="G1" s="130"/>
    </row>
    <row r="2" spans="1:7" ht="15.75">
      <c r="A2" s="131"/>
      <c r="B2" s="131"/>
      <c r="C2" s="2"/>
      <c r="D2" s="2"/>
      <c r="E2" s="2"/>
      <c r="F2" t="s">
        <v>83</v>
      </c>
      <c r="G2" s="8">
        <f>'Form 1'!C9</f>
        <v>3818</v>
      </c>
    </row>
    <row r="3" spans="1:7" ht="15.75">
      <c r="A3" s="77" t="s">
        <v>10</v>
      </c>
      <c r="B3" s="77" t="s">
        <v>11</v>
      </c>
      <c r="C3" s="77" t="s">
        <v>12</v>
      </c>
      <c r="D3" s="77" t="s">
        <v>92</v>
      </c>
      <c r="E3" s="77" t="s">
        <v>15</v>
      </c>
      <c r="F3" s="77"/>
      <c r="G3" s="77" t="s">
        <v>93</v>
      </c>
    </row>
    <row r="4" spans="1:7" ht="31.5">
      <c r="A4" s="77"/>
      <c r="B4" s="77"/>
      <c r="C4" s="77"/>
      <c r="D4" s="77"/>
      <c r="E4" s="28" t="s">
        <v>94</v>
      </c>
      <c r="F4" s="28" t="s">
        <v>95</v>
      </c>
      <c r="G4" s="77"/>
    </row>
    <row r="5" spans="1:7" ht="15.75">
      <c r="A5" s="77"/>
      <c r="B5" s="77"/>
      <c r="C5" s="77"/>
      <c r="D5" s="77"/>
      <c r="E5" s="29" t="s">
        <v>96</v>
      </c>
      <c r="F5" s="29" t="s">
        <v>97</v>
      </c>
      <c r="G5" s="77"/>
    </row>
    <row r="6" spans="1:7" ht="15.75">
      <c r="A6" s="20">
        <v>1</v>
      </c>
      <c r="B6" s="21" t="s">
        <v>169</v>
      </c>
      <c r="C6" s="3" t="s">
        <v>166</v>
      </c>
      <c r="D6" s="38"/>
      <c r="E6" s="20"/>
      <c r="F6" s="28"/>
      <c r="G6" s="20"/>
    </row>
    <row r="7" spans="1:7" ht="15.75">
      <c r="A7" s="20">
        <v>2</v>
      </c>
      <c r="B7" s="30" t="s">
        <v>169</v>
      </c>
      <c r="C7" s="3" t="s">
        <v>166</v>
      </c>
      <c r="D7" s="38"/>
      <c r="E7" s="20"/>
      <c r="F7" s="20"/>
      <c r="G7" s="20"/>
    </row>
    <row r="8" spans="1:7" ht="15.75">
      <c r="A8" s="20">
        <v>3</v>
      </c>
      <c r="B8" s="30" t="s">
        <v>170</v>
      </c>
      <c r="C8" s="3" t="s">
        <v>153</v>
      </c>
      <c r="D8" s="38"/>
      <c r="E8" s="20"/>
      <c r="F8" s="37"/>
      <c r="G8" s="20"/>
    </row>
    <row r="9" spans="1:7" ht="15.75">
      <c r="A9" s="20">
        <v>4</v>
      </c>
      <c r="B9" s="30" t="s">
        <v>170</v>
      </c>
      <c r="C9" s="3" t="s">
        <v>153</v>
      </c>
      <c r="D9" s="38"/>
      <c r="E9" s="20"/>
      <c r="F9" s="20"/>
      <c r="G9" s="20"/>
    </row>
    <row r="10" spans="1:7" ht="15.75">
      <c r="A10" s="20">
        <v>5</v>
      </c>
      <c r="B10" s="30" t="s">
        <v>174</v>
      </c>
      <c r="C10" s="3" t="s">
        <v>167</v>
      </c>
      <c r="D10" s="38"/>
      <c r="E10" s="20"/>
      <c r="F10" s="60"/>
      <c r="G10" s="20"/>
    </row>
    <row r="11" spans="1:7" ht="15.75">
      <c r="A11" s="20">
        <v>6</v>
      </c>
      <c r="B11" s="30" t="s">
        <v>174</v>
      </c>
      <c r="C11" s="3" t="s">
        <v>167</v>
      </c>
      <c r="D11" s="38"/>
      <c r="E11" s="20"/>
      <c r="F11" s="60"/>
      <c r="G11" s="20"/>
    </row>
    <row r="12" spans="1:7" ht="15.75">
      <c r="A12" s="20">
        <v>7</v>
      </c>
      <c r="B12" s="30" t="s">
        <v>174</v>
      </c>
      <c r="C12" s="3" t="s">
        <v>167</v>
      </c>
      <c r="D12" s="38"/>
      <c r="E12" s="20"/>
      <c r="F12" s="60"/>
      <c r="G12" s="20"/>
    </row>
    <row r="13" spans="1:7" ht="15.75">
      <c r="A13" s="20">
        <v>8</v>
      </c>
      <c r="B13" s="30" t="s">
        <v>174</v>
      </c>
      <c r="C13" s="3" t="s">
        <v>167</v>
      </c>
      <c r="D13" s="38"/>
      <c r="E13" s="20"/>
      <c r="F13" s="60"/>
      <c r="G13" s="20"/>
    </row>
    <row r="14" spans="1:7" ht="15.75">
      <c r="A14" s="20">
        <v>9</v>
      </c>
      <c r="B14" s="30" t="s">
        <v>171</v>
      </c>
      <c r="C14" s="3" t="s">
        <v>152</v>
      </c>
      <c r="D14" s="38"/>
      <c r="E14" s="20"/>
      <c r="F14" s="60"/>
      <c r="G14" s="20"/>
    </row>
    <row r="15" spans="1:7" ht="15.75">
      <c r="A15" s="20">
        <v>10</v>
      </c>
      <c r="B15" s="30" t="s">
        <v>172</v>
      </c>
      <c r="C15" s="3" t="s">
        <v>168</v>
      </c>
      <c r="D15" s="38"/>
      <c r="E15" s="20"/>
      <c r="F15" s="60"/>
      <c r="G15" s="20"/>
    </row>
    <row r="16" spans="1:7" ht="15.75">
      <c r="A16" s="20">
        <v>11</v>
      </c>
      <c r="B16" s="30" t="s">
        <v>172</v>
      </c>
      <c r="C16" s="3" t="s">
        <v>168</v>
      </c>
      <c r="D16" s="38"/>
      <c r="E16" s="20"/>
      <c r="F16" s="60"/>
      <c r="G16" s="20"/>
    </row>
    <row r="17" spans="1:12" ht="15.75">
      <c r="A17" s="20">
        <v>12</v>
      </c>
      <c r="B17" s="30" t="s">
        <v>172</v>
      </c>
      <c r="C17" s="3" t="s">
        <v>168</v>
      </c>
      <c r="D17" s="38"/>
      <c r="E17" s="20"/>
      <c r="F17" s="60"/>
      <c r="G17" s="20"/>
    </row>
    <row r="18" spans="1:12" ht="15.75">
      <c r="A18" s="20">
        <v>13</v>
      </c>
      <c r="B18" s="30" t="s">
        <v>172</v>
      </c>
      <c r="C18" s="3" t="s">
        <v>168</v>
      </c>
      <c r="D18" s="38"/>
      <c r="E18" s="20"/>
      <c r="F18" s="60"/>
      <c r="G18" s="20"/>
    </row>
    <row r="19" spans="1:12" ht="15.75">
      <c r="A19" s="20">
        <v>14</v>
      </c>
      <c r="B19" s="30" t="s">
        <v>173</v>
      </c>
      <c r="C19" s="3" t="s">
        <v>165</v>
      </c>
      <c r="D19" s="38"/>
      <c r="E19" s="20"/>
      <c r="F19" s="60"/>
      <c r="G19" s="20"/>
    </row>
    <row r="20" spans="1:12" ht="15.75">
      <c r="A20" s="78" t="s">
        <v>103</v>
      </c>
      <c r="B20" s="135"/>
      <c r="C20" s="135"/>
      <c r="D20" s="135"/>
      <c r="E20" s="135"/>
      <c r="F20" s="135"/>
      <c r="G20" s="79"/>
    </row>
    <row r="21" spans="1:12" ht="15.75">
      <c r="A21" s="20">
        <v>1</v>
      </c>
      <c r="B21" s="132" t="s">
        <v>104</v>
      </c>
      <c r="C21" s="133"/>
      <c r="D21" s="133"/>
      <c r="E21" s="133"/>
      <c r="F21" s="134"/>
      <c r="G21" s="3" t="s">
        <v>156</v>
      </c>
    </row>
    <row r="22" spans="1:12" ht="15.75">
      <c r="A22" s="20">
        <v>2</v>
      </c>
      <c r="B22" s="132" t="s">
        <v>105</v>
      </c>
      <c r="C22" s="133"/>
      <c r="D22" s="133"/>
      <c r="E22" s="133"/>
      <c r="F22" s="134"/>
      <c r="G22" s="3" t="s">
        <v>157</v>
      </c>
    </row>
    <row r="23" spans="1:12" ht="15.75">
      <c r="A23" s="20">
        <v>3</v>
      </c>
      <c r="B23" s="132" t="s">
        <v>106</v>
      </c>
      <c r="C23" s="133"/>
      <c r="D23" s="133"/>
      <c r="E23" s="133"/>
      <c r="F23" s="134"/>
      <c r="G23" s="3" t="s">
        <v>150</v>
      </c>
    </row>
    <row r="24" spans="1:12" ht="15.75">
      <c r="A24" s="20">
        <v>4</v>
      </c>
      <c r="B24" s="132" t="s">
        <v>107</v>
      </c>
      <c r="C24" s="133"/>
      <c r="D24" s="133"/>
      <c r="E24" s="133"/>
      <c r="F24" s="134"/>
      <c r="G24" s="3" t="s">
        <v>158</v>
      </c>
    </row>
    <row r="25" spans="1:12" ht="15.75">
      <c r="A25" s="22"/>
      <c r="B25" s="32"/>
      <c r="C25" s="32"/>
      <c r="D25" s="22"/>
      <c r="E25" s="22"/>
      <c r="F25" s="22"/>
      <c r="G25" s="22"/>
      <c r="L25" s="31"/>
    </row>
    <row r="26" spans="1:12" s="33" customFormat="1" ht="19.899999999999999" customHeight="1">
      <c r="A26" s="137" t="s">
        <v>98</v>
      </c>
      <c r="B26" s="137"/>
      <c r="C26" s="137"/>
      <c r="D26" s="137"/>
      <c r="E26" s="137"/>
      <c r="F26" s="137"/>
      <c r="G26" s="137"/>
      <c r="L26" s="31"/>
    </row>
    <row r="27" spans="1:12" ht="15.75">
      <c r="A27" s="33"/>
      <c r="B27" s="33"/>
      <c r="C27" s="33"/>
      <c r="D27" s="33"/>
      <c r="E27" s="33"/>
      <c r="F27" t="s">
        <v>83</v>
      </c>
      <c r="G27" s="8">
        <f>'Form 1'!C9</f>
        <v>3818</v>
      </c>
      <c r="L27" s="31"/>
    </row>
    <row r="28" spans="1:12" ht="15.75" customHeight="1">
      <c r="A28" s="126" t="s">
        <v>10</v>
      </c>
      <c r="B28" s="126" t="s">
        <v>11</v>
      </c>
      <c r="C28" s="126" t="s">
        <v>12</v>
      </c>
      <c r="D28" s="126" t="s">
        <v>99</v>
      </c>
      <c r="E28" s="78" t="s">
        <v>15</v>
      </c>
      <c r="F28" s="79"/>
      <c r="G28" s="126" t="s">
        <v>100</v>
      </c>
      <c r="L28" s="31"/>
    </row>
    <row r="29" spans="1:12" ht="31.5">
      <c r="A29" s="136"/>
      <c r="B29" s="136"/>
      <c r="C29" s="136"/>
      <c r="D29" s="136"/>
      <c r="E29" s="28" t="s">
        <v>94</v>
      </c>
      <c r="F29" s="28" t="s">
        <v>95</v>
      </c>
      <c r="G29" s="136"/>
      <c r="L29" s="31"/>
    </row>
    <row r="30" spans="1:12" ht="15.75">
      <c r="A30" s="127"/>
      <c r="B30" s="127"/>
      <c r="C30" s="127"/>
      <c r="D30" s="127"/>
      <c r="E30" s="29" t="s">
        <v>96</v>
      </c>
      <c r="F30" s="29" t="s">
        <v>97</v>
      </c>
      <c r="G30" s="127"/>
      <c r="L30" s="31"/>
    </row>
    <row r="31" spans="1:12" ht="15.75">
      <c r="A31" s="20">
        <v>1</v>
      </c>
      <c r="B31" s="30" t="s">
        <v>145</v>
      </c>
      <c r="C31" s="3" t="s">
        <v>145</v>
      </c>
      <c r="D31" s="38">
        <v>32</v>
      </c>
      <c r="E31" s="20"/>
      <c r="F31" s="20"/>
      <c r="G31" s="20"/>
      <c r="L31" s="31"/>
    </row>
    <row r="32" spans="1:12" ht="15.75">
      <c r="A32" s="20">
        <v>2</v>
      </c>
      <c r="B32" s="21" t="s">
        <v>145</v>
      </c>
      <c r="C32" s="3" t="s">
        <v>145</v>
      </c>
      <c r="D32" s="38">
        <v>13</v>
      </c>
      <c r="E32" s="20"/>
      <c r="F32" s="20"/>
      <c r="G32" s="20"/>
      <c r="L32" s="31"/>
    </row>
    <row r="33" spans="1:12" ht="15.75">
      <c r="A33" s="20">
        <v>3</v>
      </c>
      <c r="B33" s="30" t="s">
        <v>173</v>
      </c>
      <c r="C33" s="3" t="s">
        <v>165</v>
      </c>
      <c r="D33" s="38">
        <v>10</v>
      </c>
      <c r="E33" s="20"/>
      <c r="F33" s="20"/>
      <c r="G33" s="20"/>
      <c r="L33" s="31"/>
    </row>
    <row r="34" spans="1:12" ht="15.75">
      <c r="A34" s="20">
        <v>4</v>
      </c>
      <c r="B34" s="21" t="s">
        <v>171</v>
      </c>
      <c r="C34" s="3" t="s">
        <v>152</v>
      </c>
      <c r="D34" s="38">
        <v>15</v>
      </c>
      <c r="E34" s="20"/>
      <c r="F34" s="20"/>
      <c r="G34" s="20"/>
      <c r="L34" s="31"/>
    </row>
    <row r="35" spans="1:12" ht="15.75">
      <c r="A35" s="20">
        <v>5</v>
      </c>
      <c r="B35" s="30" t="s">
        <v>171</v>
      </c>
      <c r="C35" s="3" t="s">
        <v>152</v>
      </c>
      <c r="D35" s="38">
        <v>5</v>
      </c>
      <c r="E35" s="20"/>
      <c r="F35" s="20"/>
      <c r="G35" s="20"/>
      <c r="L35" s="31"/>
    </row>
    <row r="36" spans="1:12" ht="15.75">
      <c r="A36" s="20">
        <v>6</v>
      </c>
      <c r="B36" s="30" t="s">
        <v>175</v>
      </c>
      <c r="C36" s="3" t="s">
        <v>167</v>
      </c>
      <c r="D36" s="38">
        <v>6</v>
      </c>
      <c r="E36" s="20"/>
      <c r="F36" s="20"/>
      <c r="G36" s="20"/>
      <c r="L36" s="31"/>
    </row>
    <row r="37" spans="1:12" ht="15.75">
      <c r="A37" s="20">
        <v>7</v>
      </c>
      <c r="B37" s="30" t="s">
        <v>175</v>
      </c>
      <c r="C37" s="3" t="s">
        <v>167</v>
      </c>
      <c r="D37" s="38">
        <v>4</v>
      </c>
      <c r="E37" s="20"/>
      <c r="F37" s="20"/>
      <c r="G37" s="20"/>
      <c r="L37" s="31"/>
    </row>
    <row r="38" spans="1:12" ht="15.75">
      <c r="A38" s="20">
        <v>8</v>
      </c>
      <c r="B38" s="30" t="s">
        <v>175</v>
      </c>
      <c r="C38" s="3" t="s">
        <v>167</v>
      </c>
      <c r="D38" s="38">
        <v>3</v>
      </c>
      <c r="E38" s="20"/>
      <c r="F38" s="20"/>
      <c r="G38" s="20"/>
      <c r="L38" s="31"/>
    </row>
    <row r="39" spans="1:12" ht="15.75">
      <c r="A39" s="20">
        <v>9</v>
      </c>
      <c r="B39" s="30" t="s">
        <v>176</v>
      </c>
      <c r="C39" s="3" t="s">
        <v>151</v>
      </c>
      <c r="D39" s="38">
        <v>24</v>
      </c>
      <c r="E39" s="20"/>
      <c r="F39" s="20"/>
      <c r="G39" s="20"/>
      <c r="L39" s="31"/>
    </row>
    <row r="40" spans="1:12" ht="15.75">
      <c r="A40" s="20">
        <v>10</v>
      </c>
      <c r="B40" s="30" t="s">
        <v>176</v>
      </c>
      <c r="C40" s="3" t="s">
        <v>151</v>
      </c>
      <c r="D40" s="38">
        <v>17</v>
      </c>
      <c r="E40" s="20"/>
      <c r="F40" s="20"/>
      <c r="G40" s="20"/>
      <c r="L40" s="31"/>
    </row>
    <row r="41" spans="1:12" ht="15.75">
      <c r="A41" s="78" t="s">
        <v>103</v>
      </c>
      <c r="B41" s="135"/>
      <c r="C41" s="135"/>
      <c r="D41" s="135"/>
      <c r="E41" s="135"/>
      <c r="F41" s="135"/>
      <c r="G41" s="79"/>
    </row>
    <row r="42" spans="1:12" ht="15.75">
      <c r="A42" s="20">
        <v>1</v>
      </c>
      <c r="B42" s="132" t="s">
        <v>104</v>
      </c>
      <c r="C42" s="133"/>
      <c r="D42" s="133"/>
      <c r="E42" s="133"/>
      <c r="F42" s="134"/>
      <c r="G42" s="3" t="s">
        <v>159</v>
      </c>
    </row>
    <row r="43" spans="1:12" ht="15.75">
      <c r="A43" s="20">
        <v>2</v>
      </c>
      <c r="B43" s="132" t="s">
        <v>105</v>
      </c>
      <c r="C43" s="133"/>
      <c r="D43" s="133"/>
      <c r="E43" s="133"/>
      <c r="F43" s="134"/>
      <c r="G43" s="3" t="s">
        <v>160</v>
      </c>
    </row>
    <row r="44" spans="1:12" ht="15.75">
      <c r="A44" s="20">
        <v>3</v>
      </c>
      <c r="B44" s="132" t="s">
        <v>106</v>
      </c>
      <c r="C44" s="133"/>
      <c r="D44" s="133"/>
      <c r="E44" s="133"/>
      <c r="F44" s="134"/>
      <c r="G44" s="3" t="s">
        <v>161</v>
      </c>
    </row>
    <row r="45" spans="1:12" ht="15.75">
      <c r="A45" s="20">
        <v>4</v>
      </c>
      <c r="B45" s="132" t="s">
        <v>107</v>
      </c>
      <c r="C45" s="133"/>
      <c r="D45" s="133"/>
      <c r="E45" s="133"/>
      <c r="F45" s="134"/>
      <c r="G45" s="3" t="s">
        <v>162</v>
      </c>
    </row>
  </sheetData>
  <mergeCells count="25">
    <mergeCell ref="B44:F44"/>
    <mergeCell ref="B45:F45"/>
    <mergeCell ref="A20:G20"/>
    <mergeCell ref="B21:F21"/>
    <mergeCell ref="A41:G41"/>
    <mergeCell ref="B42:F42"/>
    <mergeCell ref="B43:F43"/>
    <mergeCell ref="G28:G30"/>
    <mergeCell ref="A26:G26"/>
    <mergeCell ref="B22:F22"/>
    <mergeCell ref="B23:F23"/>
    <mergeCell ref="B24:F24"/>
    <mergeCell ref="A28:A30"/>
    <mergeCell ref="B28:B30"/>
    <mergeCell ref="C28:C30"/>
    <mergeCell ref="D28:D30"/>
    <mergeCell ref="E28:F28"/>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2024-04-13T02:20:12Z</dcterms:modified>
</cp:coreProperties>
</file>