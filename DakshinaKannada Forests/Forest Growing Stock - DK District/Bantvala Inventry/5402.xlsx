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1" i="11"/>
  <c r="I24"/>
  <c r="I13"/>
  <c r="I2"/>
  <c r="C13" i="8"/>
  <c r="C12"/>
  <c r="C11"/>
  <c r="C10"/>
  <c r="C5" i="6" s="1"/>
  <c r="C9" i="8"/>
</calcChain>
</file>

<file path=xl/sharedStrings.xml><?xml version="1.0" encoding="utf-8"?>
<sst xmlns="http://schemas.openxmlformats.org/spreadsheetml/2006/main" count="380" uniqueCount="195">
  <si>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</si>
  <si>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</si>
  <si>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</si>
  <si>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</si>
  <si>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</si>
  <si>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</si>
  <si>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</si>
  <si>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</si>
  <si>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</si>
  <si>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</si>
  <si>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</si>
  <si>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</si>
  <si>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</si>
  <si>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</si>
  <si>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</si>
  <si>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</si>
  <si>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</si>
  <si>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</si>
  <si>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</si>
  <si>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</si>
  <si>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</si>
  <si>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</si>
  <si>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</si>
  <si>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</si>
  <si>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</si>
  <si>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</si>
  <si>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</si>
  <si>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</si>
  <si>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</si>
  <si>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</si>
  <si>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</si>
  <si>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</si>
  <si>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</si>
  <si>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</si>
  <si>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</si>
  <si>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</si>
  <si>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</si>
  <si>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</si>
  <si>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</si>
  <si>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</si>
  <si>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</si>
  <si>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</si>
  <si>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</si>
  <si>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</si>
  <si>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</si>
  <si>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</si>
  <si>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</si>
  <si>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</si>
  <si>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</si>
  <si>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</si>
  <si>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</si>
  <si>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</si>
  <si>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</si>
  <si>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</si>
  <si>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</si>
  <si>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</si>
  <si>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</si>
  <si>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</si>
  <si>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</si>
  <si>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</si>
  <si>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</si>
  <si>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</si>
  <si>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</si>
  <si>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</si>
  <si>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</si>
  <si>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</si>
  <si>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</si>
  <si>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</si>
  <si>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</si>
  <si>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</si>
  <si>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</si>
  <si>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</si>
  <si>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</si>
  <si>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</si>
  <si>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</si>
  <si>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</si>
  <si>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</si>
  <si>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</si>
  <si>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</si>
  <si>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</si>
  <si>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</si>
  <si>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</si>
  <si>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</si>
  <si>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</si>
  <si>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</si>
  <si>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</si>
  <si>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</si>
  <si>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</si>
  <si>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</si>
  <si>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</si>
  <si>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</si>
  <si>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</si>
  <si>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</si>
  <si>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</si>
  <si>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</si>
  <si>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</si>
  <si>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</si>
  <si>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</si>
  <si>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</si>
  <si>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</si>
  <si>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</si>
  <si>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</si>
  <si>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</si>
  <si>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</si>
  <si>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</si>
  <si>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</si>
  <si>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</si>
  <si>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</si>
  <si>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</si>
  <si>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</si>
  <si>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</si>
  <si>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</si>
  <si>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</si>
  <si>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</si>
  <si>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</si>
  <si>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</si>
  <si>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</si>
  <si>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</si>
  <si>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</si>
  <si>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</si>
  <si>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</si>
  <si>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</si>
  <si>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t>Kodiyamale reserve forest</t>
  </si>
  <si>
    <t>Ignecious Rocks</t>
  </si>
  <si>
    <t>Latarite soil, Texture - Hard, Depth - 30cm, Permiability - Good.</t>
  </si>
  <si>
    <t>Mild Erosion</t>
  </si>
  <si>
    <t>Absent</t>
  </si>
  <si>
    <t>Scanty - Cynodon dactylon (Hambuhullu)</t>
  </si>
  <si>
    <t>Scanty - Malastoma offine, Eupatorium.</t>
  </si>
  <si>
    <t>Natural forest</t>
  </si>
  <si>
    <t>Not Degrated</t>
  </si>
  <si>
    <t>Start from Bantvala Range office to towards Belthangadi road to kandiga for 10.2 km N- 12.931059, E- 75.126830. Then right turn to Kodiyamale for 2.1 km N- 12.919151, E- 75.126994 (By Jeep). Then walked right for 210 mtr to reached center of the plot.</t>
  </si>
  <si>
    <t>1. Track - Hilly</t>
  </si>
  <si>
    <t>2. Aspect - North West</t>
  </si>
  <si>
    <r>
      <t xml:space="preserve">Moist Decidiuos Closed forest, Speices like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</si>
  <si>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Closed forest and 75% conopy dencity</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</si>
  <si>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</si>
  <si>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</si>
  <si>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174 m</t>
  </si>
  <si>
    <t>Closed forest and 75% conopy dencity</t>
  </si>
  <si>
    <t>Hilly</t>
  </si>
  <si>
    <t>Upto 16 - 40</t>
  </si>
  <si>
    <t>North West</t>
  </si>
  <si>
    <r>
      <rPr>
        <i/>
        <sz val="12"/>
        <color theme="1"/>
        <rFont val="Calibri"/>
        <family val="2"/>
        <scheme val="minor"/>
      </rPr>
      <t>Aparosa lindlyana</t>
    </r>
    <r>
      <rPr>
        <sz val="12"/>
        <color theme="1"/>
        <rFont val="Calibri"/>
        <family val="2"/>
        <scheme val="minor"/>
      </rPr>
      <t xml:space="preserve"> (Salle) - 20%,</t>
    </r>
    <r>
      <rPr>
        <i/>
        <sz val="12"/>
        <color theme="1"/>
        <rFont val="Calibri"/>
        <family val="2"/>
        <scheme val="minor"/>
      </rPr>
      <t xml:space="preserve"> Holigarna arnottiana</t>
    </r>
    <r>
      <rPr>
        <sz val="12"/>
        <color theme="1"/>
        <rFont val="Calibri"/>
        <family val="2"/>
        <scheme val="minor"/>
      </rPr>
      <t xml:space="preserve"> (Chaar) - 20%, </t>
    </r>
    <r>
      <rPr>
        <i/>
        <sz val="12"/>
        <color theme="1"/>
        <rFont val="Calibri"/>
        <family val="2"/>
        <scheme val="minor"/>
      </rPr>
      <t>Terminalea paniculata</t>
    </r>
    <r>
      <rPr>
        <sz val="12"/>
        <color theme="1"/>
        <rFont val="Calibri"/>
        <family val="2"/>
        <scheme val="minor"/>
      </rPr>
      <t xml:space="preserve"> (Marva) - 10%.,</t>
    </r>
  </si>
  <si>
    <t>Adequate</t>
  </si>
  <si>
    <t>Salle</t>
  </si>
  <si>
    <t>Andipunar</t>
  </si>
  <si>
    <t>Chaar</t>
  </si>
  <si>
    <t>Marva</t>
  </si>
  <si>
    <t>Kaansurgi</t>
  </si>
  <si>
    <t>Matti</t>
  </si>
  <si>
    <t>Bogi</t>
  </si>
  <si>
    <t>Agasalle</t>
  </si>
  <si>
    <t>Nurukalu</t>
  </si>
  <si>
    <t>Honne</t>
  </si>
  <si>
    <t>Maddarsa</t>
  </si>
  <si>
    <t>Aparosa lindlyana</t>
  </si>
  <si>
    <t>Holigarna arnottiana</t>
  </si>
  <si>
    <t>Terminalea paniculata</t>
  </si>
  <si>
    <t>Ixora brachiata</t>
  </si>
  <si>
    <t>Terminalea tomantosa</t>
  </si>
  <si>
    <t>Hopea parvifolea</t>
  </si>
  <si>
    <t>Olea dioca</t>
  </si>
  <si>
    <t>Buchananea lanzan</t>
  </si>
  <si>
    <t>Pterocarpus marsupium</t>
  </si>
  <si>
    <t>Carallia brachiata</t>
  </si>
  <si>
    <t>Tabernaentana montana</t>
  </si>
  <si>
    <t>Nill</t>
  </si>
  <si>
    <t>Vaatmadike</t>
  </si>
  <si>
    <t>Achar</t>
  </si>
  <si>
    <t>Parige</t>
  </si>
  <si>
    <t>Nelasoge</t>
  </si>
  <si>
    <t>Climber</t>
  </si>
  <si>
    <t>525 gm</t>
  </si>
  <si>
    <t>1.3 kg</t>
  </si>
  <si>
    <t>245 gm</t>
  </si>
  <si>
    <t>385 gm</t>
  </si>
  <si>
    <t>1.6 kg</t>
  </si>
  <si>
    <t>235 gm</t>
  </si>
  <si>
    <t>Dalchinni</t>
  </si>
  <si>
    <t>Adchar</t>
  </si>
  <si>
    <t>Kumsa</t>
  </si>
  <si>
    <t>Mullusampige</t>
  </si>
  <si>
    <t>Kaalmenasu</t>
  </si>
  <si>
    <t>Ballikasarka</t>
  </si>
  <si>
    <t>Cinnamomum zalenicum</t>
  </si>
  <si>
    <t>Phycotrera dalzelli</t>
  </si>
  <si>
    <t>Flacourita montana</t>
  </si>
  <si>
    <t>Piper tiocum</t>
  </si>
  <si>
    <t>Memecylon talbotianum</t>
  </si>
  <si>
    <t>Diospyros buxyfolea</t>
  </si>
  <si>
    <t>Phycotrea dalzelli</t>
  </si>
  <si>
    <t>Zizypus muriantana</t>
  </si>
  <si>
    <t>Calycopteris floribunda</t>
  </si>
  <si>
    <t>Strychonos wallichiana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</si>
</sst>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116</v>
      </c>
    </row>
    <row r="9" spans="1:3">
      <c r="A9" s="50">
        <v>4</v>
      </c>
      <c r="B9" s="51" t="s">
        <v>29</v>
      </c>
      <c r="C9" s="42">
        <v>5402</v>
      </c>
    </row>
    <row r="10" spans="1:3" ht="20.25" customHeight="1">
      <c r="A10" s="50">
        <v>5</v>
      </c>
      <c r="B10" s="51" t="s">
        <v>30</v>
      </c>
      <c r="C10" s="56">
        <v>12.918092</v>
      </c>
    </row>
    <row r="11" spans="1:3" ht="23.25" customHeight="1">
      <c r="A11" s="50"/>
      <c r="B11" s="51" t="s">
        <v>31</v>
      </c>
      <c r="C11" s="56">
        <v>75.126245999999995</v>
      </c>
    </row>
    <row r="12" spans="1:3" ht="85.5" customHeight="1">
      <c r="A12" s="50">
        <v>7</v>
      </c>
      <c r="B12" s="51" t="s">
        <v>32</v>
      </c>
      <c r="C12" s="42" t="s">
        <v>131</v>
      </c>
    </row>
    <row r="13" spans="1:3" ht="78.75" customHeight="1">
      <c r="A13" s="50">
        <v>8</v>
      </c>
      <c r="B13" s="51" t="s">
        <v>33</v>
      </c>
      <c r="C13" s="57" t="s">
        <v>134</v>
      </c>
    </row>
    <row r="14" spans="1:3" ht="15.75" customHeight="1">
      <c r="A14" s="72">
        <v>9</v>
      </c>
      <c r="B14" s="76" t="s">
        <v>34</v>
      </c>
      <c r="C14" s="57" t="s">
        <v>132</v>
      </c>
    </row>
    <row r="15" spans="1:3">
      <c r="A15" s="73"/>
      <c r="B15" s="77"/>
      <c r="C15" s="57" t="s">
        <v>133</v>
      </c>
    </row>
    <row r="16" spans="1:3">
      <c r="A16" s="73"/>
      <c r="B16" s="77"/>
      <c r="C16" s="57" t="s">
        <v>135</v>
      </c>
    </row>
    <row r="17" spans="1:3">
      <c r="A17" s="73"/>
      <c r="B17" s="77"/>
      <c r="C17" s="57" t="s">
        <v>111</v>
      </c>
    </row>
    <row r="18" spans="1:3">
      <c r="A18" s="73"/>
      <c r="B18" s="77"/>
      <c r="C18" s="59" t="s">
        <v>117</v>
      </c>
    </row>
    <row r="19" spans="1:3">
      <c r="A19" s="73"/>
      <c r="B19" s="77"/>
      <c r="C19" s="57" t="s">
        <v>113</v>
      </c>
    </row>
    <row r="20" spans="1:3">
      <c r="A20" s="73"/>
      <c r="B20" s="77"/>
      <c r="C20" s="57" t="s">
        <v>118</v>
      </c>
    </row>
    <row r="21" spans="1:3" ht="47.25">
      <c r="A21" s="73"/>
      <c r="B21" s="77"/>
      <c r="C21" s="57" t="s">
        <v>136</v>
      </c>
    </row>
    <row r="22" spans="1:3" ht="31.5">
      <c r="A22" s="73"/>
      <c r="B22" s="77"/>
      <c r="C22" s="57" t="s">
        <v>114</v>
      </c>
    </row>
    <row r="23" spans="1:3" ht="47.25">
      <c r="A23" s="73"/>
      <c r="B23" s="77"/>
      <c r="C23" s="57" t="s">
        <v>119</v>
      </c>
    </row>
    <row r="24" spans="1:3" ht="48" customHeight="1">
      <c r="A24" s="73"/>
      <c r="B24" s="77"/>
      <c r="C24" s="57" t="s">
        <v>120</v>
      </c>
    </row>
    <row r="25" spans="1:3">
      <c r="A25" s="73"/>
      <c r="B25" s="77"/>
      <c r="C25" s="57" t="s">
        <v>121</v>
      </c>
    </row>
    <row r="26" spans="1:3" ht="31.5">
      <c r="A26" s="73"/>
      <c r="B26" s="77"/>
      <c r="C26" s="57" t="s">
        <v>137</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- 13</v>
      </c>
    </row>
    <row r="11" spans="1:3">
      <c r="A11" s="50">
        <v>4</v>
      </c>
      <c r="B11" s="51" t="s">
        <v>29</v>
      </c>
      <c r="C11" s="52">
        <f>'Form 1'!C9</f>
        <v>5402</v>
      </c>
    </row>
    <row r="12" spans="1:3">
      <c r="A12" s="50">
        <v>5</v>
      </c>
      <c r="B12" s="51" t="s">
        <v>42</v>
      </c>
      <c r="C12" s="52">
        <f>'Form 1'!C10</f>
        <v>12.918092</v>
      </c>
    </row>
    <row r="13" spans="1:3">
      <c r="A13" s="50">
        <v>6</v>
      </c>
      <c r="B13" s="51" t="s">
        <v>43</v>
      </c>
      <c r="C13" s="52">
        <f>'Form 1'!C11</f>
        <v>75.126245999999995</v>
      </c>
    </row>
    <row r="14" spans="1:3">
      <c r="A14" s="50">
        <v>7</v>
      </c>
      <c r="B14" s="51" t="s">
        <v>44</v>
      </c>
      <c r="C14" s="52" t="s">
        <v>138</v>
      </c>
    </row>
    <row r="15" spans="1:3">
      <c r="A15" s="50">
        <v>8</v>
      </c>
      <c r="B15" s="51" t="s">
        <v>45</v>
      </c>
      <c r="C15" s="52" t="s">
        <v>122</v>
      </c>
    </row>
    <row r="16" spans="1:3">
      <c r="A16" s="50">
        <v>9</v>
      </c>
      <c r="B16" s="51" t="s">
        <v>46</v>
      </c>
      <c r="C16" s="52" t="s">
        <v>139</v>
      </c>
    </row>
    <row r="17" spans="1:3" ht="31.5">
      <c r="A17" s="50">
        <v>10</v>
      </c>
      <c r="B17" s="51" t="s">
        <v>47</v>
      </c>
      <c r="C17" s="52" t="s">
        <v>140</v>
      </c>
    </row>
    <row r="18" spans="1:3">
      <c r="A18" s="50">
        <v>11</v>
      </c>
      <c r="B18" s="51" t="s">
        <v>48</v>
      </c>
      <c r="C18" s="53" t="s">
        <v>141</v>
      </c>
    </row>
    <row r="19" spans="1:3">
      <c r="A19" s="50">
        <v>12</v>
      </c>
      <c r="B19" s="51" t="s">
        <v>49</v>
      </c>
      <c r="C19" s="53" t="s">
        <v>142</v>
      </c>
    </row>
    <row r="20" spans="1:3" ht="31.5">
      <c r="A20" s="50">
        <v>13</v>
      </c>
      <c r="B20" s="51" t="s">
        <v>50</v>
      </c>
      <c r="C20" s="53" t="s">
        <v>123</v>
      </c>
    </row>
    <row r="21" spans="1:3" ht="31.5">
      <c r="A21" s="50">
        <v>14</v>
      </c>
      <c r="B21" s="51" t="s">
        <v>51</v>
      </c>
      <c r="C21" s="53" t="s">
        <v>124</v>
      </c>
    </row>
    <row r="22" spans="1:3">
      <c r="A22" s="50">
        <v>15</v>
      </c>
      <c r="B22" s="51" t="s">
        <v>52</v>
      </c>
      <c r="C22" s="53" t="s">
        <v>125</v>
      </c>
    </row>
    <row r="23" spans="1:3" ht="31.5">
      <c r="A23" s="50">
        <v>16</v>
      </c>
      <c r="B23" s="51" t="s">
        <v>53</v>
      </c>
      <c r="C23" s="53" t="s">
        <v>143</v>
      </c>
    </row>
    <row r="24" spans="1:3" ht="31.5">
      <c r="A24" s="50">
        <v>17</v>
      </c>
      <c r="B24" s="51" t="s">
        <v>54</v>
      </c>
      <c r="C24" s="53" t="s">
        <v>144</v>
      </c>
    </row>
    <row r="25" spans="1:3" ht="31.5">
      <c r="A25" s="50">
        <v>18</v>
      </c>
      <c r="B25" s="51" t="s">
        <v>55</v>
      </c>
      <c r="C25" s="53" t="s">
        <v>112</v>
      </c>
    </row>
    <row r="26" spans="1:3" ht="31.5">
      <c r="A26" s="50">
        <v>19</v>
      </c>
      <c r="B26" s="51" t="s">
        <v>56</v>
      </c>
      <c r="C26" s="53" t="s">
        <v>112</v>
      </c>
    </row>
    <row r="27" spans="1:3" ht="31.5">
      <c r="A27" s="50">
        <v>20</v>
      </c>
      <c r="B27" s="51" t="s">
        <v>57</v>
      </c>
      <c r="C27" s="53" t="s">
        <v>126</v>
      </c>
    </row>
    <row r="28" spans="1:3" ht="31.5">
      <c r="A28" s="50">
        <v>21</v>
      </c>
      <c r="B28" s="51" t="s">
        <v>58</v>
      </c>
      <c r="C28" s="53" t="s">
        <v>127</v>
      </c>
    </row>
    <row r="29" spans="1:3" ht="31.5">
      <c r="A29" s="50">
        <v>22</v>
      </c>
      <c r="B29" s="51" t="s">
        <v>59</v>
      </c>
      <c r="C29" s="53" t="s">
        <v>128</v>
      </c>
    </row>
    <row r="30" spans="1:3" ht="31.5">
      <c r="A30" s="50">
        <v>23</v>
      </c>
      <c r="B30" s="51" t="s">
        <v>60</v>
      </c>
      <c r="C30" s="53" t="s">
        <v>129</v>
      </c>
    </row>
    <row r="31" spans="1:3">
      <c r="A31" s="50">
        <v>24</v>
      </c>
      <c r="B31" s="51" t="s">
        <v>61</v>
      </c>
      <c r="C31" s="53" t="s">
        <v>112</v>
      </c>
    </row>
    <row r="32" spans="1:3" ht="31.5">
      <c r="A32" s="50">
        <v>25</v>
      </c>
      <c r="B32" s="51" t="s">
        <v>62</v>
      </c>
      <c r="C32" s="53" t="s">
        <v>130</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37" sqref="B37:C37"/>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- 13</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174 m</v>
      </c>
      <c r="L6" s="91"/>
    </row>
    <row r="7" spans="1:12" ht="15.6" customHeight="1" thickBot="1">
      <c r="A7" s="116" t="s">
        <v>7</v>
      </c>
      <c r="B7" s="117"/>
      <c r="C7" s="92">
        <f>'Form 1'!C10</f>
        <v>12.918092</v>
      </c>
      <c r="D7" s="94"/>
      <c r="E7" s="15" t="s">
        <v>8</v>
      </c>
      <c r="F7" s="12"/>
      <c r="G7" s="92">
        <f>'Form 1'!C11</f>
        <v>75.126245999999995</v>
      </c>
      <c r="H7" s="92"/>
      <c r="I7" s="94"/>
      <c r="J7" s="15" t="s">
        <v>9</v>
      </c>
      <c r="K7" s="92">
        <f>'Form 1'!C9</f>
        <v>5402</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156</v>
      </c>
      <c r="C11" s="80"/>
      <c r="D11" s="3" t="s">
        <v>145</v>
      </c>
      <c r="E11" s="40">
        <v>82</v>
      </c>
      <c r="F11" s="40"/>
      <c r="G11" s="40">
        <v>10</v>
      </c>
      <c r="H11" s="81"/>
      <c r="I11" s="82"/>
      <c r="J11" s="103"/>
      <c r="K11" s="104"/>
      <c r="L11" s="11"/>
    </row>
    <row r="12" spans="1:12" ht="15.6" customHeight="1">
      <c r="A12" s="10">
        <v>2</v>
      </c>
      <c r="B12" s="79" t="s">
        <v>165</v>
      </c>
      <c r="C12" s="80"/>
      <c r="D12" s="4" t="s">
        <v>146</v>
      </c>
      <c r="E12" s="40">
        <v>123</v>
      </c>
      <c r="F12" s="40"/>
      <c r="G12" s="40">
        <v>13</v>
      </c>
      <c r="H12" s="81"/>
      <c r="I12" s="82"/>
      <c r="J12" s="103"/>
      <c r="K12" s="104"/>
      <c r="L12" s="11"/>
    </row>
    <row r="13" spans="1:12" ht="15.6" customHeight="1">
      <c r="A13" s="10">
        <v>3</v>
      </c>
      <c r="B13" s="79" t="s">
        <v>156</v>
      </c>
      <c r="C13" s="80"/>
      <c r="D13" s="3" t="s">
        <v>145</v>
      </c>
      <c r="E13" s="40">
        <v>54</v>
      </c>
      <c r="F13" s="40"/>
      <c r="G13" s="40">
        <v>9</v>
      </c>
      <c r="H13" s="81"/>
      <c r="I13" s="82"/>
      <c r="J13" s="103"/>
      <c r="K13" s="104"/>
      <c r="L13" s="11"/>
    </row>
    <row r="14" spans="1:12" ht="15.6" customHeight="1">
      <c r="A14" s="10">
        <v>4</v>
      </c>
      <c r="B14" s="79" t="s">
        <v>157</v>
      </c>
      <c r="C14" s="80"/>
      <c r="D14" s="3" t="s">
        <v>147</v>
      </c>
      <c r="E14" s="40">
        <v>62</v>
      </c>
      <c r="F14" s="40"/>
      <c r="G14" s="40">
        <v>12</v>
      </c>
      <c r="H14" s="81"/>
      <c r="I14" s="82"/>
      <c r="J14" s="103"/>
      <c r="K14" s="104"/>
      <c r="L14" s="11"/>
    </row>
    <row r="15" spans="1:12" ht="15.6" customHeight="1">
      <c r="A15" s="10">
        <v>5</v>
      </c>
      <c r="B15" s="79" t="s">
        <v>158</v>
      </c>
      <c r="C15" s="80"/>
      <c r="D15" s="7" t="s">
        <v>148</v>
      </c>
      <c r="E15" s="41">
        <v>170</v>
      </c>
      <c r="F15" s="40"/>
      <c r="G15" s="40">
        <v>15</v>
      </c>
      <c r="H15" s="81"/>
      <c r="I15" s="82"/>
      <c r="J15" s="103"/>
      <c r="K15" s="104"/>
      <c r="L15" s="11"/>
    </row>
    <row r="16" spans="1:12" ht="15.6" customHeight="1">
      <c r="A16" s="10">
        <v>6</v>
      </c>
      <c r="B16" s="79" t="s">
        <v>157</v>
      </c>
      <c r="C16" s="80"/>
      <c r="D16" s="4" t="s">
        <v>147</v>
      </c>
      <c r="E16" s="40">
        <v>52</v>
      </c>
      <c r="F16" s="41"/>
      <c r="G16" s="41">
        <v>10</v>
      </c>
      <c r="H16" s="118"/>
      <c r="I16" s="119"/>
      <c r="J16" s="103"/>
      <c r="K16" s="104"/>
      <c r="L16" s="11"/>
    </row>
    <row r="17" spans="1:12" ht="15.6" customHeight="1">
      <c r="A17" s="10">
        <v>7</v>
      </c>
      <c r="B17" s="79" t="s">
        <v>157</v>
      </c>
      <c r="C17" s="80"/>
      <c r="D17" s="7" t="s">
        <v>147</v>
      </c>
      <c r="E17" s="40">
        <v>68</v>
      </c>
      <c r="F17" s="41"/>
      <c r="G17" s="41">
        <v>12</v>
      </c>
      <c r="H17" s="118"/>
      <c r="I17" s="119"/>
      <c r="J17" s="103"/>
      <c r="K17" s="104"/>
      <c r="L17" s="11"/>
    </row>
    <row r="18" spans="1:12" ht="15.6" customHeight="1">
      <c r="A18" s="10">
        <v>8</v>
      </c>
      <c r="B18" s="79" t="s">
        <v>157</v>
      </c>
      <c r="C18" s="80"/>
      <c r="D18" s="3" t="s">
        <v>147</v>
      </c>
      <c r="E18" s="40">
        <v>84</v>
      </c>
      <c r="F18" s="41"/>
      <c r="G18" s="41">
        <v>14</v>
      </c>
      <c r="H18" s="118"/>
      <c r="I18" s="119"/>
      <c r="J18" s="103"/>
      <c r="K18" s="104"/>
      <c r="L18" s="11"/>
    </row>
    <row r="19" spans="1:12" ht="15.75">
      <c r="A19" s="10">
        <v>9</v>
      </c>
      <c r="B19" s="79" t="s">
        <v>159</v>
      </c>
      <c r="C19" s="80"/>
      <c r="D19" s="18" t="s">
        <v>149</v>
      </c>
      <c r="E19" s="40">
        <v>45</v>
      </c>
      <c r="F19" s="41"/>
      <c r="G19" s="41">
        <v>6</v>
      </c>
      <c r="H19" s="118"/>
      <c r="I19" s="119"/>
      <c r="J19" s="103"/>
      <c r="K19" s="104"/>
      <c r="L19" s="11"/>
    </row>
    <row r="20" spans="1:12" ht="15.6" customHeight="1">
      <c r="A20" s="10">
        <v>10</v>
      </c>
      <c r="B20" s="79" t="s">
        <v>156</v>
      </c>
      <c r="C20" s="80"/>
      <c r="D20" s="4" t="s">
        <v>145</v>
      </c>
      <c r="E20" s="40">
        <v>64</v>
      </c>
      <c r="F20" s="41"/>
      <c r="G20" s="41">
        <v>7</v>
      </c>
      <c r="H20" s="118"/>
      <c r="I20" s="119"/>
      <c r="J20" s="103"/>
      <c r="K20" s="104"/>
      <c r="L20" s="11"/>
    </row>
    <row r="21" spans="1:12" ht="15.6" customHeight="1">
      <c r="A21" s="10">
        <v>11</v>
      </c>
      <c r="B21" s="79" t="s">
        <v>160</v>
      </c>
      <c r="C21" s="80"/>
      <c r="D21" s="4" t="s">
        <v>150</v>
      </c>
      <c r="E21" s="40">
        <v>86</v>
      </c>
      <c r="F21" s="41"/>
      <c r="G21" s="41">
        <v>12</v>
      </c>
      <c r="H21" s="65"/>
      <c r="I21" s="66"/>
      <c r="J21" s="63"/>
      <c r="K21" s="64"/>
      <c r="L21" s="11"/>
    </row>
    <row r="22" spans="1:12" ht="15.6" customHeight="1">
      <c r="A22" s="10">
        <v>12</v>
      </c>
      <c r="B22" s="79" t="s">
        <v>156</v>
      </c>
      <c r="C22" s="80"/>
      <c r="D22" s="4" t="s">
        <v>145</v>
      </c>
      <c r="E22" s="40">
        <v>35</v>
      </c>
      <c r="F22" s="41"/>
      <c r="G22" s="41">
        <v>6</v>
      </c>
      <c r="H22" s="65"/>
      <c r="I22" s="66"/>
      <c r="J22" s="63"/>
      <c r="K22" s="64"/>
      <c r="L22" s="11"/>
    </row>
    <row r="23" spans="1:12" ht="15.6" customHeight="1">
      <c r="A23" s="10">
        <v>13</v>
      </c>
      <c r="B23" s="79" t="s">
        <v>161</v>
      </c>
      <c r="C23" s="80"/>
      <c r="D23" s="4" t="s">
        <v>151</v>
      </c>
      <c r="E23" s="40">
        <v>86</v>
      </c>
      <c r="F23" s="41"/>
      <c r="G23" s="41">
        <v>12</v>
      </c>
      <c r="H23" s="65"/>
      <c r="I23" s="66"/>
      <c r="J23" s="63"/>
      <c r="K23" s="64"/>
      <c r="L23" s="11"/>
    </row>
    <row r="24" spans="1:12" ht="15.6" customHeight="1">
      <c r="A24" s="10">
        <v>14</v>
      </c>
      <c r="B24" s="79" t="s">
        <v>157</v>
      </c>
      <c r="C24" s="80"/>
      <c r="D24" s="4" t="s">
        <v>147</v>
      </c>
      <c r="E24" s="40">
        <v>65</v>
      </c>
      <c r="F24" s="41"/>
      <c r="G24" s="41">
        <v>12</v>
      </c>
      <c r="H24" s="65"/>
      <c r="I24" s="66"/>
      <c r="J24" s="63"/>
      <c r="K24" s="64"/>
      <c r="L24" s="11"/>
    </row>
    <row r="25" spans="1:12" ht="15.6" customHeight="1">
      <c r="A25" s="10">
        <v>15</v>
      </c>
      <c r="B25" s="79" t="s">
        <v>162</v>
      </c>
      <c r="C25" s="80"/>
      <c r="D25" s="4" t="s">
        <v>152</v>
      </c>
      <c r="E25" s="40">
        <v>94</v>
      </c>
      <c r="F25" s="41"/>
      <c r="G25" s="41">
        <v>11</v>
      </c>
      <c r="H25" s="65"/>
      <c r="I25" s="66"/>
      <c r="J25" s="63"/>
      <c r="K25" s="64"/>
      <c r="L25" s="11"/>
    </row>
    <row r="26" spans="1:12" ht="15.6" customHeight="1">
      <c r="A26" s="10">
        <v>16</v>
      </c>
      <c r="B26" s="79" t="s">
        <v>163</v>
      </c>
      <c r="C26" s="80"/>
      <c r="D26" s="4" t="s">
        <v>153</v>
      </c>
      <c r="E26" s="40">
        <v>68</v>
      </c>
      <c r="F26" s="41"/>
      <c r="G26" s="41">
        <v>10</v>
      </c>
      <c r="H26" s="65"/>
      <c r="I26" s="66"/>
      <c r="J26" s="63"/>
      <c r="K26" s="64"/>
      <c r="L26" s="11"/>
    </row>
    <row r="27" spans="1:12" ht="15.6" customHeight="1">
      <c r="A27" s="10">
        <v>17</v>
      </c>
      <c r="B27" s="79" t="s">
        <v>157</v>
      </c>
      <c r="C27" s="80"/>
      <c r="D27" s="4" t="s">
        <v>147</v>
      </c>
      <c r="E27" s="40">
        <v>71</v>
      </c>
      <c r="F27" s="41"/>
      <c r="G27" s="41">
        <v>12</v>
      </c>
      <c r="H27" s="65"/>
      <c r="I27" s="66"/>
      <c r="J27" s="63"/>
      <c r="K27" s="64"/>
      <c r="L27" s="11"/>
    </row>
    <row r="28" spans="1:12" ht="15.6" customHeight="1">
      <c r="A28" s="10">
        <v>18</v>
      </c>
      <c r="B28" s="79" t="s">
        <v>157</v>
      </c>
      <c r="C28" s="80"/>
      <c r="D28" s="4" t="s">
        <v>147</v>
      </c>
      <c r="E28" s="40">
        <v>73</v>
      </c>
      <c r="F28" s="41"/>
      <c r="G28" s="41">
        <v>13</v>
      </c>
      <c r="H28" s="65"/>
      <c r="I28" s="66"/>
      <c r="J28" s="63"/>
      <c r="K28" s="64"/>
      <c r="L28" s="11"/>
    </row>
    <row r="29" spans="1:12" ht="15.6" customHeight="1">
      <c r="A29" s="10">
        <v>19</v>
      </c>
      <c r="B29" s="79" t="s">
        <v>157</v>
      </c>
      <c r="C29" s="80"/>
      <c r="D29" s="4" t="s">
        <v>147</v>
      </c>
      <c r="E29" s="40">
        <v>68</v>
      </c>
      <c r="F29" s="41"/>
      <c r="G29" s="41">
        <v>12</v>
      </c>
      <c r="H29" s="65"/>
      <c r="I29" s="66"/>
      <c r="J29" s="63"/>
      <c r="K29" s="64"/>
      <c r="L29" s="11"/>
    </row>
    <row r="30" spans="1:12" ht="15.6" customHeight="1">
      <c r="A30" s="10">
        <v>20</v>
      </c>
      <c r="B30" s="79" t="s">
        <v>164</v>
      </c>
      <c r="C30" s="80"/>
      <c r="D30" s="4" t="s">
        <v>154</v>
      </c>
      <c r="E30" s="40">
        <v>78</v>
      </c>
      <c r="F30" s="41"/>
      <c r="G30" s="41">
        <v>13</v>
      </c>
      <c r="H30" s="65"/>
      <c r="I30" s="66"/>
      <c r="J30" s="63"/>
      <c r="K30" s="64"/>
      <c r="L30" s="11"/>
    </row>
    <row r="31" spans="1:12" ht="15.6" customHeight="1">
      <c r="A31" s="10">
        <v>21</v>
      </c>
      <c r="B31" s="79" t="s">
        <v>158</v>
      </c>
      <c r="C31" s="80"/>
      <c r="D31" s="4" t="s">
        <v>148</v>
      </c>
      <c r="E31" s="40">
        <v>64</v>
      </c>
      <c r="F31" s="41"/>
      <c r="G31" s="41">
        <v>12</v>
      </c>
      <c r="H31" s="65"/>
      <c r="I31" s="66"/>
      <c r="J31" s="63"/>
      <c r="K31" s="64"/>
      <c r="L31" s="11"/>
    </row>
    <row r="32" spans="1:12" ht="15.6" customHeight="1">
      <c r="A32" s="10">
        <v>22</v>
      </c>
      <c r="B32" s="79" t="s">
        <v>162</v>
      </c>
      <c r="C32" s="80"/>
      <c r="D32" s="4" t="s">
        <v>152</v>
      </c>
      <c r="E32" s="40">
        <v>85</v>
      </c>
      <c r="F32" s="41"/>
      <c r="G32" s="41">
        <v>12</v>
      </c>
      <c r="H32" s="65"/>
      <c r="I32" s="66"/>
      <c r="J32" s="63"/>
      <c r="K32" s="64"/>
      <c r="L32" s="11"/>
    </row>
    <row r="33" spans="1:12" ht="15.6" customHeight="1">
      <c r="A33" s="10">
        <v>23</v>
      </c>
      <c r="B33" s="79" t="s">
        <v>165</v>
      </c>
      <c r="C33" s="80"/>
      <c r="D33" s="4" t="s">
        <v>146</v>
      </c>
      <c r="E33" s="40">
        <v>63</v>
      </c>
      <c r="F33" s="41"/>
      <c r="G33" s="41">
        <v>10</v>
      </c>
      <c r="H33" s="65"/>
      <c r="I33" s="66"/>
      <c r="J33" s="63"/>
      <c r="K33" s="64"/>
      <c r="L33" s="11"/>
    </row>
    <row r="34" spans="1:12" ht="15.6" customHeight="1">
      <c r="A34" s="10">
        <v>24</v>
      </c>
      <c r="B34" s="79" t="s">
        <v>157</v>
      </c>
      <c r="C34" s="80"/>
      <c r="D34" s="4" t="s">
        <v>147</v>
      </c>
      <c r="E34" s="40">
        <v>57</v>
      </c>
      <c r="F34" s="41"/>
      <c r="G34" s="41">
        <v>10</v>
      </c>
      <c r="H34" s="65"/>
      <c r="I34" s="66"/>
      <c r="J34" s="63"/>
      <c r="K34" s="64"/>
      <c r="L34" s="11"/>
    </row>
    <row r="35" spans="1:12" ht="15.6" customHeight="1">
      <c r="A35" s="10">
        <v>25</v>
      </c>
      <c r="B35" s="79" t="s">
        <v>157</v>
      </c>
      <c r="C35" s="80"/>
      <c r="D35" s="4" t="s">
        <v>147</v>
      </c>
      <c r="E35" s="40">
        <v>40</v>
      </c>
      <c r="F35" s="41"/>
      <c r="G35" s="41">
        <v>9</v>
      </c>
      <c r="H35" s="65"/>
      <c r="I35" s="66"/>
      <c r="J35" s="63"/>
      <c r="K35" s="64"/>
      <c r="L35" s="11"/>
    </row>
    <row r="36" spans="1:12" ht="15.6" customHeight="1">
      <c r="A36" s="10">
        <v>26</v>
      </c>
      <c r="B36" s="79" t="s">
        <v>156</v>
      </c>
      <c r="C36" s="80"/>
      <c r="D36" s="4" t="s">
        <v>145</v>
      </c>
      <c r="E36" s="40">
        <v>51</v>
      </c>
      <c r="F36" s="41"/>
      <c r="G36" s="41">
        <v>9</v>
      </c>
      <c r="H36" s="65"/>
      <c r="I36" s="66"/>
      <c r="J36" s="63"/>
      <c r="K36" s="64"/>
      <c r="L36" s="11"/>
    </row>
    <row r="37" spans="1:12" ht="15.6" customHeight="1">
      <c r="A37" s="10">
        <v>27</v>
      </c>
      <c r="B37" s="79" t="s">
        <v>166</v>
      </c>
      <c r="C37" s="80"/>
      <c r="D37" s="4" t="s">
        <v>155</v>
      </c>
      <c r="E37" s="40">
        <v>62</v>
      </c>
      <c r="F37" s="41"/>
      <c r="G37" s="41">
        <v>5</v>
      </c>
      <c r="H37" s="65"/>
      <c r="I37" s="66"/>
      <c r="J37" s="63"/>
      <c r="K37" s="64"/>
      <c r="L37" s="11"/>
    </row>
    <row r="38" spans="1:12" ht="15.6" customHeight="1">
      <c r="A38" s="10">
        <v>28</v>
      </c>
      <c r="B38" s="79" t="s">
        <v>156</v>
      </c>
      <c r="C38" s="80"/>
      <c r="D38" s="4" t="s">
        <v>145</v>
      </c>
      <c r="E38" s="40">
        <v>41</v>
      </c>
      <c r="F38" s="41"/>
      <c r="G38" s="41">
        <v>6</v>
      </c>
      <c r="H38" s="65"/>
      <c r="I38" s="66"/>
      <c r="J38" s="63"/>
      <c r="K38" s="64"/>
      <c r="L38" s="11"/>
    </row>
  </sheetData>
  <mergeCells count="73">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10" sqref="A10:XFD13"/>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167</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topLeftCell="A13"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5402</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191</v>
      </c>
      <c r="C5" s="69" t="s">
        <v>168</v>
      </c>
      <c r="D5" s="68"/>
      <c r="E5" s="68">
        <v>28.6</v>
      </c>
      <c r="F5" s="68">
        <v>2</v>
      </c>
      <c r="G5" s="61"/>
      <c r="H5" s="61"/>
      <c r="I5" s="62"/>
    </row>
    <row r="6" spans="1:9" ht="15.75">
      <c r="A6" s="28">
        <v>2</v>
      </c>
      <c r="B6" s="70" t="s">
        <v>156</v>
      </c>
      <c r="C6" s="69" t="s">
        <v>145</v>
      </c>
      <c r="D6" s="68"/>
      <c r="E6" s="68">
        <v>31.9</v>
      </c>
      <c r="F6" s="68">
        <v>2</v>
      </c>
      <c r="G6" s="61"/>
      <c r="H6" s="61"/>
      <c r="I6" s="62"/>
    </row>
    <row r="7" spans="1:9" ht="15.75">
      <c r="A7" s="28">
        <v>3</v>
      </c>
      <c r="B7" s="70" t="s">
        <v>189</v>
      </c>
      <c r="C7" s="69" t="s">
        <v>169</v>
      </c>
      <c r="D7" s="68"/>
      <c r="E7" s="68">
        <v>26.4</v>
      </c>
      <c r="F7" s="68">
        <v>1.5</v>
      </c>
      <c r="G7" s="61"/>
      <c r="H7" s="61"/>
      <c r="I7" s="62"/>
    </row>
    <row r="8" spans="1:9" ht="15.75">
      <c r="A8" s="28">
        <v>4</v>
      </c>
      <c r="B8" s="70" t="s">
        <v>192</v>
      </c>
      <c r="C8" s="69" t="s">
        <v>170</v>
      </c>
      <c r="D8" s="68"/>
      <c r="E8" s="68">
        <v>20.100000000000001</v>
      </c>
      <c r="F8" s="68" t="s">
        <v>172</v>
      </c>
      <c r="G8" s="61"/>
      <c r="H8" s="61"/>
      <c r="I8" s="62"/>
    </row>
    <row r="9" spans="1:9" ht="15.75">
      <c r="A9" s="28">
        <v>5</v>
      </c>
      <c r="B9" s="32" t="s">
        <v>190</v>
      </c>
      <c r="C9" s="69" t="s">
        <v>171</v>
      </c>
      <c r="D9" s="68"/>
      <c r="E9" s="68">
        <v>26.2</v>
      </c>
      <c r="F9" s="68">
        <v>2</v>
      </c>
      <c r="G9" s="61"/>
      <c r="H9" s="61"/>
      <c r="I9" s="62"/>
    </row>
    <row r="10" spans="1:9" ht="15.75">
      <c r="A10" s="28">
        <v>6</v>
      </c>
      <c r="B10" s="70" t="s">
        <v>156</v>
      </c>
      <c r="C10" s="69" t="s">
        <v>145</v>
      </c>
      <c r="D10" s="68"/>
      <c r="E10" s="68">
        <v>32.6</v>
      </c>
      <c r="F10" s="68">
        <v>2</v>
      </c>
      <c r="G10" s="61"/>
      <c r="H10" s="61"/>
      <c r="I10" s="62"/>
    </row>
    <row r="11" spans="1:9" ht="15.75">
      <c r="A11" s="24"/>
      <c r="B11" s="25"/>
      <c r="C11" s="26"/>
      <c r="D11" s="27"/>
      <c r="E11" s="27"/>
      <c r="F11" s="27"/>
      <c r="G11" s="24"/>
      <c r="H11" s="24"/>
      <c r="I11" s="24"/>
    </row>
    <row r="12" spans="1:9" ht="21">
      <c r="A12" s="126" t="s">
        <v>88</v>
      </c>
      <c r="B12" s="126"/>
      <c r="C12" s="126"/>
      <c r="D12" s="126"/>
      <c r="E12" s="126"/>
      <c r="F12" s="126"/>
      <c r="G12" s="126"/>
      <c r="H12" s="126"/>
      <c r="I12" s="126"/>
    </row>
    <row r="13" spans="1:9" ht="15.75">
      <c r="A13" s="137"/>
      <c r="B13" s="137"/>
      <c r="H13" t="s">
        <v>83</v>
      </c>
      <c r="I13" s="9">
        <f>'Form 1'!C9</f>
        <v>5402</v>
      </c>
    </row>
    <row r="14" spans="1:9" ht="15.75" customHeight="1">
      <c r="A14" s="84" t="s">
        <v>10</v>
      </c>
      <c r="B14" s="84" t="s">
        <v>11</v>
      </c>
      <c r="C14" s="84" t="s">
        <v>12</v>
      </c>
      <c r="D14" s="84" t="s">
        <v>84</v>
      </c>
      <c r="E14" s="135" t="s">
        <v>108</v>
      </c>
      <c r="F14" s="84" t="s">
        <v>85</v>
      </c>
      <c r="G14" s="84" t="s">
        <v>15</v>
      </c>
      <c r="H14" s="84"/>
      <c r="I14" s="135" t="s">
        <v>86</v>
      </c>
    </row>
    <row r="15" spans="1:9" ht="63">
      <c r="A15" s="84"/>
      <c r="B15" s="84"/>
      <c r="C15" s="84"/>
      <c r="D15" s="84"/>
      <c r="E15" s="136"/>
      <c r="F15" s="84"/>
      <c r="G15" s="19" t="s">
        <v>87</v>
      </c>
      <c r="H15" s="19" t="s">
        <v>19</v>
      </c>
      <c r="I15" s="136"/>
    </row>
    <row r="16" spans="1:9" ht="15.75">
      <c r="A16" s="22">
        <v>1</v>
      </c>
      <c r="B16" s="70" t="s">
        <v>156</v>
      </c>
      <c r="C16" s="3" t="s">
        <v>145</v>
      </c>
      <c r="D16" s="40"/>
      <c r="E16" s="68">
        <v>54.7</v>
      </c>
      <c r="F16" s="40">
        <v>3</v>
      </c>
      <c r="G16" s="22"/>
      <c r="H16" s="22"/>
      <c r="I16" s="28"/>
    </row>
    <row r="17" spans="1:9" ht="15.75">
      <c r="A17" s="22">
        <v>2</v>
      </c>
      <c r="B17" s="70" t="s">
        <v>156</v>
      </c>
      <c r="C17" s="3" t="s">
        <v>145</v>
      </c>
      <c r="D17" s="40"/>
      <c r="E17" s="68">
        <v>35.4</v>
      </c>
      <c r="F17" s="40">
        <v>2</v>
      </c>
      <c r="G17" s="22"/>
      <c r="H17" s="22"/>
      <c r="I17" s="28"/>
    </row>
    <row r="18" spans="1:9" ht="15.75">
      <c r="A18" s="22">
        <v>3</v>
      </c>
      <c r="B18" s="70" t="s">
        <v>191</v>
      </c>
      <c r="C18" s="3" t="s">
        <v>168</v>
      </c>
      <c r="D18" s="40"/>
      <c r="E18" s="68">
        <v>28.2</v>
      </c>
      <c r="F18" s="40">
        <v>1</v>
      </c>
      <c r="G18" s="22"/>
      <c r="H18" s="22"/>
      <c r="I18" s="28"/>
    </row>
    <row r="19" spans="1:9" ht="15.75">
      <c r="A19" s="22">
        <v>4</v>
      </c>
      <c r="B19" s="70" t="s">
        <v>156</v>
      </c>
      <c r="C19" s="3" t="s">
        <v>145</v>
      </c>
      <c r="D19" s="40"/>
      <c r="E19" s="68">
        <v>32.299999999999997</v>
      </c>
      <c r="F19" s="40">
        <v>2</v>
      </c>
      <c r="G19" s="22"/>
      <c r="H19" s="22"/>
      <c r="I19" s="28"/>
    </row>
    <row r="20" spans="1:9" ht="15.75">
      <c r="A20" s="22">
        <v>5</v>
      </c>
      <c r="B20" s="32" t="s">
        <v>185</v>
      </c>
      <c r="C20" s="3" t="s">
        <v>179</v>
      </c>
      <c r="D20" s="40"/>
      <c r="E20" s="68">
        <v>23.1</v>
      </c>
      <c r="F20" s="40">
        <v>1</v>
      </c>
      <c r="G20" s="22"/>
      <c r="H20" s="22"/>
      <c r="I20" s="28"/>
    </row>
    <row r="21" spans="1:9" ht="15.75">
      <c r="A21" s="22">
        <v>6</v>
      </c>
      <c r="B21" s="70" t="s">
        <v>156</v>
      </c>
      <c r="C21" s="3" t="s">
        <v>145</v>
      </c>
      <c r="D21" s="40"/>
      <c r="E21" s="68">
        <v>43.5</v>
      </c>
      <c r="F21" s="40">
        <v>2.5</v>
      </c>
      <c r="G21" s="22"/>
      <c r="H21" s="22"/>
      <c r="I21" s="28"/>
    </row>
    <row r="22" spans="1:9">
      <c r="E22" s="9"/>
    </row>
    <row r="23" spans="1:9" ht="21">
      <c r="A23" s="126" t="s">
        <v>89</v>
      </c>
      <c r="B23" s="126"/>
      <c r="C23" s="126"/>
      <c r="D23" s="126"/>
      <c r="E23" s="126"/>
      <c r="F23" s="126"/>
      <c r="G23" s="126"/>
      <c r="H23" s="126"/>
      <c r="I23" s="126"/>
    </row>
    <row r="24" spans="1:9" ht="15.75">
      <c r="A24" s="137"/>
      <c r="B24" s="137"/>
      <c r="H24" s="9" t="s">
        <v>83</v>
      </c>
      <c r="I24" s="9">
        <f>'Form 1'!C9</f>
        <v>5402</v>
      </c>
    </row>
    <row r="25" spans="1:9" ht="15.75" customHeight="1">
      <c r="A25" s="84" t="s">
        <v>10</v>
      </c>
      <c r="B25" s="84" t="s">
        <v>11</v>
      </c>
      <c r="C25" s="84" t="s">
        <v>12</v>
      </c>
      <c r="D25" s="84" t="s">
        <v>84</v>
      </c>
      <c r="E25" s="135" t="s">
        <v>108</v>
      </c>
      <c r="F25" s="84" t="s">
        <v>85</v>
      </c>
      <c r="G25" s="84" t="s">
        <v>15</v>
      </c>
      <c r="H25" s="84"/>
      <c r="I25" s="135" t="s">
        <v>86</v>
      </c>
    </row>
    <row r="26" spans="1:9" ht="63">
      <c r="A26" s="84"/>
      <c r="B26" s="84"/>
      <c r="C26" s="84"/>
      <c r="D26" s="84"/>
      <c r="E26" s="136"/>
      <c r="F26" s="84"/>
      <c r="G26" s="19" t="s">
        <v>87</v>
      </c>
      <c r="H26" s="19" t="s">
        <v>19</v>
      </c>
      <c r="I26" s="136"/>
    </row>
    <row r="27" spans="1:9" ht="15.75">
      <c r="A27" s="22">
        <v>1</v>
      </c>
      <c r="B27" s="70" t="s">
        <v>191</v>
      </c>
      <c r="C27" s="3" t="s">
        <v>168</v>
      </c>
      <c r="D27" s="61"/>
      <c r="E27" s="68">
        <v>38.4</v>
      </c>
      <c r="F27" s="40">
        <v>2</v>
      </c>
      <c r="G27" s="61"/>
      <c r="H27" s="61"/>
      <c r="I27" s="62"/>
    </row>
    <row r="28" spans="1:9" ht="15.75">
      <c r="A28" s="22">
        <v>2</v>
      </c>
      <c r="B28" s="32" t="s">
        <v>189</v>
      </c>
      <c r="C28" s="3" t="s">
        <v>180</v>
      </c>
      <c r="D28" s="61"/>
      <c r="E28" s="68">
        <v>23.1</v>
      </c>
      <c r="F28" s="40">
        <v>1</v>
      </c>
      <c r="G28" s="61"/>
      <c r="H28" s="61"/>
      <c r="I28" s="62"/>
    </row>
    <row r="29" spans="1:9" ht="15.75">
      <c r="D29" s="27"/>
      <c r="F29" s="29"/>
    </row>
    <row r="30" spans="1:9" ht="21">
      <c r="A30" s="126" t="s">
        <v>90</v>
      </c>
      <c r="B30" s="126"/>
      <c r="C30" s="126"/>
      <c r="D30" s="126"/>
      <c r="E30" s="126"/>
      <c r="F30" s="126"/>
      <c r="G30" s="126"/>
      <c r="H30" s="126"/>
      <c r="I30" s="126"/>
    </row>
    <row r="31" spans="1:9">
      <c r="A31" s="138"/>
      <c r="B31" s="138"/>
      <c r="H31" t="s">
        <v>83</v>
      </c>
      <c r="I31" s="9">
        <f>'Form 1'!C9</f>
        <v>5402</v>
      </c>
    </row>
    <row r="32" spans="1:9" ht="15.75" customHeight="1">
      <c r="A32" s="84" t="s">
        <v>10</v>
      </c>
      <c r="B32" s="84" t="s">
        <v>11</v>
      </c>
      <c r="C32" s="84" t="s">
        <v>12</v>
      </c>
      <c r="D32" s="84" t="s">
        <v>84</v>
      </c>
      <c r="E32" s="135" t="s">
        <v>108</v>
      </c>
      <c r="F32" s="84" t="s">
        <v>85</v>
      </c>
      <c r="G32" s="84" t="s">
        <v>15</v>
      </c>
      <c r="H32" s="84"/>
      <c r="I32" s="84" t="s">
        <v>86</v>
      </c>
    </row>
    <row r="33" spans="1:9" ht="63">
      <c r="A33" s="84"/>
      <c r="B33" s="84"/>
      <c r="C33" s="84"/>
      <c r="D33" s="84"/>
      <c r="E33" s="136"/>
      <c r="F33" s="84"/>
      <c r="G33" s="38" t="s">
        <v>87</v>
      </c>
      <c r="H33" s="38" t="s">
        <v>19</v>
      </c>
      <c r="I33" s="84"/>
    </row>
    <row r="34" spans="1:9" ht="15.75">
      <c r="A34" s="22">
        <v>1</v>
      </c>
      <c r="B34" s="70" t="s">
        <v>156</v>
      </c>
      <c r="C34" s="3" t="s">
        <v>145</v>
      </c>
      <c r="D34" s="61"/>
      <c r="E34" s="68">
        <v>24.1</v>
      </c>
      <c r="F34" s="40">
        <v>1</v>
      </c>
      <c r="G34" s="61"/>
      <c r="H34" s="61"/>
      <c r="I34" s="61"/>
    </row>
    <row r="35" spans="1:9" ht="15.75">
      <c r="A35" s="22">
        <v>2</v>
      </c>
      <c r="B35" s="70" t="s">
        <v>156</v>
      </c>
      <c r="C35" s="3" t="s">
        <v>145</v>
      </c>
      <c r="D35" s="61"/>
      <c r="E35" s="68">
        <v>27.2</v>
      </c>
      <c r="F35" s="40">
        <v>2</v>
      </c>
      <c r="G35" s="61"/>
      <c r="H35" s="61"/>
      <c r="I35" s="61"/>
    </row>
    <row r="36" spans="1:9" ht="15.75">
      <c r="A36" s="22">
        <v>3</v>
      </c>
      <c r="B36" s="32" t="s">
        <v>166</v>
      </c>
      <c r="C36" s="3" t="s">
        <v>155</v>
      </c>
      <c r="D36" s="61"/>
      <c r="E36" s="68">
        <v>35.700000000000003</v>
      </c>
      <c r="F36" s="40">
        <v>2</v>
      </c>
      <c r="G36" s="61"/>
      <c r="H36" s="61"/>
      <c r="I36" s="61"/>
    </row>
    <row r="37" spans="1:9" ht="15.75">
      <c r="A37" s="22">
        <v>4</v>
      </c>
      <c r="B37" s="32" t="s">
        <v>190</v>
      </c>
      <c r="C37" s="3" t="s">
        <v>171</v>
      </c>
      <c r="D37" s="61"/>
      <c r="E37" s="68">
        <v>31.9</v>
      </c>
      <c r="F37" s="40">
        <v>2.5</v>
      </c>
      <c r="G37" s="61"/>
      <c r="H37" s="61"/>
      <c r="I37" s="61"/>
    </row>
    <row r="38" spans="1:9" ht="15.75">
      <c r="A38" s="22">
        <v>5</v>
      </c>
      <c r="B38" s="32" t="s">
        <v>185</v>
      </c>
      <c r="C38" s="3" t="s">
        <v>179</v>
      </c>
      <c r="D38" s="61"/>
      <c r="E38" s="68">
        <v>22.2</v>
      </c>
      <c r="F38" s="40">
        <v>1</v>
      </c>
      <c r="G38" s="61"/>
      <c r="H38" s="61"/>
      <c r="I38" s="61"/>
    </row>
    <row r="39" spans="1:9" ht="15.75">
      <c r="A39" s="22">
        <v>6</v>
      </c>
      <c r="B39" s="32" t="s">
        <v>190</v>
      </c>
      <c r="C39" s="3" t="s">
        <v>171</v>
      </c>
      <c r="D39" s="61"/>
      <c r="E39" s="68">
        <v>28.2</v>
      </c>
      <c r="F39" s="40">
        <v>2</v>
      </c>
      <c r="G39" s="61"/>
      <c r="H39" s="61"/>
      <c r="I39" s="61"/>
    </row>
    <row r="40" spans="1:9" ht="15.75">
      <c r="A40" s="22">
        <v>7</v>
      </c>
      <c r="B40" s="32" t="s">
        <v>193</v>
      </c>
      <c r="C40" s="3" t="s">
        <v>181</v>
      </c>
      <c r="D40" s="61"/>
      <c r="E40" s="68">
        <v>36.700000000000003</v>
      </c>
      <c r="F40" s="40" t="s">
        <v>172</v>
      </c>
      <c r="G40" s="61"/>
      <c r="H40" s="61"/>
      <c r="I40" s="61"/>
    </row>
  </sheetData>
  <mergeCells count="40">
    <mergeCell ref="A30:I30"/>
    <mergeCell ref="A31:B31"/>
    <mergeCell ref="A32:A33"/>
    <mergeCell ref="B32:B33"/>
    <mergeCell ref="C32:C33"/>
    <mergeCell ref="D32:D33"/>
    <mergeCell ref="E32:E33"/>
    <mergeCell ref="F32:F33"/>
    <mergeCell ref="G32:H32"/>
    <mergeCell ref="I32:I33"/>
    <mergeCell ref="A23:I23"/>
    <mergeCell ref="A24:B24"/>
    <mergeCell ref="A25:A26"/>
    <mergeCell ref="B25:B26"/>
    <mergeCell ref="C25:C26"/>
    <mergeCell ref="D25:D26"/>
    <mergeCell ref="E25:E26"/>
    <mergeCell ref="F25:F26"/>
    <mergeCell ref="G25:H25"/>
    <mergeCell ref="I25:I26"/>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workbookViewId="0">
      <selection activeCell="B30" sqref="B30"/>
    </sheetView>
  </sheetViews>
  <sheetFormatPr defaultRowHeight="15"/>
  <cols>
    <col min="1" max="1" width="5.140625" customWidth="1"/>
    <col min="2" max="2" width="26.710937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5402</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187</v>
      </c>
      <c r="C6" s="3" t="s">
        <v>182</v>
      </c>
      <c r="D6" s="40">
        <v>32</v>
      </c>
      <c r="E6" s="22"/>
      <c r="F6" s="30"/>
      <c r="G6" s="22"/>
    </row>
    <row r="7" spans="1:7" ht="15.75">
      <c r="A7" s="22">
        <v>2</v>
      </c>
      <c r="B7" s="32" t="s">
        <v>190</v>
      </c>
      <c r="C7" s="3" t="s">
        <v>171</v>
      </c>
      <c r="D7" s="40">
        <v>30</v>
      </c>
      <c r="E7" s="22"/>
      <c r="F7" s="22"/>
      <c r="G7" s="22"/>
    </row>
    <row r="8" spans="1:7" ht="15.75">
      <c r="A8" s="22">
        <v>3</v>
      </c>
      <c r="B8" s="32" t="s">
        <v>190</v>
      </c>
      <c r="C8" s="3" t="s">
        <v>171</v>
      </c>
      <c r="D8" s="40">
        <v>28</v>
      </c>
      <c r="E8" s="22"/>
      <c r="F8" s="39"/>
      <c r="G8" s="22"/>
    </row>
    <row r="9" spans="1:7" ht="15.75">
      <c r="A9" s="22">
        <v>4</v>
      </c>
      <c r="B9" s="32" t="s">
        <v>186</v>
      </c>
      <c r="C9" s="3" t="s">
        <v>168</v>
      </c>
      <c r="D9" s="40">
        <v>45</v>
      </c>
      <c r="E9" s="22"/>
      <c r="F9" s="22"/>
      <c r="G9" s="22"/>
    </row>
    <row r="10" spans="1:7" ht="15.75">
      <c r="A10" s="22">
        <v>5</v>
      </c>
      <c r="B10" s="32" t="s">
        <v>186</v>
      </c>
      <c r="C10" s="3" t="s">
        <v>168</v>
      </c>
      <c r="D10" s="40">
        <v>35</v>
      </c>
      <c r="E10" s="22"/>
      <c r="F10" s="67"/>
      <c r="G10" s="22"/>
    </row>
    <row r="11" spans="1:7" ht="15.75">
      <c r="A11" s="22">
        <v>6</v>
      </c>
      <c r="B11" s="32" t="s">
        <v>186</v>
      </c>
      <c r="C11" s="3" t="s">
        <v>168</v>
      </c>
      <c r="D11" s="40">
        <v>23</v>
      </c>
      <c r="E11" s="22"/>
      <c r="F11" s="67"/>
      <c r="G11" s="22"/>
    </row>
    <row r="12" spans="1:7" ht="15.75">
      <c r="A12" s="22">
        <v>7</v>
      </c>
      <c r="B12" s="32" t="s">
        <v>186</v>
      </c>
      <c r="C12" s="3" t="s">
        <v>168</v>
      </c>
      <c r="D12" s="40">
        <v>14</v>
      </c>
      <c r="E12" s="22"/>
      <c r="F12" s="67"/>
      <c r="G12" s="22"/>
    </row>
    <row r="13" spans="1:7" ht="15.75">
      <c r="A13" s="22">
        <v>8</v>
      </c>
      <c r="B13" s="32" t="s">
        <v>186</v>
      </c>
      <c r="C13" s="3" t="s">
        <v>168</v>
      </c>
      <c r="D13" s="40">
        <v>20</v>
      </c>
      <c r="E13" s="22"/>
      <c r="F13" s="67"/>
      <c r="G13" s="22"/>
    </row>
    <row r="14" spans="1:7" ht="15.75">
      <c r="A14" s="22">
        <v>9</v>
      </c>
      <c r="B14" s="32" t="s">
        <v>186</v>
      </c>
      <c r="C14" s="3" t="s">
        <v>168</v>
      </c>
      <c r="D14" s="40">
        <v>15</v>
      </c>
      <c r="E14" s="22"/>
      <c r="F14" s="67"/>
      <c r="G14" s="22"/>
    </row>
    <row r="15" spans="1:7" ht="15.75">
      <c r="A15" s="22">
        <v>10</v>
      </c>
      <c r="B15" s="32" t="s">
        <v>188</v>
      </c>
      <c r="C15" s="3" t="s">
        <v>183</v>
      </c>
      <c r="D15" s="40" t="s">
        <v>172</v>
      </c>
      <c r="E15" s="22"/>
      <c r="F15" s="67"/>
      <c r="G15" s="22"/>
    </row>
    <row r="16" spans="1:7" ht="15.75">
      <c r="A16" s="22">
        <v>11</v>
      </c>
      <c r="B16" s="32" t="s">
        <v>189</v>
      </c>
      <c r="C16" s="3" t="s">
        <v>180</v>
      </c>
      <c r="D16" s="40">
        <v>31</v>
      </c>
      <c r="E16" s="22"/>
      <c r="F16" s="67"/>
      <c r="G16" s="22"/>
    </row>
    <row r="17" spans="1:12" ht="15.75">
      <c r="A17" s="85" t="s">
        <v>103</v>
      </c>
      <c r="B17" s="144"/>
      <c r="C17" s="144"/>
      <c r="D17" s="144"/>
      <c r="E17" s="144"/>
      <c r="F17" s="144"/>
      <c r="G17" s="86"/>
    </row>
    <row r="18" spans="1:12" ht="15.75">
      <c r="A18" s="22">
        <v>1</v>
      </c>
      <c r="B18" s="141" t="s">
        <v>104</v>
      </c>
      <c r="C18" s="142"/>
      <c r="D18" s="142"/>
      <c r="E18" s="142"/>
      <c r="F18" s="143"/>
      <c r="G18" s="3" t="s">
        <v>173</v>
      </c>
    </row>
    <row r="19" spans="1:12" ht="15.75">
      <c r="A19" s="22">
        <v>2</v>
      </c>
      <c r="B19" s="141" t="s">
        <v>105</v>
      </c>
      <c r="C19" s="142"/>
      <c r="D19" s="142"/>
      <c r="E19" s="142"/>
      <c r="F19" s="143"/>
      <c r="G19" s="3" t="s">
        <v>174</v>
      </c>
    </row>
    <row r="20" spans="1:12" ht="15.75">
      <c r="A20" s="22">
        <v>3</v>
      </c>
      <c r="B20" s="141" t="s">
        <v>106</v>
      </c>
      <c r="C20" s="142"/>
      <c r="D20" s="142"/>
      <c r="E20" s="142"/>
      <c r="F20" s="143"/>
      <c r="G20" s="3" t="s">
        <v>167</v>
      </c>
    </row>
    <row r="21" spans="1:12" ht="15.75">
      <c r="A21" s="22">
        <v>4</v>
      </c>
      <c r="B21" s="141" t="s">
        <v>107</v>
      </c>
      <c r="C21" s="142"/>
      <c r="D21" s="142"/>
      <c r="E21" s="142"/>
      <c r="F21" s="143"/>
      <c r="G21" s="3" t="s">
        <v>175</v>
      </c>
    </row>
    <row r="22" spans="1:12" ht="15.75">
      <c r="A22" s="24"/>
      <c r="B22" s="34"/>
      <c r="C22" s="34"/>
      <c r="D22" s="24"/>
      <c r="E22" s="24"/>
      <c r="F22" s="24"/>
      <c r="G22" s="24"/>
      <c r="L22" s="33"/>
    </row>
    <row r="23" spans="1:12" s="35" customFormat="1" ht="19.899999999999999" customHeight="1">
      <c r="A23" s="146" t="s">
        <v>98</v>
      </c>
      <c r="B23" s="146"/>
      <c r="C23" s="146"/>
      <c r="D23" s="146"/>
      <c r="E23" s="146"/>
      <c r="F23" s="146"/>
      <c r="G23" s="146"/>
      <c r="L23" s="33"/>
    </row>
    <row r="24" spans="1:12" ht="15.75">
      <c r="A24" s="35"/>
      <c r="B24" s="35"/>
      <c r="C24" s="35"/>
      <c r="D24" s="35"/>
      <c r="E24" s="35"/>
      <c r="F24" t="s">
        <v>83</v>
      </c>
      <c r="G24" s="9">
        <f>'Form 1'!C9</f>
        <v>5402</v>
      </c>
      <c r="L24" s="33"/>
    </row>
    <row r="25" spans="1:12" ht="15.75" customHeight="1">
      <c r="A25" s="135" t="s">
        <v>10</v>
      </c>
      <c r="B25" s="135" t="s">
        <v>11</v>
      </c>
      <c r="C25" s="135" t="s">
        <v>12</v>
      </c>
      <c r="D25" s="135" t="s">
        <v>99</v>
      </c>
      <c r="E25" s="85" t="s">
        <v>15</v>
      </c>
      <c r="F25" s="86"/>
      <c r="G25" s="135" t="s">
        <v>100</v>
      </c>
      <c r="L25" s="33"/>
    </row>
    <row r="26" spans="1:12" ht="31.5">
      <c r="A26" s="145"/>
      <c r="B26" s="145"/>
      <c r="C26" s="145"/>
      <c r="D26" s="145"/>
      <c r="E26" s="30" t="s">
        <v>94</v>
      </c>
      <c r="F26" s="30" t="s">
        <v>95</v>
      </c>
      <c r="G26" s="145"/>
      <c r="L26" s="33"/>
    </row>
    <row r="27" spans="1:12" ht="15.75">
      <c r="A27" s="136"/>
      <c r="B27" s="136"/>
      <c r="C27" s="136"/>
      <c r="D27" s="136"/>
      <c r="E27" s="31" t="s">
        <v>96</v>
      </c>
      <c r="F27" s="31" t="s">
        <v>97</v>
      </c>
      <c r="G27" s="136"/>
      <c r="L27" s="33"/>
    </row>
    <row r="28" spans="1:12" ht="15.75">
      <c r="A28" s="22">
        <v>1</v>
      </c>
      <c r="B28" s="32" t="s">
        <v>185</v>
      </c>
      <c r="C28" s="3" t="s">
        <v>179</v>
      </c>
      <c r="D28" s="40">
        <v>23</v>
      </c>
      <c r="E28" s="22"/>
      <c r="F28" s="22"/>
      <c r="G28" s="22"/>
      <c r="L28" s="33"/>
    </row>
    <row r="29" spans="1:12" ht="15.75">
      <c r="A29" s="22">
        <v>2</v>
      </c>
      <c r="B29" s="23" t="s">
        <v>189</v>
      </c>
      <c r="C29" s="3" t="s">
        <v>180</v>
      </c>
      <c r="D29" s="40">
        <v>18</v>
      </c>
      <c r="E29" s="22"/>
      <c r="F29" s="22"/>
      <c r="G29" s="22"/>
      <c r="L29" s="33"/>
    </row>
    <row r="30" spans="1:12" ht="15.75">
      <c r="A30" s="22">
        <v>3</v>
      </c>
      <c r="B30" s="32" t="s">
        <v>156</v>
      </c>
      <c r="C30" s="3" t="s">
        <v>145</v>
      </c>
      <c r="D30" s="40">
        <v>10</v>
      </c>
      <c r="E30" s="22"/>
      <c r="F30" s="22"/>
      <c r="G30" s="22"/>
      <c r="L30" s="33"/>
    </row>
    <row r="31" spans="1:12" ht="15.75">
      <c r="A31" s="22">
        <v>4</v>
      </c>
      <c r="B31" s="23" t="s">
        <v>194</v>
      </c>
      <c r="C31" s="3" t="s">
        <v>184</v>
      </c>
      <c r="D31" s="40" t="s">
        <v>172</v>
      </c>
      <c r="E31" s="22"/>
      <c r="F31" s="22"/>
      <c r="G31" s="22"/>
      <c r="L31" s="33"/>
    </row>
    <row r="32" spans="1:12" ht="15.75">
      <c r="A32" s="22">
        <v>5</v>
      </c>
      <c r="B32" s="32" t="s">
        <v>186</v>
      </c>
      <c r="C32" s="3" t="s">
        <v>168</v>
      </c>
      <c r="D32" s="40">
        <v>21</v>
      </c>
      <c r="E32" s="22"/>
      <c r="F32" s="22"/>
      <c r="G32" s="22"/>
      <c r="L32" s="33"/>
    </row>
    <row r="33" spans="1:12" ht="15.75">
      <c r="A33" s="22">
        <v>6</v>
      </c>
      <c r="B33" s="32" t="s">
        <v>186</v>
      </c>
      <c r="C33" s="3" t="s">
        <v>168</v>
      </c>
      <c r="D33" s="40">
        <v>43</v>
      </c>
      <c r="E33" s="22"/>
      <c r="F33" s="22"/>
      <c r="G33" s="22"/>
      <c r="L33" s="33"/>
    </row>
    <row r="34" spans="1:12" ht="15.75">
      <c r="A34" s="22">
        <v>7</v>
      </c>
      <c r="B34" s="32" t="s">
        <v>186</v>
      </c>
      <c r="C34" s="3" t="s">
        <v>168</v>
      </c>
      <c r="D34" s="40">
        <v>12</v>
      </c>
      <c r="E34" s="22"/>
      <c r="F34" s="22"/>
      <c r="G34" s="22"/>
      <c r="L34" s="33"/>
    </row>
    <row r="35" spans="1:12" ht="15.75">
      <c r="A35" s="22">
        <v>8</v>
      </c>
      <c r="B35" s="32" t="s">
        <v>186</v>
      </c>
      <c r="C35" s="3" t="s">
        <v>168</v>
      </c>
      <c r="D35" s="40">
        <v>10</v>
      </c>
      <c r="E35" s="22"/>
      <c r="F35" s="22"/>
      <c r="G35" s="22"/>
      <c r="L35" s="33"/>
    </row>
    <row r="36" spans="1:12" ht="15.75">
      <c r="A36" s="22">
        <v>9</v>
      </c>
      <c r="B36" s="32" t="s">
        <v>186</v>
      </c>
      <c r="C36" s="3" t="s">
        <v>168</v>
      </c>
      <c r="D36" s="40">
        <v>13</v>
      </c>
      <c r="E36" s="22"/>
      <c r="F36" s="22"/>
      <c r="G36" s="22"/>
      <c r="L36" s="33"/>
    </row>
    <row r="37" spans="1:12" ht="15.75">
      <c r="A37" s="22">
        <v>10</v>
      </c>
      <c r="B37" s="32" t="s">
        <v>190</v>
      </c>
      <c r="C37" s="3" t="s">
        <v>171</v>
      </c>
      <c r="D37" s="40">
        <v>7</v>
      </c>
      <c r="E37" s="22"/>
      <c r="F37" s="22"/>
      <c r="G37" s="22"/>
      <c r="L37" s="33"/>
    </row>
    <row r="38" spans="1:12" ht="15.75">
      <c r="A38" s="22">
        <v>11</v>
      </c>
      <c r="B38" s="32" t="s">
        <v>189</v>
      </c>
      <c r="C38" s="3" t="s">
        <v>180</v>
      </c>
      <c r="D38" s="40">
        <v>7</v>
      </c>
      <c r="E38" s="22"/>
      <c r="F38" s="22"/>
      <c r="G38" s="22"/>
      <c r="L38" s="33"/>
    </row>
    <row r="39" spans="1:12" ht="15.75">
      <c r="A39" s="85" t="s">
        <v>103</v>
      </c>
      <c r="B39" s="144"/>
      <c r="C39" s="144"/>
      <c r="D39" s="144"/>
      <c r="E39" s="144"/>
      <c r="F39" s="144"/>
      <c r="G39" s="86"/>
    </row>
    <row r="40" spans="1:12" ht="15.75">
      <c r="A40" s="22">
        <v>1</v>
      </c>
      <c r="B40" s="141" t="s">
        <v>104</v>
      </c>
      <c r="C40" s="142"/>
      <c r="D40" s="142"/>
      <c r="E40" s="142"/>
      <c r="F40" s="143"/>
      <c r="G40" s="3" t="s">
        <v>176</v>
      </c>
    </row>
    <row r="41" spans="1:12" ht="15.75">
      <c r="A41" s="22">
        <v>2</v>
      </c>
      <c r="B41" s="141" t="s">
        <v>105</v>
      </c>
      <c r="C41" s="142"/>
      <c r="D41" s="142"/>
      <c r="E41" s="142"/>
      <c r="F41" s="143"/>
      <c r="G41" s="3" t="s">
        <v>177</v>
      </c>
    </row>
    <row r="42" spans="1:12" ht="15.75">
      <c r="A42" s="22">
        <v>3</v>
      </c>
      <c r="B42" s="141" t="s">
        <v>106</v>
      </c>
      <c r="C42" s="142"/>
      <c r="D42" s="142"/>
      <c r="E42" s="142"/>
      <c r="F42" s="143"/>
      <c r="G42" s="3" t="s">
        <v>167</v>
      </c>
    </row>
    <row r="43" spans="1:12" ht="15.75">
      <c r="A43" s="22">
        <v>4</v>
      </c>
      <c r="B43" s="141" t="s">
        <v>107</v>
      </c>
      <c r="C43" s="142"/>
      <c r="D43" s="142"/>
      <c r="E43" s="142"/>
      <c r="F43" s="143"/>
      <c r="G43" s="3" t="s">
        <v>178</v>
      </c>
    </row>
  </sheetData>
  <mergeCells count="2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2024-04-11T11:25:59Z</dcterms:modified>
</cp:coreProperties>
</file>