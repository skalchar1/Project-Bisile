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29" i="11"/>
  <c r="I20"/>
  <c r="I11"/>
  <c r="I2"/>
  <c r="C13" i="8"/>
  <c r="C12"/>
  <c r="C11"/>
  <c r="C10"/>
  <c r="C5" i="6" s="1"/>
  <c r="C9" i="8"/>
</calcChain>
</file>

<file path=xl/sharedStrings.xml><?xml version="1.0" encoding="utf-8"?>
<sst xmlns="http://schemas.openxmlformats.org/spreadsheetml/2006/main" count="348" uniqueCount="186">
  <si>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</si>
  <si>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</si>
  <si>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</si>
  <si>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</si>
  <si>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</si>
  <si>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</si>
  <si>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</si>
  <si>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</si>
  <si>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</si>
  <si>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</si>
  <si>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</si>
  <si>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</si>
  <si>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</si>
  <si>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</si>
  <si>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</si>
  <si>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</si>
  <si>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</si>
  <si>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</si>
  <si>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</si>
  <si>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</si>
  <si>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</si>
  <si>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</si>
  <si>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</si>
  <si>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</si>
  <si>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</si>
  <si>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</si>
  <si>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</si>
  <si>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</si>
  <si>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</si>
  <si>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</si>
  <si>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</si>
  <si>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</si>
  <si>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</si>
  <si>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</si>
  <si>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</si>
  <si>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</si>
  <si>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</si>
  <si>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</si>
  <si>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</si>
  <si>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</si>
  <si>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</si>
  <si>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</si>
  <si>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</si>
  <si>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</si>
  <si>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</si>
  <si>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</si>
  <si>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</si>
  <si>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</si>
  <si>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</si>
  <si>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</si>
  <si>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</si>
  <si>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</si>
  <si>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</si>
  <si>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</si>
  <si>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</si>
  <si>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</si>
  <si>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</si>
  <si>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</si>
  <si>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</si>
  <si>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</si>
  <si>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</si>
  <si>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</si>
  <si>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</si>
  <si>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</si>
  <si>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</si>
  <si>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</si>
  <si>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</si>
  <si>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</si>
  <si>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</si>
  <si>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</si>
  <si>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</si>
  <si>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</si>
  <si>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</si>
  <si>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</si>
  <si>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</si>
  <si>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</si>
  <si>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</si>
  <si>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</si>
  <si>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</si>
  <si>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</si>
  <si>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</si>
  <si>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</si>
  <si>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</si>
  <si>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</si>
  <si>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</si>
  <si>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</si>
  <si>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</si>
  <si>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</si>
  <si>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</si>
  <si>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</si>
  <si>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</si>
  <si>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</si>
  <si>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</si>
  <si>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</si>
  <si>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</si>
  <si>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</si>
  <si>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</si>
  <si>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</si>
  <si>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</si>
  <si>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</si>
  <si>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</si>
  <si>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</si>
  <si>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</si>
  <si>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</si>
  <si>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</si>
  <si>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</si>
  <si>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</si>
  <si>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</si>
  <si>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</si>
  <si>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</si>
  <si>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</si>
  <si>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</si>
  <si>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</si>
  <si>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</si>
  <si>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Gently rolling</t>
  </si>
  <si>
    <t>4. Soil- Black soil</t>
  </si>
  <si>
    <r>
      <t xml:space="preserve">7. Bamboo - Present- </t>
    </r>
    <r>
      <rPr>
        <i/>
        <sz val="12"/>
        <color theme="1"/>
        <rFont val="Calibri"/>
        <family val="2"/>
        <scheme val="minor"/>
      </rPr>
      <t>Bambussa bamboo</t>
    </r>
    <r>
      <rPr>
        <sz val="12"/>
        <color theme="1"/>
        <rFont val="Calibri"/>
        <family val="2"/>
        <scheme val="minor"/>
      </rPr>
      <t xml:space="preserve"> (Hebbidiru).</t>
    </r>
  </si>
  <si>
    <r>
      <t>8. Herbs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</si>
  <si>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</si>
  <si>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t>12. Rattans - Nill</t>
  </si>
  <si>
    <t>Gently rolling</t>
  </si>
  <si>
    <t>Upto 4 - 15</t>
  </si>
  <si>
    <t>Ignecious Rocks</t>
  </si>
  <si>
    <t>Black soil, Texture - smooth, Depth - 30cm, Permiability - Good.</t>
  </si>
  <si>
    <t>Mild Erosion</t>
  </si>
  <si>
    <t>Poor</t>
  </si>
  <si>
    <t>Present- Bambussa bamboo (Hebbidiru).</t>
  </si>
  <si>
    <t>I - 18</t>
  </si>
  <si>
    <t>Start from Bantvala Range office to towards Belthagadi road to Pachabe for 6.2 km N-12.920526, E- 75.105613. Then right turn to Maninalkuru block for 10.3 km N-12.876730, E- 75.139983 (By Jeep). Then walked left for 80 mtr to reached center of the plot.</t>
  </si>
  <si>
    <r>
      <t>Moist decidious Open forest, Speices like</t>
    </r>
    <r>
      <rPr>
        <i/>
        <sz val="12"/>
        <color theme="1"/>
        <rFont val="Calibri"/>
        <family val="2"/>
        <scheme val="minor"/>
      </rPr>
      <t xml:space="preserve"> Albezea laback </t>
    </r>
    <r>
      <rPr>
        <sz val="12"/>
        <color theme="1"/>
        <rFont val="Calibri"/>
        <family val="2"/>
        <scheme val="minor"/>
      </rPr>
      <t xml:space="preserve">(Bilvar), </t>
    </r>
    <r>
      <rPr>
        <i/>
        <sz val="12"/>
        <color theme="1"/>
        <rFont val="Calibri"/>
        <family val="2"/>
        <scheme val="minor"/>
      </rPr>
      <t xml:space="preserve">Macaranga peltata </t>
    </r>
    <r>
      <rPr>
        <sz val="12"/>
        <color theme="1"/>
        <rFont val="Calibri"/>
        <family val="2"/>
        <scheme val="minor"/>
      </rPr>
      <t>(Uppalige),</t>
    </r>
    <r>
      <rPr>
        <i/>
        <sz val="12"/>
        <color theme="1"/>
        <rFont val="Calibri"/>
        <family val="2"/>
        <scheme val="minor"/>
      </rPr>
      <t xml:space="preserve"> 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</si>
  <si>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2. Aspect - North West</t>
  </si>
  <si>
    <t>3.Canopy density - Open forest shrub</t>
  </si>
  <si>
    <r>
      <t xml:space="preserve">5. Grass - Moderate - </t>
    </r>
    <r>
      <rPr>
        <i/>
        <sz val="12"/>
        <color theme="1"/>
        <rFont val="Calibri"/>
        <family val="2"/>
        <scheme val="minor"/>
      </rPr>
      <t>Cynodon dactylon</t>
    </r>
    <r>
      <rPr>
        <sz val="12"/>
        <color theme="1"/>
        <rFont val="Calibri"/>
        <family val="2"/>
        <scheme val="minor"/>
      </rPr>
      <t xml:space="preserve"> (Hambuhullu)</t>
    </r>
  </si>
  <si>
    <r>
      <t xml:space="preserve">6. Weeds - Moderate - </t>
    </r>
    <r>
      <rPr>
        <i/>
        <sz val="12"/>
        <color theme="1"/>
        <rFont val="Calibri"/>
        <family val="2"/>
        <scheme val="minor"/>
      </rPr>
      <t>Malastoma offine</t>
    </r>
    <r>
      <rPr>
        <sz val="12"/>
        <color theme="1"/>
        <rFont val="Calibri"/>
        <family val="2"/>
        <scheme val="minor"/>
      </rPr>
      <t>, Eupatorium.</t>
    </r>
  </si>
  <si>
    <r>
      <t>11. Climber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</si>
  <si>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t>
    </r>
  </si>
  <si>
    <t>104 m</t>
  </si>
  <si>
    <t>Maninalkuru blcok</t>
  </si>
  <si>
    <t xml:space="preserve">Open forest scrub </t>
  </si>
  <si>
    <t>North West</t>
  </si>
  <si>
    <r>
      <t xml:space="preserve">Aparosa lindlyana </t>
    </r>
    <r>
      <rPr>
        <sz val="12"/>
        <color theme="1"/>
        <rFont val="Calibri"/>
        <family val="2"/>
        <scheme val="minor"/>
      </rPr>
      <t xml:space="preserve">(Salle) -30%, Macarnaga peltata (Uppalige) - 20%, </t>
    </r>
  </si>
  <si>
    <t>Damaged by natural climate</t>
  </si>
  <si>
    <t>Moderate - Cynodon dactylon (Hambuhullu)</t>
  </si>
  <si>
    <t>Moderate - Malastoma offine, Eupatorium.</t>
  </si>
  <si>
    <t>Natural forest with acassia</t>
  </si>
  <si>
    <t>Moderatly  Degrated</t>
  </si>
  <si>
    <t>Matti</t>
  </si>
  <si>
    <t>Bilvar</t>
  </si>
  <si>
    <t>Maavu</t>
  </si>
  <si>
    <t>Uppalige</t>
  </si>
  <si>
    <t>Salle</t>
  </si>
  <si>
    <t>Chaar</t>
  </si>
  <si>
    <t>Terminalea tomantosa</t>
  </si>
  <si>
    <t>Albezea laback</t>
  </si>
  <si>
    <t>Magifera indica</t>
  </si>
  <si>
    <t>Macaranga peltata</t>
  </si>
  <si>
    <t>Aparosa lindlyana</t>
  </si>
  <si>
    <t>Holigarna anrottiana</t>
  </si>
  <si>
    <t>Bambussa bamboo</t>
  </si>
  <si>
    <t>Hebbidiru</t>
  </si>
  <si>
    <t>320 gm</t>
  </si>
  <si>
    <t>Nill</t>
  </si>
  <si>
    <t>110 gm</t>
  </si>
  <si>
    <t>1.2 kg</t>
  </si>
  <si>
    <t>210 gm</t>
  </si>
  <si>
    <t>Parige</t>
  </si>
  <si>
    <t>Climber</t>
  </si>
  <si>
    <t>Chunga</t>
  </si>
  <si>
    <t>Adchar</t>
  </si>
  <si>
    <t>Dalchinni</t>
  </si>
  <si>
    <t>Kavulu</t>
  </si>
  <si>
    <t>Marva</t>
  </si>
  <si>
    <t>Lantana</t>
  </si>
  <si>
    <t>Hambuhullu</t>
  </si>
  <si>
    <t>Vaatmadike</t>
  </si>
  <si>
    <t>Kaare</t>
  </si>
  <si>
    <t>Cinnamomam zalenicum</t>
  </si>
  <si>
    <t>Zizypus muriantana</t>
  </si>
  <si>
    <t>Randea aculeata</t>
  </si>
  <si>
    <t>Carea arborea</t>
  </si>
  <si>
    <t>Terminalea paniculata</t>
  </si>
  <si>
    <t>Symplocus recemosa</t>
  </si>
  <si>
    <t>Zizypus mauriantana</t>
  </si>
  <si>
    <t xml:space="preserve">Memecylon talbotianum </t>
  </si>
  <si>
    <t>Cynodon dactylon</t>
  </si>
  <si>
    <t>Phycotrea dalzelli</t>
  </si>
</sst>
</file>

<file path=xl/styles.xml><?xml version="1.0" encoding="utf-8"?>
<styleSheet xmlns="http://schemas.openxmlformats.org/spreadsheetml/2006/main">
  <numFmts count="2">
    <numFmt numFmtId="164" formatCode="[$-409]d/mmm/yyyy;@"/>
    <numFmt numFmtId="165" formatCode="0.000000"/>
  </numFmts>
  <fonts count="17">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6"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2" bestFit="1" customWidth="1"/>
    <col min="2" max="2" width="15.7109375" style="42" customWidth="1"/>
    <col min="3" max="3" width="58.42578125" style="42" bestFit="1" customWidth="1"/>
    <col min="4" max="16384" width="9.140625" style="42"/>
  </cols>
  <sheetData>
    <row r="1" spans="1:3">
      <c r="A1" s="75" t="s">
        <v>21</v>
      </c>
      <c r="B1" s="75"/>
      <c r="C1" s="75"/>
    </row>
    <row r="2" spans="1:3">
      <c r="A2" s="75" t="s">
        <v>22</v>
      </c>
      <c r="B2" s="75"/>
      <c r="C2" s="75"/>
    </row>
    <row r="3" spans="1:3">
      <c r="A3" s="76" t="s">
        <v>102</v>
      </c>
      <c r="B3" s="76"/>
      <c r="C3" s="53" t="s">
        <v>110</v>
      </c>
    </row>
    <row r="4" spans="1:3">
      <c r="A4" s="45"/>
    </row>
    <row r="5" spans="1:3" ht="31.5">
      <c r="A5" s="46" t="s">
        <v>23</v>
      </c>
      <c r="B5" s="48" t="s">
        <v>24</v>
      </c>
      <c r="C5" s="48" t="s">
        <v>25</v>
      </c>
    </row>
    <row r="6" spans="1:3">
      <c r="A6" s="49">
        <v>1</v>
      </c>
      <c r="B6" s="50" t="s">
        <v>26</v>
      </c>
      <c r="C6" s="54" t="s">
        <v>113</v>
      </c>
    </row>
    <row r="7" spans="1:3" ht="31.5">
      <c r="A7" s="49">
        <v>2</v>
      </c>
      <c r="B7" s="50" t="s">
        <v>27</v>
      </c>
      <c r="C7" s="54"/>
    </row>
    <row r="8" spans="1:3">
      <c r="A8" s="49">
        <v>3</v>
      </c>
      <c r="B8" s="50" t="s">
        <v>28</v>
      </c>
      <c r="C8" s="54" t="s">
        <v>127</v>
      </c>
    </row>
    <row r="9" spans="1:3">
      <c r="A9" s="49">
        <v>4</v>
      </c>
      <c r="B9" s="50" t="s">
        <v>29</v>
      </c>
      <c r="C9" s="41">
        <v>4749</v>
      </c>
    </row>
    <row r="10" spans="1:3" ht="20.25" customHeight="1">
      <c r="A10" s="49">
        <v>5</v>
      </c>
      <c r="B10" s="50" t="s">
        <v>30</v>
      </c>
      <c r="C10" s="55">
        <v>12.877393</v>
      </c>
    </row>
    <row r="11" spans="1:3" ht="23.25" customHeight="1">
      <c r="A11" s="49"/>
      <c r="B11" s="50" t="s">
        <v>31</v>
      </c>
      <c r="C11" s="55">
        <v>75.140051</v>
      </c>
    </row>
    <row r="12" spans="1:3" ht="80.25" customHeight="1">
      <c r="A12" s="49">
        <v>7</v>
      </c>
      <c r="B12" s="50" t="s">
        <v>32</v>
      </c>
      <c r="C12" s="41" t="s">
        <v>128</v>
      </c>
    </row>
    <row r="13" spans="1:3" ht="94.5" customHeight="1">
      <c r="A13" s="49">
        <v>8</v>
      </c>
      <c r="B13" s="50" t="s">
        <v>33</v>
      </c>
      <c r="C13" s="56" t="s">
        <v>129</v>
      </c>
    </row>
    <row r="14" spans="1:3" ht="15.75" customHeight="1">
      <c r="A14" s="72">
        <v>9</v>
      </c>
      <c r="B14" s="77" t="s">
        <v>34</v>
      </c>
      <c r="C14" s="56" t="s">
        <v>114</v>
      </c>
    </row>
    <row r="15" spans="1:3">
      <c r="A15" s="73"/>
      <c r="B15" s="78"/>
      <c r="C15" s="56" t="s">
        <v>130</v>
      </c>
    </row>
    <row r="16" spans="1:3">
      <c r="A16" s="73"/>
      <c r="B16" s="78"/>
      <c r="C16" s="56" t="s">
        <v>131</v>
      </c>
    </row>
    <row r="17" spans="1:3">
      <c r="A17" s="73"/>
      <c r="B17" s="78"/>
      <c r="C17" s="56" t="s">
        <v>115</v>
      </c>
    </row>
    <row r="18" spans="1:3">
      <c r="A18" s="73"/>
      <c r="B18" s="78"/>
      <c r="C18" s="58" t="s">
        <v>132</v>
      </c>
    </row>
    <row r="19" spans="1:3">
      <c r="A19" s="73"/>
      <c r="B19" s="78"/>
      <c r="C19" s="56" t="s">
        <v>133</v>
      </c>
    </row>
    <row r="20" spans="1:3">
      <c r="A20" s="73"/>
      <c r="B20" s="78"/>
      <c r="C20" s="56" t="s">
        <v>116</v>
      </c>
    </row>
    <row r="21" spans="1:3" ht="31.5">
      <c r="A21" s="73"/>
      <c r="B21" s="78"/>
      <c r="C21" s="56" t="s">
        <v>117</v>
      </c>
    </row>
    <row r="22" spans="1:3" ht="31.5">
      <c r="A22" s="73"/>
      <c r="B22" s="78"/>
      <c r="C22" s="56" t="s">
        <v>112</v>
      </c>
    </row>
    <row r="23" spans="1:3" ht="47.25">
      <c r="A23" s="73"/>
      <c r="B23" s="78"/>
      <c r="C23" s="56" t="s">
        <v>118</v>
      </c>
    </row>
    <row r="24" spans="1:3" ht="48" customHeight="1">
      <c r="A24" s="73"/>
      <c r="B24" s="78"/>
      <c r="C24" s="56" t="s">
        <v>134</v>
      </c>
    </row>
    <row r="25" spans="1:3">
      <c r="A25" s="73"/>
      <c r="B25" s="78"/>
      <c r="C25" s="56" t="s">
        <v>119</v>
      </c>
    </row>
    <row r="26" spans="1:3" ht="31.5">
      <c r="A26" s="73"/>
      <c r="B26" s="78"/>
      <c r="C26" s="56" t="s">
        <v>135</v>
      </c>
    </row>
    <row r="27" spans="1:3" ht="31.5">
      <c r="A27" s="49">
        <v>10</v>
      </c>
      <c r="B27" s="50" t="s">
        <v>35</v>
      </c>
      <c r="C27" s="50" t="s">
        <v>111</v>
      </c>
    </row>
    <row r="28" spans="1:3" ht="47.25">
      <c r="A28" s="49">
        <v>11</v>
      </c>
      <c r="B28" s="50" t="s">
        <v>36</v>
      </c>
      <c r="C28" s="50" t="s">
        <v>111</v>
      </c>
    </row>
    <row r="29" spans="1:3" ht="61.5" customHeight="1">
      <c r="A29" s="45"/>
    </row>
    <row r="30" spans="1:3" ht="15.75" customHeight="1">
      <c r="A30" s="45"/>
    </row>
    <row r="31" spans="1:3">
      <c r="A31" s="45"/>
    </row>
    <row r="32" spans="1:3">
      <c r="A32" s="71"/>
    </row>
    <row r="33" spans="1:1">
      <c r="A33" s="57"/>
    </row>
    <row r="34" spans="1:1">
      <c r="A34" s="57"/>
    </row>
    <row r="35" spans="1:1">
      <c r="A35" s="57"/>
    </row>
    <row r="36" spans="1:1">
      <c r="A36" s="57"/>
    </row>
    <row r="37" spans="1:1">
      <c r="A37" s="57"/>
    </row>
    <row r="38" spans="1:1">
      <c r="A38" s="57"/>
    </row>
    <row r="49" spans="1:1">
      <c r="A49" s="57"/>
    </row>
    <row r="50" spans="1:1" ht="62.25" customHeight="1">
      <c r="A50" s="57"/>
    </row>
    <row r="51" spans="1:1">
      <c r="A51" s="57"/>
    </row>
    <row r="52" spans="1:1">
      <c r="A52" s="57"/>
    </row>
    <row r="53" spans="1:1">
      <c r="A53" s="57"/>
    </row>
    <row r="54" spans="1:1">
      <c r="A54" s="57"/>
    </row>
    <row r="55" spans="1:1">
      <c r="A55" s="57"/>
    </row>
    <row r="56" spans="1:1">
      <c r="A56" s="57"/>
    </row>
    <row r="57" spans="1:1">
      <c r="A57" s="57"/>
    </row>
    <row r="58" spans="1:1">
      <c r="A58" s="71"/>
    </row>
    <row r="66" spans="1:1">
      <c r="A66" s="57"/>
    </row>
    <row r="74" spans="1:1">
      <c r="A74" s="45"/>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2" bestFit="1" customWidth="1"/>
    <col min="2" max="2" width="16.42578125" style="42" customWidth="1"/>
    <col min="3" max="3" width="55.85546875" style="42" customWidth="1"/>
    <col min="4" max="16384" width="9.140625" style="42"/>
  </cols>
  <sheetData>
    <row r="1" spans="1:3">
      <c r="A1" s="75" t="s">
        <v>37</v>
      </c>
      <c r="B1" s="75"/>
      <c r="C1" s="75"/>
    </row>
    <row r="2" spans="1:3">
      <c r="A2" s="75" t="s">
        <v>38</v>
      </c>
      <c r="B2" s="75"/>
      <c r="C2" s="75"/>
    </row>
    <row r="3" spans="1:3">
      <c r="A3" s="43"/>
    </row>
    <row r="4" spans="1:3" ht="70.900000000000006" customHeight="1">
      <c r="A4" s="79" t="s">
        <v>39</v>
      </c>
      <c r="B4" s="79"/>
      <c r="C4" s="79"/>
    </row>
    <row r="5" spans="1:3">
      <c r="A5" s="76" t="s">
        <v>102</v>
      </c>
      <c r="B5" s="76"/>
      <c r="C5" s="44" t="str">
        <f>'Form 1'!C3</f>
        <v>Mangalore</v>
      </c>
    </row>
    <row r="6" spans="1:3">
      <c r="A6" s="45"/>
    </row>
    <row r="7" spans="1:3" ht="31.5">
      <c r="A7" s="46" t="s">
        <v>23</v>
      </c>
      <c r="B7" s="47" t="s">
        <v>25</v>
      </c>
      <c r="C7" s="48" t="s">
        <v>40</v>
      </c>
    </row>
    <row r="8" spans="1:3">
      <c r="A8" s="49">
        <v>1</v>
      </c>
      <c r="B8" s="50" t="s">
        <v>26</v>
      </c>
      <c r="C8" s="4" t="s">
        <v>113</v>
      </c>
    </row>
    <row r="9" spans="1:3" ht="31.5">
      <c r="A9" s="49">
        <v>2</v>
      </c>
      <c r="B9" s="50" t="s">
        <v>41</v>
      </c>
      <c r="C9" s="51">
        <f>'Form 1'!C7</f>
        <v>0</v>
      </c>
    </row>
    <row r="10" spans="1:3">
      <c r="A10" s="49">
        <v>3</v>
      </c>
      <c r="B10" s="50" t="s">
        <v>28</v>
      </c>
      <c r="C10" s="51" t="str">
        <f>'Form 1'!C8</f>
        <v>I - 18</v>
      </c>
    </row>
    <row r="11" spans="1:3">
      <c r="A11" s="49">
        <v>4</v>
      </c>
      <c r="B11" s="50" t="s">
        <v>29</v>
      </c>
      <c r="C11" s="51">
        <f>'Form 1'!C9</f>
        <v>4749</v>
      </c>
    </row>
    <row r="12" spans="1:3">
      <c r="A12" s="49">
        <v>5</v>
      </c>
      <c r="B12" s="50" t="s">
        <v>42</v>
      </c>
      <c r="C12" s="51">
        <f>'Form 1'!C10</f>
        <v>12.877393</v>
      </c>
    </row>
    <row r="13" spans="1:3">
      <c r="A13" s="49">
        <v>6</v>
      </c>
      <c r="B13" s="50" t="s">
        <v>43</v>
      </c>
      <c r="C13" s="51">
        <f>'Form 1'!C11</f>
        <v>75.140051</v>
      </c>
    </row>
    <row r="14" spans="1:3">
      <c r="A14" s="49">
        <v>7</v>
      </c>
      <c r="B14" s="50" t="s">
        <v>44</v>
      </c>
      <c r="C14" s="51" t="s">
        <v>136</v>
      </c>
    </row>
    <row r="15" spans="1:3">
      <c r="A15" s="49">
        <v>8</v>
      </c>
      <c r="B15" s="50" t="s">
        <v>45</v>
      </c>
      <c r="C15" s="51" t="s">
        <v>137</v>
      </c>
    </row>
    <row r="16" spans="1:3">
      <c r="A16" s="49">
        <v>9</v>
      </c>
      <c r="B16" s="50" t="s">
        <v>46</v>
      </c>
      <c r="C16" s="51" t="s">
        <v>138</v>
      </c>
    </row>
    <row r="17" spans="1:3" ht="31.5">
      <c r="A17" s="49">
        <v>10</v>
      </c>
      <c r="B17" s="50" t="s">
        <v>47</v>
      </c>
      <c r="C17" s="51" t="s">
        <v>120</v>
      </c>
    </row>
    <row r="18" spans="1:3">
      <c r="A18" s="49">
        <v>11</v>
      </c>
      <c r="B18" s="50" t="s">
        <v>48</v>
      </c>
      <c r="C18" s="52" t="s">
        <v>121</v>
      </c>
    </row>
    <row r="19" spans="1:3">
      <c r="A19" s="49">
        <v>12</v>
      </c>
      <c r="B19" s="50" t="s">
        <v>49</v>
      </c>
      <c r="C19" s="52" t="s">
        <v>139</v>
      </c>
    </row>
    <row r="20" spans="1:3" ht="31.5">
      <c r="A20" s="49">
        <v>13</v>
      </c>
      <c r="B20" s="50" t="s">
        <v>50</v>
      </c>
      <c r="C20" s="52" t="s">
        <v>122</v>
      </c>
    </row>
    <row r="21" spans="1:3" ht="31.5">
      <c r="A21" s="49">
        <v>14</v>
      </c>
      <c r="B21" s="50" t="s">
        <v>51</v>
      </c>
      <c r="C21" s="52" t="s">
        <v>123</v>
      </c>
    </row>
    <row r="22" spans="1:3">
      <c r="A22" s="49">
        <v>15</v>
      </c>
      <c r="B22" s="50" t="s">
        <v>52</v>
      </c>
      <c r="C22" s="52" t="s">
        <v>124</v>
      </c>
    </row>
    <row r="23" spans="1:3" ht="31.5">
      <c r="A23" s="49">
        <v>16</v>
      </c>
      <c r="B23" s="50" t="s">
        <v>53</v>
      </c>
      <c r="C23" s="148" t="s">
        <v>140</v>
      </c>
    </row>
    <row r="24" spans="1:3" ht="31.5">
      <c r="A24" s="49">
        <v>17</v>
      </c>
      <c r="B24" s="50" t="s">
        <v>54</v>
      </c>
      <c r="C24" s="52" t="s">
        <v>125</v>
      </c>
    </row>
    <row r="25" spans="1:3" ht="31.5">
      <c r="A25" s="49">
        <v>18</v>
      </c>
      <c r="B25" s="50" t="s">
        <v>55</v>
      </c>
      <c r="C25" s="52" t="s">
        <v>141</v>
      </c>
    </row>
    <row r="26" spans="1:3" ht="31.5">
      <c r="A26" s="49">
        <v>19</v>
      </c>
      <c r="B26" s="50" t="s">
        <v>56</v>
      </c>
      <c r="C26" s="52" t="s">
        <v>111</v>
      </c>
    </row>
    <row r="27" spans="1:3" ht="31.5">
      <c r="A27" s="49">
        <v>20</v>
      </c>
      <c r="B27" s="50" t="s">
        <v>57</v>
      </c>
      <c r="C27" s="52" t="s">
        <v>126</v>
      </c>
    </row>
    <row r="28" spans="1:3" ht="31.5">
      <c r="A28" s="49">
        <v>21</v>
      </c>
      <c r="B28" s="50" t="s">
        <v>58</v>
      </c>
      <c r="C28" s="52" t="s">
        <v>142</v>
      </c>
    </row>
    <row r="29" spans="1:3" ht="31.5">
      <c r="A29" s="49">
        <v>22</v>
      </c>
      <c r="B29" s="50" t="s">
        <v>59</v>
      </c>
      <c r="C29" s="52" t="s">
        <v>143</v>
      </c>
    </row>
    <row r="30" spans="1:3" ht="31.5">
      <c r="A30" s="49">
        <v>23</v>
      </c>
      <c r="B30" s="50" t="s">
        <v>60</v>
      </c>
      <c r="C30" s="52" t="s">
        <v>144</v>
      </c>
    </row>
    <row r="31" spans="1:3">
      <c r="A31" s="49">
        <v>24</v>
      </c>
      <c r="B31" s="50" t="s">
        <v>61</v>
      </c>
      <c r="C31" s="52" t="s">
        <v>111</v>
      </c>
    </row>
    <row r="32" spans="1:3" ht="31.5">
      <c r="A32" s="49">
        <v>25</v>
      </c>
      <c r="B32" s="50" t="s">
        <v>62</v>
      </c>
      <c r="C32" s="52" t="s">
        <v>145</v>
      </c>
    </row>
    <row r="33" spans="1:3" ht="31.5">
      <c r="A33" s="49">
        <v>26</v>
      </c>
      <c r="B33" s="50" t="s">
        <v>63</v>
      </c>
      <c r="C33" s="52" t="s">
        <v>111</v>
      </c>
    </row>
    <row r="34" spans="1:3" ht="47.25">
      <c r="A34" s="49">
        <v>27</v>
      </c>
      <c r="B34" s="50" t="s">
        <v>64</v>
      </c>
      <c r="C34" s="52"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17"/>
  <sheetViews>
    <sheetView workbookViewId="0">
      <selection activeCell="B18" sqref="B18"/>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6" t="s">
        <v>0</v>
      </c>
      <c r="B1" s="106"/>
      <c r="C1" s="106"/>
      <c r="D1" s="106"/>
      <c r="E1" s="106"/>
      <c r="F1" s="106"/>
      <c r="G1" s="106"/>
      <c r="H1" s="106"/>
      <c r="I1" s="106"/>
      <c r="J1" s="106"/>
      <c r="K1" s="106"/>
      <c r="L1" s="106"/>
    </row>
    <row r="2" spans="1:12" ht="15.6" customHeight="1">
      <c r="A2" s="106" t="s">
        <v>1</v>
      </c>
      <c r="B2" s="106"/>
      <c r="C2" s="106"/>
      <c r="D2" s="106"/>
      <c r="E2" s="106"/>
      <c r="F2" s="106"/>
      <c r="G2" s="106"/>
      <c r="H2" s="106"/>
      <c r="I2" s="106"/>
      <c r="J2" s="106"/>
      <c r="K2" s="106"/>
      <c r="L2" s="106"/>
    </row>
    <row r="3" spans="1:12" ht="15.6" customHeight="1">
      <c r="A3" s="106" t="s">
        <v>2</v>
      </c>
      <c r="B3" s="106"/>
      <c r="C3" s="106"/>
      <c r="D3" s="106"/>
      <c r="E3" s="106"/>
      <c r="F3" s="106"/>
      <c r="G3" s="106"/>
      <c r="H3" s="106"/>
      <c r="I3" s="106"/>
      <c r="J3" s="106"/>
      <c r="K3" s="106"/>
      <c r="L3" s="106"/>
    </row>
    <row r="4" spans="1:12" ht="15.6" customHeight="1" thickBot="1">
      <c r="A4" s="107"/>
      <c r="B4" s="107"/>
      <c r="C4" s="107"/>
      <c r="D4" s="107"/>
      <c r="E4" s="107"/>
      <c r="F4" s="107"/>
      <c r="G4" s="107"/>
      <c r="H4" s="107"/>
      <c r="I4" s="107"/>
      <c r="J4" s="107"/>
      <c r="K4" s="107"/>
      <c r="L4" s="107"/>
    </row>
    <row r="5" spans="1:12" ht="15.6" customHeight="1">
      <c r="A5" s="108" t="s">
        <v>3</v>
      </c>
      <c r="B5" s="109"/>
      <c r="C5" s="110" t="str">
        <f>'Form II'!C10</f>
        <v>I - 18</v>
      </c>
      <c r="D5" s="111"/>
      <c r="E5" s="116" t="s">
        <v>109</v>
      </c>
      <c r="F5" s="110"/>
      <c r="G5" s="110"/>
      <c r="H5" s="110"/>
      <c r="I5" s="111"/>
      <c r="J5" s="13" t="s">
        <v>4</v>
      </c>
      <c r="K5" s="109"/>
      <c r="L5" s="112"/>
    </row>
    <row r="6" spans="1:12" ht="15.6" customHeight="1">
      <c r="A6" s="113" t="s">
        <v>5</v>
      </c>
      <c r="B6" s="114"/>
      <c r="C6" s="91" t="str">
        <f>'Form 1'!C6</f>
        <v>Bantvala</v>
      </c>
      <c r="D6" s="115"/>
      <c r="E6" s="36" t="s">
        <v>101</v>
      </c>
      <c r="F6" s="35"/>
      <c r="G6" s="91" t="str">
        <f>'Form 1'!C3</f>
        <v>Mangalore</v>
      </c>
      <c r="H6" s="91"/>
      <c r="I6" s="115"/>
      <c r="J6" s="14" t="s">
        <v>6</v>
      </c>
      <c r="K6" s="91" t="str">
        <f>'Form II'!C14</f>
        <v>104 m</v>
      </c>
      <c r="L6" s="92"/>
    </row>
    <row r="7" spans="1:12" ht="15.6" customHeight="1" thickBot="1">
      <c r="A7" s="117" t="s">
        <v>7</v>
      </c>
      <c r="B7" s="118"/>
      <c r="C7" s="93">
        <f>'Form 1'!C10</f>
        <v>12.877393</v>
      </c>
      <c r="D7" s="95"/>
      <c r="E7" s="15" t="s">
        <v>8</v>
      </c>
      <c r="F7" s="12"/>
      <c r="G7" s="93">
        <f>'Form 1'!C11</f>
        <v>75.140051</v>
      </c>
      <c r="H7" s="93"/>
      <c r="I7" s="95"/>
      <c r="J7" s="15" t="s">
        <v>9</v>
      </c>
      <c r="K7" s="93">
        <f>'Form 1'!C9</f>
        <v>4749</v>
      </c>
      <c r="L7" s="94"/>
    </row>
    <row r="8" spans="1:12" ht="15.6" customHeight="1" thickBot="1">
      <c r="A8" s="1"/>
      <c r="B8" s="1"/>
      <c r="C8" s="5"/>
      <c r="D8" s="6"/>
      <c r="E8" s="2"/>
      <c r="F8" s="2"/>
      <c r="G8" s="2"/>
      <c r="H8" s="2"/>
      <c r="I8" s="2"/>
      <c r="J8" s="2"/>
      <c r="K8" s="2"/>
      <c r="L8" s="2"/>
    </row>
    <row r="9" spans="1:12" ht="18.600000000000001" customHeight="1">
      <c r="A9" s="98" t="s">
        <v>10</v>
      </c>
      <c r="B9" s="100" t="s">
        <v>11</v>
      </c>
      <c r="C9" s="101"/>
      <c r="D9" s="84" t="s">
        <v>12</v>
      </c>
      <c r="E9" s="84" t="s">
        <v>13</v>
      </c>
      <c r="F9" s="16" t="s">
        <v>14</v>
      </c>
      <c r="G9" s="84" t="s">
        <v>20</v>
      </c>
      <c r="H9" s="88" t="s">
        <v>15</v>
      </c>
      <c r="I9" s="89"/>
      <c r="J9" s="89"/>
      <c r="K9" s="90"/>
      <c r="L9" s="96" t="s">
        <v>16</v>
      </c>
    </row>
    <row r="10" spans="1:12" ht="57" customHeight="1">
      <c r="A10" s="99"/>
      <c r="B10" s="102"/>
      <c r="C10" s="103"/>
      <c r="D10" s="85"/>
      <c r="E10" s="85"/>
      <c r="F10" s="17" t="s">
        <v>17</v>
      </c>
      <c r="G10" s="85"/>
      <c r="H10" s="86" t="s">
        <v>18</v>
      </c>
      <c r="I10" s="87"/>
      <c r="J10" s="86" t="s">
        <v>19</v>
      </c>
      <c r="K10" s="87"/>
      <c r="L10" s="97"/>
    </row>
    <row r="11" spans="1:12" ht="15.6" customHeight="1">
      <c r="A11" s="10">
        <v>1</v>
      </c>
      <c r="B11" s="80" t="s">
        <v>152</v>
      </c>
      <c r="C11" s="81"/>
      <c r="D11" s="3" t="s">
        <v>146</v>
      </c>
      <c r="E11" s="39">
        <v>95</v>
      </c>
      <c r="F11" s="39"/>
      <c r="G11" s="39">
        <v>14</v>
      </c>
      <c r="H11" s="82"/>
      <c r="I11" s="83"/>
      <c r="J11" s="104"/>
      <c r="K11" s="105"/>
      <c r="L11" s="11"/>
    </row>
    <row r="12" spans="1:12" ht="15.6" customHeight="1">
      <c r="A12" s="10">
        <v>2</v>
      </c>
      <c r="B12" s="80" t="s">
        <v>153</v>
      </c>
      <c r="C12" s="81"/>
      <c r="D12" s="4" t="s">
        <v>147</v>
      </c>
      <c r="E12" s="39">
        <v>126</v>
      </c>
      <c r="F12" s="39"/>
      <c r="G12" s="39">
        <v>15</v>
      </c>
      <c r="H12" s="82"/>
      <c r="I12" s="83"/>
      <c r="J12" s="104"/>
      <c r="K12" s="105"/>
      <c r="L12" s="11"/>
    </row>
    <row r="13" spans="1:12" ht="15.6" customHeight="1">
      <c r="A13" s="10">
        <v>3</v>
      </c>
      <c r="B13" s="80" t="s">
        <v>152</v>
      </c>
      <c r="C13" s="81"/>
      <c r="D13" s="3" t="s">
        <v>146</v>
      </c>
      <c r="E13" s="39">
        <v>94</v>
      </c>
      <c r="F13" s="39"/>
      <c r="G13" s="39">
        <v>14</v>
      </c>
      <c r="H13" s="82"/>
      <c r="I13" s="83"/>
      <c r="J13" s="104"/>
      <c r="K13" s="105"/>
      <c r="L13" s="11"/>
    </row>
    <row r="14" spans="1:12" ht="15.6" customHeight="1">
      <c r="A14" s="10">
        <v>4</v>
      </c>
      <c r="B14" s="80" t="s">
        <v>154</v>
      </c>
      <c r="C14" s="81"/>
      <c r="D14" s="3" t="s">
        <v>148</v>
      </c>
      <c r="E14" s="39">
        <v>108</v>
      </c>
      <c r="F14" s="39"/>
      <c r="G14" s="39">
        <v>15</v>
      </c>
      <c r="H14" s="82"/>
      <c r="I14" s="83"/>
      <c r="J14" s="104"/>
      <c r="K14" s="105"/>
      <c r="L14" s="11"/>
    </row>
    <row r="15" spans="1:12" ht="15.6" customHeight="1">
      <c r="A15" s="10">
        <v>5</v>
      </c>
      <c r="B15" s="80" t="s">
        <v>155</v>
      </c>
      <c r="C15" s="81"/>
      <c r="D15" s="7" t="s">
        <v>149</v>
      </c>
      <c r="E15" s="40">
        <v>47</v>
      </c>
      <c r="F15" s="39"/>
      <c r="G15" s="39">
        <v>7</v>
      </c>
      <c r="H15" s="82"/>
      <c r="I15" s="83"/>
      <c r="J15" s="104"/>
      <c r="K15" s="105"/>
      <c r="L15" s="11"/>
    </row>
    <row r="16" spans="1:12" ht="15.6" customHeight="1">
      <c r="A16" s="10">
        <v>6</v>
      </c>
      <c r="B16" s="80" t="s">
        <v>156</v>
      </c>
      <c r="C16" s="81"/>
      <c r="D16" s="4" t="s">
        <v>150</v>
      </c>
      <c r="E16" s="39">
        <v>36</v>
      </c>
      <c r="F16" s="40"/>
      <c r="G16" s="40">
        <v>5</v>
      </c>
      <c r="H16" s="119"/>
      <c r="I16" s="120"/>
      <c r="J16" s="104"/>
      <c r="K16" s="105"/>
      <c r="L16" s="11"/>
    </row>
    <row r="17" spans="1:12" ht="15.6" customHeight="1">
      <c r="A17" s="10">
        <v>7</v>
      </c>
      <c r="B17" s="80" t="s">
        <v>157</v>
      </c>
      <c r="C17" s="81"/>
      <c r="D17" s="7" t="s">
        <v>151</v>
      </c>
      <c r="E17" s="39">
        <v>30</v>
      </c>
      <c r="F17" s="40"/>
      <c r="G17" s="40">
        <v>5</v>
      </c>
      <c r="H17" s="119"/>
      <c r="I17" s="120"/>
      <c r="J17" s="104"/>
      <c r="K17" s="105"/>
      <c r="L17" s="11"/>
    </row>
  </sheetData>
  <mergeCells count="46">
    <mergeCell ref="J15:K15"/>
    <mergeCell ref="H14:I14"/>
    <mergeCell ref="H15:I15"/>
    <mergeCell ref="J16:K16"/>
    <mergeCell ref="J17:K17"/>
    <mergeCell ref="H16:I16"/>
    <mergeCell ref="H17:I17"/>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7"/>
  <sheetViews>
    <sheetView workbookViewId="0">
      <selection activeCell="C21" sqref="C21"/>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7" t="s">
        <v>65</v>
      </c>
      <c r="B1" s="127"/>
      <c r="C1" s="127"/>
      <c r="D1" s="127"/>
      <c r="E1" s="127"/>
      <c r="F1" s="127"/>
      <c r="G1" s="127"/>
      <c r="H1" s="127"/>
      <c r="I1" s="127"/>
      <c r="J1" s="127"/>
      <c r="K1" s="127"/>
      <c r="L1" s="127"/>
      <c r="M1" s="127"/>
      <c r="N1" s="127"/>
      <c r="O1" s="127"/>
      <c r="P1" s="127"/>
      <c r="Q1" s="127"/>
    </row>
    <row r="2" spans="1:17" ht="21">
      <c r="A2" s="127" t="s">
        <v>66</v>
      </c>
      <c r="B2" s="127"/>
      <c r="C2" s="127"/>
      <c r="D2" s="127"/>
      <c r="E2" s="127"/>
      <c r="F2" s="127"/>
      <c r="G2" s="127"/>
      <c r="H2" s="127"/>
      <c r="I2" s="127"/>
      <c r="J2" s="127"/>
      <c r="K2" s="127"/>
      <c r="L2" s="127"/>
      <c r="M2" s="127"/>
      <c r="N2" s="127"/>
      <c r="O2" s="127"/>
      <c r="P2" s="127"/>
      <c r="Q2" s="127"/>
    </row>
    <row r="3" spans="1:17">
      <c r="A3" s="19"/>
    </row>
    <row r="4" spans="1:17" ht="15.75" thickBot="1">
      <c r="A4" s="19"/>
    </row>
    <row r="5" spans="1:17" ht="16.5" thickBot="1">
      <c r="A5" s="121" t="s">
        <v>10</v>
      </c>
      <c r="B5" s="121" t="s">
        <v>11</v>
      </c>
      <c r="C5" s="121" t="s">
        <v>12</v>
      </c>
      <c r="D5" s="121" t="s">
        <v>67</v>
      </c>
      <c r="E5" s="129" t="s">
        <v>68</v>
      </c>
      <c r="F5" s="130"/>
      <c r="G5" s="130"/>
      <c r="H5" s="130"/>
      <c r="I5" s="130"/>
      <c r="J5" s="130"/>
      <c r="K5" s="130"/>
      <c r="L5" s="130"/>
      <c r="M5" s="131"/>
      <c r="N5" s="121" t="s">
        <v>69</v>
      </c>
      <c r="O5" s="129" t="s">
        <v>70</v>
      </c>
      <c r="P5" s="131"/>
      <c r="Q5" s="121" t="s">
        <v>71</v>
      </c>
    </row>
    <row r="6" spans="1:17" ht="15.75">
      <c r="A6" s="122"/>
      <c r="B6" s="122"/>
      <c r="C6" s="122"/>
      <c r="D6" s="122"/>
      <c r="E6" s="132" t="s">
        <v>72</v>
      </c>
      <c r="F6" s="133"/>
      <c r="G6" s="134"/>
      <c r="H6" s="132" t="s">
        <v>73</v>
      </c>
      <c r="I6" s="133"/>
      <c r="J6" s="134"/>
      <c r="K6" s="132" t="s">
        <v>74</v>
      </c>
      <c r="L6" s="133"/>
      <c r="M6" s="134"/>
      <c r="N6" s="122"/>
      <c r="O6" s="121" t="s">
        <v>75</v>
      </c>
      <c r="P6" s="121" t="s">
        <v>76</v>
      </c>
      <c r="Q6" s="122"/>
    </row>
    <row r="7" spans="1:17" ht="16.5" thickBot="1">
      <c r="A7" s="122"/>
      <c r="B7" s="122"/>
      <c r="C7" s="128"/>
      <c r="D7" s="122"/>
      <c r="E7" s="124" t="s">
        <v>77</v>
      </c>
      <c r="F7" s="125"/>
      <c r="G7" s="126"/>
      <c r="H7" s="124" t="s">
        <v>78</v>
      </c>
      <c r="I7" s="125"/>
      <c r="J7" s="126"/>
      <c r="K7" s="124" t="s">
        <v>77</v>
      </c>
      <c r="L7" s="125"/>
      <c r="M7" s="126"/>
      <c r="N7" s="122"/>
      <c r="O7" s="122"/>
      <c r="P7" s="122"/>
      <c r="Q7" s="122"/>
    </row>
    <row r="8" spans="1:17" ht="16.5" thickBot="1">
      <c r="A8" s="123"/>
      <c r="B8" s="123"/>
      <c r="C8" s="123"/>
      <c r="D8" s="123"/>
      <c r="E8" s="20" t="s">
        <v>79</v>
      </c>
      <c r="F8" s="20" t="s">
        <v>80</v>
      </c>
      <c r="G8" s="20" t="s">
        <v>81</v>
      </c>
      <c r="H8" s="20" t="s">
        <v>79</v>
      </c>
      <c r="I8" s="20" t="s">
        <v>80</v>
      </c>
      <c r="J8" s="20" t="s">
        <v>81</v>
      </c>
      <c r="K8" s="20" t="s">
        <v>79</v>
      </c>
      <c r="L8" s="20" t="s">
        <v>80</v>
      </c>
      <c r="M8" s="20" t="s">
        <v>81</v>
      </c>
      <c r="N8" s="123"/>
      <c r="O8" s="123"/>
      <c r="P8" s="123"/>
      <c r="Q8" s="123"/>
    </row>
    <row r="9" spans="1:17" ht="21.75" customHeight="1">
      <c r="A9" s="59">
        <v>1</v>
      </c>
      <c r="B9" s="31" t="s">
        <v>158</v>
      </c>
      <c r="C9" s="60" t="s">
        <v>159</v>
      </c>
      <c r="D9" s="60">
        <v>54</v>
      </c>
      <c r="E9" s="61"/>
      <c r="F9" s="62">
        <v>3</v>
      </c>
      <c r="G9" s="60"/>
      <c r="H9" s="62">
        <v>2</v>
      </c>
      <c r="I9" s="60"/>
      <c r="J9" s="62"/>
      <c r="K9" s="60">
        <v>2</v>
      </c>
      <c r="L9" s="62"/>
      <c r="M9" s="60"/>
      <c r="N9" s="63"/>
      <c r="O9" s="64"/>
      <c r="P9" s="63"/>
      <c r="Q9" s="65"/>
    </row>
    <row r="10" spans="1:17" ht="20.25" customHeight="1">
      <c r="A10" s="59">
        <v>3</v>
      </c>
      <c r="B10" s="31" t="s">
        <v>158</v>
      </c>
      <c r="C10" s="60" t="s">
        <v>159</v>
      </c>
      <c r="D10" s="60">
        <v>48</v>
      </c>
      <c r="E10" s="61"/>
      <c r="F10" s="62">
        <v>3</v>
      </c>
      <c r="G10" s="60"/>
      <c r="H10" s="62">
        <v>2</v>
      </c>
      <c r="I10" s="60"/>
      <c r="J10" s="62"/>
      <c r="K10" s="60">
        <v>3</v>
      </c>
      <c r="L10" s="62"/>
      <c r="M10" s="60"/>
      <c r="N10" s="63"/>
      <c r="O10" s="64"/>
      <c r="P10" s="63"/>
      <c r="Q10" s="65"/>
    </row>
    <row r="11" spans="1:17" ht="20.25" customHeight="1">
      <c r="A11" s="59">
        <v>3</v>
      </c>
      <c r="B11" s="31" t="s">
        <v>158</v>
      </c>
      <c r="C11" s="60" t="s">
        <v>159</v>
      </c>
      <c r="D11" s="60">
        <v>32</v>
      </c>
      <c r="E11" s="61"/>
      <c r="F11" s="62">
        <v>2</v>
      </c>
      <c r="G11" s="60"/>
      <c r="H11" s="62">
        <v>3</v>
      </c>
      <c r="I11" s="60"/>
      <c r="J11" s="62"/>
      <c r="K11" s="60">
        <v>4</v>
      </c>
      <c r="L11" s="62"/>
      <c r="M11" s="60"/>
      <c r="N11" s="63"/>
      <c r="O11" s="64"/>
      <c r="P11" s="63"/>
      <c r="Q11" s="65"/>
    </row>
    <row r="12" spans="1:17" ht="20.25" customHeight="1">
      <c r="A12" s="59">
        <v>4</v>
      </c>
      <c r="B12" s="31" t="s">
        <v>158</v>
      </c>
      <c r="C12" s="60" t="s">
        <v>159</v>
      </c>
      <c r="D12" s="60">
        <v>26</v>
      </c>
      <c r="E12" s="61"/>
      <c r="F12" s="62">
        <v>3</v>
      </c>
      <c r="G12" s="60"/>
      <c r="H12" s="62"/>
      <c r="I12" s="60"/>
      <c r="J12" s="62"/>
      <c r="K12" s="60"/>
      <c r="L12" s="62"/>
      <c r="M12" s="60"/>
      <c r="N12" s="63"/>
      <c r="O12" s="64"/>
      <c r="P12" s="63"/>
      <c r="Q12" s="65"/>
    </row>
    <row r="13" spans="1:17" ht="20.25" customHeight="1">
      <c r="A13" s="74">
        <v>5</v>
      </c>
      <c r="B13" s="31" t="s">
        <v>158</v>
      </c>
      <c r="C13" s="60" t="s">
        <v>159</v>
      </c>
      <c r="D13" s="60">
        <v>18</v>
      </c>
      <c r="E13" s="61"/>
      <c r="F13" s="62">
        <v>2</v>
      </c>
      <c r="G13" s="60"/>
      <c r="H13" s="62">
        <v>2</v>
      </c>
      <c r="I13" s="60"/>
      <c r="J13" s="62"/>
      <c r="K13" s="60">
        <v>1</v>
      </c>
      <c r="L13" s="62"/>
      <c r="M13" s="60"/>
      <c r="N13" s="63"/>
      <c r="O13" s="64"/>
      <c r="P13" s="63"/>
      <c r="Q13" s="65"/>
    </row>
    <row r="14" spans="1:17" ht="20.25" customHeight="1">
      <c r="A14" s="74">
        <v>6</v>
      </c>
      <c r="B14" s="31" t="s">
        <v>158</v>
      </c>
      <c r="C14" s="60" t="s">
        <v>159</v>
      </c>
      <c r="D14" s="60">
        <v>30</v>
      </c>
      <c r="E14" s="61"/>
      <c r="F14" s="62">
        <v>4</v>
      </c>
      <c r="G14" s="60"/>
      <c r="H14" s="62">
        <v>3</v>
      </c>
      <c r="I14" s="60"/>
      <c r="J14" s="62"/>
      <c r="K14" s="60">
        <v>1</v>
      </c>
      <c r="L14" s="62"/>
      <c r="M14" s="60"/>
      <c r="N14" s="63"/>
      <c r="O14" s="64"/>
      <c r="P14" s="63"/>
      <c r="Q14" s="65"/>
    </row>
    <row r="15" spans="1:17" ht="20.25" customHeight="1">
      <c r="A15" s="74">
        <v>7</v>
      </c>
      <c r="B15" s="31" t="s">
        <v>158</v>
      </c>
      <c r="C15" s="60" t="s">
        <v>159</v>
      </c>
      <c r="D15" s="60">
        <v>41</v>
      </c>
      <c r="E15" s="61"/>
      <c r="F15" s="62">
        <v>2</v>
      </c>
      <c r="G15" s="60"/>
      <c r="H15" s="62">
        <v>2</v>
      </c>
      <c r="I15" s="60"/>
      <c r="J15" s="62"/>
      <c r="K15" s="60">
        <v>2</v>
      </c>
      <c r="L15" s="62"/>
      <c r="M15" s="60"/>
      <c r="N15" s="63"/>
      <c r="O15" s="64"/>
      <c r="P15" s="63"/>
      <c r="Q15" s="65"/>
    </row>
    <row r="16" spans="1:17" ht="20.25" customHeight="1">
      <c r="A16" s="74">
        <v>8</v>
      </c>
      <c r="B16" s="31" t="s">
        <v>158</v>
      </c>
      <c r="C16" s="60" t="s">
        <v>159</v>
      </c>
      <c r="D16" s="60">
        <v>32</v>
      </c>
      <c r="E16" s="61"/>
      <c r="F16" s="62">
        <v>3</v>
      </c>
      <c r="G16" s="60"/>
      <c r="H16" s="62">
        <v>3</v>
      </c>
      <c r="I16" s="60"/>
      <c r="J16" s="62"/>
      <c r="K16" s="60">
        <v>2</v>
      </c>
      <c r="L16" s="62"/>
      <c r="M16" s="60"/>
      <c r="N16" s="63"/>
      <c r="O16" s="64"/>
      <c r="P16" s="63"/>
      <c r="Q16" s="65"/>
    </row>
    <row r="17" spans="1:17" ht="20.25" customHeight="1">
      <c r="A17" s="74">
        <v>9</v>
      </c>
      <c r="B17" s="31" t="s">
        <v>158</v>
      </c>
      <c r="C17" s="60" t="s">
        <v>159</v>
      </c>
      <c r="D17" s="60">
        <v>24</v>
      </c>
      <c r="E17" s="61"/>
      <c r="F17" s="62">
        <v>4</v>
      </c>
      <c r="G17" s="60"/>
      <c r="H17" s="62">
        <v>2</v>
      </c>
      <c r="I17" s="60"/>
      <c r="J17" s="62"/>
      <c r="K17" s="60">
        <v>2</v>
      </c>
      <c r="L17" s="62"/>
      <c r="M17" s="60"/>
      <c r="N17" s="63"/>
      <c r="O17" s="64"/>
      <c r="P17" s="63"/>
      <c r="Q17" s="65"/>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topLeftCell="A13" workbookViewId="0">
      <selection activeCell="B24" sqref="B2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7" t="s">
        <v>82</v>
      </c>
      <c r="B1" s="127"/>
      <c r="C1" s="127"/>
      <c r="D1" s="127"/>
      <c r="E1" s="127"/>
      <c r="F1" s="127"/>
      <c r="G1" s="127"/>
      <c r="H1" s="127"/>
      <c r="I1" s="127"/>
    </row>
    <row r="2" spans="1:9">
      <c r="A2" s="135"/>
      <c r="B2" s="135"/>
      <c r="H2" t="s">
        <v>83</v>
      </c>
      <c r="I2" s="9">
        <f>'Form 1'!C9</f>
        <v>4749</v>
      </c>
    </row>
    <row r="3" spans="1:9" ht="24" customHeight="1">
      <c r="A3" s="136" t="s">
        <v>10</v>
      </c>
      <c r="B3" s="136" t="s">
        <v>11</v>
      </c>
      <c r="C3" s="136" t="s">
        <v>12</v>
      </c>
      <c r="D3" s="136" t="s">
        <v>84</v>
      </c>
      <c r="E3" s="136" t="s">
        <v>108</v>
      </c>
      <c r="F3" s="136" t="s">
        <v>85</v>
      </c>
      <c r="G3" s="86" t="s">
        <v>15</v>
      </c>
      <c r="H3" s="87"/>
      <c r="I3" s="136" t="s">
        <v>86</v>
      </c>
    </row>
    <row r="4" spans="1:9" ht="63">
      <c r="A4" s="137"/>
      <c r="B4" s="137"/>
      <c r="C4" s="137"/>
      <c r="D4" s="137"/>
      <c r="E4" s="137"/>
      <c r="F4" s="137"/>
      <c r="G4" s="18" t="s">
        <v>87</v>
      </c>
      <c r="H4" s="18" t="s">
        <v>19</v>
      </c>
      <c r="I4" s="137"/>
    </row>
    <row r="5" spans="1:9" ht="15.75">
      <c r="A5" s="27">
        <v>1</v>
      </c>
      <c r="B5" s="31" t="s">
        <v>156</v>
      </c>
      <c r="C5" s="70" t="s">
        <v>150</v>
      </c>
      <c r="D5" s="69"/>
      <c r="E5" s="69">
        <v>29.2</v>
      </c>
      <c r="F5" s="69">
        <v>2</v>
      </c>
      <c r="G5" s="66"/>
      <c r="H5" s="66"/>
      <c r="I5" s="67"/>
    </row>
    <row r="6" spans="1:9" ht="15.75">
      <c r="A6" s="27">
        <v>2</v>
      </c>
      <c r="B6" s="31" t="s">
        <v>158</v>
      </c>
      <c r="C6" s="70" t="s">
        <v>159</v>
      </c>
      <c r="D6" s="69"/>
      <c r="E6" s="69">
        <v>23.2</v>
      </c>
      <c r="F6" s="69">
        <v>2</v>
      </c>
      <c r="G6" s="66"/>
      <c r="H6" s="66"/>
      <c r="I6" s="67"/>
    </row>
    <row r="7" spans="1:9" ht="15.75">
      <c r="A7" s="27">
        <v>3</v>
      </c>
      <c r="B7" s="31" t="s">
        <v>158</v>
      </c>
      <c r="C7" s="70" t="s">
        <v>159</v>
      </c>
      <c r="D7" s="69"/>
      <c r="E7" s="69">
        <v>20.399999999999999</v>
      </c>
      <c r="F7" s="69">
        <v>2</v>
      </c>
      <c r="G7" s="66"/>
      <c r="H7" s="66"/>
      <c r="I7" s="67"/>
    </row>
    <row r="8" spans="1:9" ht="15.75">
      <c r="A8" s="27">
        <v>4</v>
      </c>
      <c r="B8" s="31" t="s">
        <v>158</v>
      </c>
      <c r="C8" s="70" t="s">
        <v>159</v>
      </c>
      <c r="D8" s="69"/>
      <c r="E8" s="69">
        <v>25.2</v>
      </c>
      <c r="F8" s="69">
        <v>1</v>
      </c>
      <c r="G8" s="66"/>
      <c r="H8" s="66"/>
      <c r="I8" s="67"/>
    </row>
    <row r="9" spans="1:9" ht="15.75">
      <c r="A9" s="23"/>
      <c r="B9" s="24"/>
      <c r="C9" s="25"/>
      <c r="D9" s="26"/>
      <c r="E9" s="26"/>
      <c r="F9" s="26"/>
      <c r="G9" s="23"/>
      <c r="H9" s="23"/>
      <c r="I9" s="23"/>
    </row>
    <row r="10" spans="1:9" ht="21">
      <c r="A10" s="127" t="s">
        <v>88</v>
      </c>
      <c r="B10" s="127"/>
      <c r="C10" s="127"/>
      <c r="D10" s="127"/>
      <c r="E10" s="127"/>
      <c r="F10" s="127"/>
      <c r="G10" s="127"/>
      <c r="H10" s="127"/>
      <c r="I10" s="127"/>
    </row>
    <row r="11" spans="1:9" ht="15.75">
      <c r="A11" s="138"/>
      <c r="B11" s="138"/>
      <c r="H11" t="s">
        <v>83</v>
      </c>
      <c r="I11" s="9">
        <f>'Form 1'!C9</f>
        <v>4749</v>
      </c>
    </row>
    <row r="12" spans="1:9" ht="15.75" customHeight="1">
      <c r="A12" s="85" t="s">
        <v>10</v>
      </c>
      <c r="B12" s="85" t="s">
        <v>11</v>
      </c>
      <c r="C12" s="85" t="s">
        <v>12</v>
      </c>
      <c r="D12" s="85" t="s">
        <v>84</v>
      </c>
      <c r="E12" s="136" t="s">
        <v>108</v>
      </c>
      <c r="F12" s="85" t="s">
        <v>85</v>
      </c>
      <c r="G12" s="85" t="s">
        <v>15</v>
      </c>
      <c r="H12" s="85"/>
      <c r="I12" s="136" t="s">
        <v>86</v>
      </c>
    </row>
    <row r="13" spans="1:9" ht="63">
      <c r="A13" s="85"/>
      <c r="B13" s="85"/>
      <c r="C13" s="85"/>
      <c r="D13" s="85"/>
      <c r="E13" s="137"/>
      <c r="F13" s="85"/>
      <c r="G13" s="18" t="s">
        <v>87</v>
      </c>
      <c r="H13" s="18" t="s">
        <v>19</v>
      </c>
      <c r="I13" s="137"/>
    </row>
    <row r="14" spans="1:9" ht="15.75">
      <c r="A14" s="21">
        <v>1</v>
      </c>
      <c r="B14" s="31" t="s">
        <v>156</v>
      </c>
      <c r="C14" s="3" t="s">
        <v>150</v>
      </c>
      <c r="D14" s="39"/>
      <c r="E14" s="69">
        <v>23.2</v>
      </c>
      <c r="F14" s="39">
        <v>2</v>
      </c>
      <c r="G14" s="21"/>
      <c r="H14" s="21"/>
      <c r="I14" s="27"/>
    </row>
    <row r="15" spans="1:9" ht="15.75">
      <c r="A15" s="21">
        <v>2</v>
      </c>
      <c r="B15" s="22" t="s">
        <v>155</v>
      </c>
      <c r="C15" s="3" t="s">
        <v>149</v>
      </c>
      <c r="D15" s="39"/>
      <c r="E15" s="69">
        <v>36.4</v>
      </c>
      <c r="F15" s="39">
        <v>3</v>
      </c>
      <c r="G15" s="21"/>
      <c r="H15" s="21"/>
      <c r="I15" s="27"/>
    </row>
    <row r="16" spans="1:9" ht="15.75">
      <c r="A16" s="21">
        <v>3</v>
      </c>
      <c r="B16" s="31" t="s">
        <v>156</v>
      </c>
      <c r="C16" s="3" t="s">
        <v>150</v>
      </c>
      <c r="D16" s="39"/>
      <c r="E16" s="69">
        <v>32.1</v>
      </c>
      <c r="F16" s="39">
        <v>2</v>
      </c>
      <c r="G16" s="21"/>
      <c r="H16" s="21"/>
      <c r="I16" s="27"/>
    </row>
    <row r="17" spans="1:9" ht="15.75">
      <c r="A17" s="21">
        <v>4</v>
      </c>
      <c r="B17" s="22" t="s">
        <v>182</v>
      </c>
      <c r="C17" s="3" t="s">
        <v>165</v>
      </c>
      <c r="D17" s="39"/>
      <c r="E17" s="69">
        <v>36.700000000000003</v>
      </c>
      <c r="F17" s="39" t="s">
        <v>166</v>
      </c>
      <c r="G17" s="21"/>
      <c r="H17" s="21"/>
      <c r="I17" s="27"/>
    </row>
    <row r="18" spans="1:9">
      <c r="E18" s="9"/>
    </row>
    <row r="19" spans="1:9" ht="21">
      <c r="A19" s="127" t="s">
        <v>89</v>
      </c>
      <c r="B19" s="127"/>
      <c r="C19" s="127"/>
      <c r="D19" s="127"/>
      <c r="E19" s="127"/>
      <c r="F19" s="127"/>
      <c r="G19" s="127"/>
      <c r="H19" s="127"/>
      <c r="I19" s="127"/>
    </row>
    <row r="20" spans="1:9" ht="15.75">
      <c r="A20" s="138"/>
      <c r="B20" s="138"/>
      <c r="H20" s="9" t="s">
        <v>83</v>
      </c>
      <c r="I20" s="9">
        <f>'Form 1'!C9</f>
        <v>4749</v>
      </c>
    </row>
    <row r="21" spans="1:9" ht="15.75" customHeight="1">
      <c r="A21" s="85" t="s">
        <v>10</v>
      </c>
      <c r="B21" s="85" t="s">
        <v>11</v>
      </c>
      <c r="C21" s="85" t="s">
        <v>12</v>
      </c>
      <c r="D21" s="85" t="s">
        <v>84</v>
      </c>
      <c r="E21" s="136" t="s">
        <v>108</v>
      </c>
      <c r="F21" s="85" t="s">
        <v>85</v>
      </c>
      <c r="G21" s="85" t="s">
        <v>15</v>
      </c>
      <c r="H21" s="85"/>
      <c r="I21" s="136" t="s">
        <v>86</v>
      </c>
    </row>
    <row r="22" spans="1:9" ht="63">
      <c r="A22" s="85"/>
      <c r="B22" s="85"/>
      <c r="C22" s="85"/>
      <c r="D22" s="85"/>
      <c r="E22" s="137"/>
      <c r="F22" s="85"/>
      <c r="G22" s="18" t="s">
        <v>87</v>
      </c>
      <c r="H22" s="18" t="s">
        <v>19</v>
      </c>
      <c r="I22" s="137"/>
    </row>
    <row r="23" spans="1:9" ht="15.75">
      <c r="A23" s="21">
        <v>1</v>
      </c>
      <c r="B23" s="31" t="s">
        <v>181</v>
      </c>
      <c r="C23" s="3" t="s">
        <v>167</v>
      </c>
      <c r="D23" s="66"/>
      <c r="E23" s="69">
        <v>32.200000000000003</v>
      </c>
      <c r="F23" s="39">
        <v>2</v>
      </c>
      <c r="G23" s="66"/>
      <c r="H23" s="66"/>
      <c r="I23" s="67"/>
    </row>
    <row r="24" spans="1:9" ht="15.75">
      <c r="A24" s="21">
        <v>2</v>
      </c>
      <c r="B24" s="31" t="s">
        <v>183</v>
      </c>
      <c r="C24" s="3" t="s">
        <v>168</v>
      </c>
      <c r="D24" s="66"/>
      <c r="E24" s="69">
        <v>30.2</v>
      </c>
      <c r="F24" s="39">
        <v>1</v>
      </c>
      <c r="G24" s="66"/>
      <c r="H24" s="66"/>
      <c r="I24" s="67"/>
    </row>
    <row r="25" spans="1:9" ht="15.75">
      <c r="A25" s="21">
        <v>3</v>
      </c>
      <c r="B25" s="31" t="s">
        <v>156</v>
      </c>
      <c r="C25" s="3" t="s">
        <v>150</v>
      </c>
      <c r="D25" s="66"/>
      <c r="E25" s="69">
        <v>25.2</v>
      </c>
      <c r="F25" s="39">
        <v>1</v>
      </c>
      <c r="G25" s="66"/>
      <c r="H25" s="66"/>
      <c r="I25" s="67"/>
    </row>
    <row r="26" spans="1:9" ht="15.75">
      <c r="A26" s="21">
        <v>4</v>
      </c>
      <c r="B26" s="31" t="s">
        <v>156</v>
      </c>
      <c r="C26" s="3" t="s">
        <v>150</v>
      </c>
      <c r="D26" s="66"/>
      <c r="E26" s="69">
        <v>39.200000000000003</v>
      </c>
      <c r="F26" s="39">
        <v>2</v>
      </c>
      <c r="G26" s="66"/>
      <c r="H26" s="66"/>
      <c r="I26" s="67"/>
    </row>
    <row r="27" spans="1:9" ht="15.75">
      <c r="D27" s="26"/>
      <c r="F27" s="28"/>
    </row>
    <row r="28" spans="1:9" ht="21">
      <c r="A28" s="127" t="s">
        <v>90</v>
      </c>
      <c r="B28" s="127"/>
      <c r="C28" s="127"/>
      <c r="D28" s="127"/>
      <c r="E28" s="127"/>
      <c r="F28" s="127"/>
      <c r="G28" s="127"/>
      <c r="H28" s="127"/>
      <c r="I28" s="127"/>
    </row>
    <row r="29" spans="1:9">
      <c r="A29" s="139"/>
      <c r="B29" s="139"/>
      <c r="H29" t="s">
        <v>83</v>
      </c>
      <c r="I29" s="9">
        <f>'Form 1'!C9</f>
        <v>4749</v>
      </c>
    </row>
    <row r="30" spans="1:9" ht="15.75" customHeight="1">
      <c r="A30" s="85" t="s">
        <v>10</v>
      </c>
      <c r="B30" s="85" t="s">
        <v>11</v>
      </c>
      <c r="C30" s="85" t="s">
        <v>12</v>
      </c>
      <c r="D30" s="85" t="s">
        <v>84</v>
      </c>
      <c r="E30" s="136" t="s">
        <v>108</v>
      </c>
      <c r="F30" s="85" t="s">
        <v>85</v>
      </c>
      <c r="G30" s="85" t="s">
        <v>15</v>
      </c>
      <c r="H30" s="85"/>
      <c r="I30" s="85" t="s">
        <v>86</v>
      </c>
    </row>
    <row r="31" spans="1:9" ht="63">
      <c r="A31" s="85"/>
      <c r="B31" s="85"/>
      <c r="C31" s="85"/>
      <c r="D31" s="85"/>
      <c r="E31" s="137"/>
      <c r="F31" s="85"/>
      <c r="G31" s="37" t="s">
        <v>87</v>
      </c>
      <c r="H31" s="37" t="s">
        <v>19</v>
      </c>
      <c r="I31" s="85"/>
    </row>
    <row r="32" spans="1:9" ht="15.75">
      <c r="A32" s="21">
        <v>1</v>
      </c>
      <c r="B32" s="31" t="s">
        <v>176</v>
      </c>
      <c r="C32" s="3" t="s">
        <v>169</v>
      </c>
      <c r="D32" s="66"/>
      <c r="E32" s="69">
        <v>20.100000000000001</v>
      </c>
      <c r="F32" s="39">
        <v>1</v>
      </c>
      <c r="G32" s="66"/>
      <c r="H32" s="66"/>
      <c r="I32" s="66"/>
    </row>
    <row r="33" spans="1:9" ht="15.75">
      <c r="A33" s="21">
        <v>2</v>
      </c>
      <c r="B33" s="31" t="s">
        <v>179</v>
      </c>
      <c r="C33" s="3" t="s">
        <v>170</v>
      </c>
      <c r="D33" s="66"/>
      <c r="E33" s="69">
        <v>23.2</v>
      </c>
      <c r="F33" s="39">
        <v>1</v>
      </c>
      <c r="G33" s="66"/>
      <c r="H33" s="66"/>
      <c r="I33" s="66"/>
    </row>
    <row r="34" spans="1:9" ht="15.75">
      <c r="A34" s="21">
        <v>3</v>
      </c>
      <c r="B34" s="31" t="s">
        <v>180</v>
      </c>
      <c r="C34" s="3" t="s">
        <v>171</v>
      </c>
      <c r="D34" s="66"/>
      <c r="E34" s="69">
        <v>36.78</v>
      </c>
      <c r="F34" s="39">
        <v>2</v>
      </c>
      <c r="G34" s="66"/>
      <c r="H34" s="66"/>
      <c r="I34" s="66"/>
    </row>
    <row r="35" spans="1:9" ht="15.75">
      <c r="A35" s="21">
        <v>4</v>
      </c>
      <c r="B35" s="31" t="s">
        <v>156</v>
      </c>
      <c r="C35" s="3" t="s">
        <v>150</v>
      </c>
      <c r="D35" s="66"/>
      <c r="E35" s="69">
        <v>29.4</v>
      </c>
      <c r="F35" s="39">
        <v>2</v>
      </c>
      <c r="G35" s="66"/>
      <c r="H35" s="66"/>
      <c r="I35" s="66"/>
    </row>
    <row r="36" spans="1:9" ht="15.75">
      <c r="A36" s="21">
        <v>5</v>
      </c>
      <c r="B36" s="31" t="s">
        <v>156</v>
      </c>
      <c r="C36" s="3" t="s">
        <v>150</v>
      </c>
      <c r="D36" s="66"/>
      <c r="E36" s="69">
        <v>20.100000000000001</v>
      </c>
      <c r="F36" s="39">
        <v>1</v>
      </c>
      <c r="G36" s="66"/>
      <c r="H36" s="66"/>
      <c r="I36" s="66"/>
    </row>
  </sheetData>
  <mergeCells count="40">
    <mergeCell ref="A28:I28"/>
    <mergeCell ref="A29:B29"/>
    <mergeCell ref="A30:A31"/>
    <mergeCell ref="B30:B31"/>
    <mergeCell ref="C30:C31"/>
    <mergeCell ref="D30:D31"/>
    <mergeCell ref="E30:E31"/>
    <mergeCell ref="F30:F31"/>
    <mergeCell ref="G30:H30"/>
    <mergeCell ref="I30:I31"/>
    <mergeCell ref="A19:I19"/>
    <mergeCell ref="A20:B20"/>
    <mergeCell ref="A21:A22"/>
    <mergeCell ref="B21:B22"/>
    <mergeCell ref="C21:C22"/>
    <mergeCell ref="D21:D22"/>
    <mergeCell ref="E21:E22"/>
    <mergeCell ref="F21:F22"/>
    <mergeCell ref="G21:H21"/>
    <mergeCell ref="I21:I22"/>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5"/>
  <sheetViews>
    <sheetView workbookViewId="0">
      <selection activeCell="B36" sqref="B36"/>
    </sheetView>
  </sheetViews>
  <sheetFormatPr defaultRowHeight="15"/>
  <cols>
    <col min="1" max="1" width="5.140625" customWidth="1"/>
    <col min="2" max="2" width="26.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9">
        <f>'Form 1'!C9</f>
        <v>4749</v>
      </c>
    </row>
    <row r="3" spans="1:7" ht="15.75">
      <c r="A3" s="85" t="s">
        <v>10</v>
      </c>
      <c r="B3" s="85" t="s">
        <v>11</v>
      </c>
      <c r="C3" s="85" t="s">
        <v>12</v>
      </c>
      <c r="D3" s="85" t="s">
        <v>92</v>
      </c>
      <c r="E3" s="85" t="s">
        <v>15</v>
      </c>
      <c r="F3" s="85"/>
      <c r="G3" s="85" t="s">
        <v>93</v>
      </c>
    </row>
    <row r="4" spans="1:7" ht="31.5">
      <c r="A4" s="85"/>
      <c r="B4" s="85"/>
      <c r="C4" s="85"/>
      <c r="D4" s="85"/>
      <c r="E4" s="29" t="s">
        <v>94</v>
      </c>
      <c r="F4" s="29" t="s">
        <v>95</v>
      </c>
      <c r="G4" s="85"/>
    </row>
    <row r="5" spans="1:7" ht="15.75">
      <c r="A5" s="85"/>
      <c r="B5" s="85"/>
      <c r="C5" s="85"/>
      <c r="D5" s="85"/>
      <c r="E5" s="30" t="s">
        <v>96</v>
      </c>
      <c r="F5" s="30" t="s">
        <v>97</v>
      </c>
      <c r="G5" s="85"/>
    </row>
    <row r="6" spans="1:7" ht="15.75">
      <c r="A6" s="21">
        <v>1</v>
      </c>
      <c r="B6" s="22" t="s">
        <v>155</v>
      </c>
      <c r="C6" s="3" t="s">
        <v>149</v>
      </c>
      <c r="D6" s="39">
        <v>130</v>
      </c>
      <c r="E6" s="21"/>
      <c r="F6" s="29"/>
      <c r="G6" s="21"/>
    </row>
    <row r="7" spans="1:7" ht="15.75">
      <c r="A7" s="21">
        <v>2</v>
      </c>
      <c r="B7" s="31" t="s">
        <v>156</v>
      </c>
      <c r="C7" s="3" t="s">
        <v>150</v>
      </c>
      <c r="D7" s="39">
        <v>25</v>
      </c>
      <c r="E7" s="21"/>
      <c r="F7" s="21"/>
      <c r="G7" s="21"/>
    </row>
    <row r="8" spans="1:7" ht="15.75">
      <c r="A8" s="21">
        <v>3</v>
      </c>
      <c r="B8" s="31" t="s">
        <v>156</v>
      </c>
      <c r="C8" s="3" t="s">
        <v>150</v>
      </c>
      <c r="D8" s="39">
        <v>20</v>
      </c>
      <c r="E8" s="21"/>
      <c r="F8" s="38"/>
      <c r="G8" s="21"/>
    </row>
    <row r="9" spans="1:7" ht="15.75">
      <c r="A9" s="21">
        <v>4</v>
      </c>
      <c r="B9" s="31" t="s">
        <v>158</v>
      </c>
      <c r="C9" s="3" t="s">
        <v>159</v>
      </c>
      <c r="D9" s="39">
        <v>10</v>
      </c>
      <c r="E9" s="21"/>
      <c r="F9" s="21"/>
      <c r="G9" s="21"/>
    </row>
    <row r="10" spans="1:7" ht="15.75">
      <c r="A10" s="21">
        <v>5</v>
      </c>
      <c r="B10" s="31" t="s">
        <v>158</v>
      </c>
      <c r="C10" s="3" t="s">
        <v>159</v>
      </c>
      <c r="D10" s="39">
        <v>35</v>
      </c>
      <c r="E10" s="21"/>
      <c r="F10" s="68"/>
      <c r="G10" s="21"/>
    </row>
    <row r="11" spans="1:7" ht="15.75">
      <c r="A11" s="21">
        <v>6</v>
      </c>
      <c r="B11" s="31" t="s">
        <v>158</v>
      </c>
      <c r="C11" s="3" t="s">
        <v>159</v>
      </c>
      <c r="D11" s="39">
        <v>18</v>
      </c>
      <c r="E11" s="21"/>
      <c r="F11" s="68"/>
      <c r="G11" s="21"/>
    </row>
    <row r="12" spans="1:7" ht="15.75">
      <c r="A12" s="21">
        <v>7</v>
      </c>
      <c r="B12" s="31" t="s">
        <v>158</v>
      </c>
      <c r="C12" s="3" t="s">
        <v>159</v>
      </c>
      <c r="D12" s="39">
        <v>31</v>
      </c>
      <c r="E12" s="21"/>
      <c r="F12" s="68"/>
      <c r="G12" s="21"/>
    </row>
    <row r="13" spans="1:7" ht="15.75">
      <c r="A13" s="21">
        <v>8</v>
      </c>
      <c r="B13" s="31" t="s">
        <v>158</v>
      </c>
      <c r="C13" s="3" t="s">
        <v>159</v>
      </c>
      <c r="D13" s="39">
        <v>45</v>
      </c>
      <c r="E13" s="21"/>
      <c r="F13" s="68"/>
      <c r="G13" s="21"/>
    </row>
    <row r="14" spans="1:7" ht="15.75">
      <c r="A14" s="21">
        <v>9</v>
      </c>
      <c r="B14" s="31" t="s">
        <v>172</v>
      </c>
      <c r="C14" s="3" t="s">
        <v>172</v>
      </c>
      <c r="D14" s="39">
        <v>40</v>
      </c>
      <c r="E14" s="21"/>
      <c r="F14" s="68"/>
      <c r="G14" s="21"/>
    </row>
    <row r="15" spans="1:7" ht="15.75">
      <c r="A15" s="21">
        <v>10</v>
      </c>
      <c r="B15" s="31" t="s">
        <v>172</v>
      </c>
      <c r="C15" s="3" t="s">
        <v>172</v>
      </c>
      <c r="D15" s="39">
        <v>18</v>
      </c>
      <c r="E15" s="21"/>
      <c r="F15" s="68"/>
      <c r="G15" s="21"/>
    </row>
    <row r="16" spans="1:7" ht="15.75">
      <c r="A16" s="21">
        <v>11</v>
      </c>
      <c r="B16" s="31" t="s">
        <v>172</v>
      </c>
      <c r="C16" s="3" t="s">
        <v>172</v>
      </c>
      <c r="D16" s="39">
        <v>20</v>
      </c>
      <c r="E16" s="21"/>
      <c r="F16" s="68"/>
      <c r="G16" s="21"/>
    </row>
    <row r="17" spans="1:12" ht="15.75">
      <c r="A17" s="86" t="s">
        <v>103</v>
      </c>
      <c r="B17" s="145"/>
      <c r="C17" s="145"/>
      <c r="D17" s="145"/>
      <c r="E17" s="145"/>
      <c r="F17" s="145"/>
      <c r="G17" s="87"/>
    </row>
    <row r="18" spans="1:12" ht="15.75">
      <c r="A18" s="21">
        <v>1</v>
      </c>
      <c r="B18" s="142" t="s">
        <v>104</v>
      </c>
      <c r="C18" s="143"/>
      <c r="D18" s="143"/>
      <c r="E18" s="143"/>
      <c r="F18" s="144"/>
      <c r="G18" s="3" t="s">
        <v>160</v>
      </c>
    </row>
    <row r="19" spans="1:12" ht="15.75">
      <c r="A19" s="21">
        <v>2</v>
      </c>
      <c r="B19" s="142" t="s">
        <v>105</v>
      </c>
      <c r="C19" s="143"/>
      <c r="D19" s="143"/>
      <c r="E19" s="143"/>
      <c r="F19" s="144"/>
      <c r="G19" s="3" t="s">
        <v>161</v>
      </c>
    </row>
    <row r="20" spans="1:12" ht="15.75">
      <c r="A20" s="21">
        <v>3</v>
      </c>
      <c r="B20" s="142" t="s">
        <v>106</v>
      </c>
      <c r="C20" s="143"/>
      <c r="D20" s="143"/>
      <c r="E20" s="143"/>
      <c r="F20" s="144"/>
      <c r="G20" s="3" t="s">
        <v>161</v>
      </c>
    </row>
    <row r="21" spans="1:12" ht="15.75">
      <c r="A21" s="21">
        <v>4</v>
      </c>
      <c r="B21" s="142" t="s">
        <v>107</v>
      </c>
      <c r="C21" s="143"/>
      <c r="D21" s="143"/>
      <c r="E21" s="143"/>
      <c r="F21" s="144"/>
      <c r="G21" s="3" t="s">
        <v>162</v>
      </c>
    </row>
    <row r="22" spans="1:12" ht="15.75">
      <c r="A22" s="23"/>
      <c r="B22" s="33"/>
      <c r="C22" s="33"/>
      <c r="D22" s="23"/>
      <c r="E22" s="23"/>
      <c r="F22" s="23"/>
      <c r="G22" s="23"/>
      <c r="L22" s="32"/>
    </row>
    <row r="23" spans="1:12" s="34" customFormat="1" ht="19.899999999999999" customHeight="1">
      <c r="A23" s="147" t="s">
        <v>98</v>
      </c>
      <c r="B23" s="147"/>
      <c r="C23" s="147"/>
      <c r="D23" s="147"/>
      <c r="E23" s="147"/>
      <c r="F23" s="147"/>
      <c r="G23" s="147"/>
      <c r="L23" s="32"/>
    </row>
    <row r="24" spans="1:12" ht="15.75">
      <c r="A24" s="34"/>
      <c r="B24" s="34"/>
      <c r="C24" s="34"/>
      <c r="D24" s="34"/>
      <c r="E24" s="34"/>
      <c r="F24" t="s">
        <v>83</v>
      </c>
      <c r="G24" s="9">
        <f>'Form 1'!C9</f>
        <v>4749</v>
      </c>
      <c r="L24" s="32"/>
    </row>
    <row r="25" spans="1:12" ht="15.75" customHeight="1">
      <c r="A25" s="136" t="s">
        <v>10</v>
      </c>
      <c r="B25" s="136" t="s">
        <v>11</v>
      </c>
      <c r="C25" s="136" t="s">
        <v>12</v>
      </c>
      <c r="D25" s="136" t="s">
        <v>99</v>
      </c>
      <c r="E25" s="86" t="s">
        <v>15</v>
      </c>
      <c r="F25" s="87"/>
      <c r="G25" s="136" t="s">
        <v>100</v>
      </c>
      <c r="L25" s="32"/>
    </row>
    <row r="26" spans="1:12" ht="31.5">
      <c r="A26" s="146"/>
      <c r="B26" s="146"/>
      <c r="C26" s="146"/>
      <c r="D26" s="146"/>
      <c r="E26" s="29" t="s">
        <v>94</v>
      </c>
      <c r="F26" s="29" t="s">
        <v>95</v>
      </c>
      <c r="G26" s="146"/>
      <c r="L26" s="32"/>
    </row>
    <row r="27" spans="1:12" ht="15.75">
      <c r="A27" s="137"/>
      <c r="B27" s="137"/>
      <c r="C27" s="137"/>
      <c r="D27" s="137"/>
      <c r="E27" s="30" t="s">
        <v>96</v>
      </c>
      <c r="F27" s="30" t="s">
        <v>97</v>
      </c>
      <c r="G27" s="137"/>
      <c r="L27" s="32"/>
    </row>
    <row r="28" spans="1:12" ht="15.75">
      <c r="A28" s="21">
        <v>1</v>
      </c>
      <c r="B28" s="31" t="s">
        <v>176</v>
      </c>
      <c r="C28" s="3" t="s">
        <v>169</v>
      </c>
      <c r="D28" s="39">
        <v>35</v>
      </c>
      <c r="E28" s="21"/>
      <c r="F28" s="21"/>
      <c r="G28" s="21"/>
      <c r="L28" s="32"/>
    </row>
    <row r="29" spans="1:12" ht="15.75">
      <c r="A29" s="21">
        <v>2</v>
      </c>
      <c r="B29" s="31" t="s">
        <v>156</v>
      </c>
      <c r="C29" s="3" t="s">
        <v>150</v>
      </c>
      <c r="D29" s="39">
        <v>20</v>
      </c>
      <c r="E29" s="21"/>
      <c r="F29" s="21"/>
      <c r="G29" s="21"/>
      <c r="L29" s="32"/>
    </row>
    <row r="30" spans="1:12" ht="15.75">
      <c r="A30" s="21">
        <v>3</v>
      </c>
      <c r="B30" s="31" t="s">
        <v>184</v>
      </c>
      <c r="C30" s="3" t="s">
        <v>173</v>
      </c>
      <c r="D30" s="39">
        <v>7</v>
      </c>
      <c r="E30" s="21"/>
      <c r="F30" s="21"/>
      <c r="G30" s="21"/>
      <c r="L30" s="32"/>
    </row>
    <row r="31" spans="1:12" ht="15.75">
      <c r="A31" s="21">
        <v>4</v>
      </c>
      <c r="B31" s="31" t="s">
        <v>184</v>
      </c>
      <c r="C31" s="3" t="s">
        <v>173</v>
      </c>
      <c r="D31" s="39">
        <v>6</v>
      </c>
      <c r="E31" s="21"/>
      <c r="F31" s="21"/>
      <c r="G31" s="21"/>
      <c r="L31" s="32"/>
    </row>
    <row r="32" spans="1:12" ht="15.75">
      <c r="A32" s="21">
        <v>5</v>
      </c>
      <c r="B32" s="31" t="s">
        <v>184</v>
      </c>
      <c r="C32" s="3" t="s">
        <v>173</v>
      </c>
      <c r="D32" s="39">
        <v>5</v>
      </c>
      <c r="E32" s="21"/>
      <c r="F32" s="21"/>
      <c r="G32" s="21"/>
      <c r="L32" s="32"/>
    </row>
    <row r="33" spans="1:12" ht="15.75">
      <c r="A33" s="21">
        <v>6</v>
      </c>
      <c r="B33" s="31" t="s">
        <v>185</v>
      </c>
      <c r="C33" s="3" t="s">
        <v>174</v>
      </c>
      <c r="D33" s="39">
        <v>7</v>
      </c>
      <c r="E33" s="21"/>
      <c r="F33" s="21"/>
      <c r="G33" s="21"/>
      <c r="L33" s="32"/>
    </row>
    <row r="34" spans="1:12" ht="15.75">
      <c r="A34" s="21">
        <v>7</v>
      </c>
      <c r="B34" s="31" t="s">
        <v>185</v>
      </c>
      <c r="C34" s="3" t="s">
        <v>174</v>
      </c>
      <c r="D34" s="39">
        <v>40</v>
      </c>
      <c r="E34" s="21"/>
      <c r="F34" s="21"/>
      <c r="G34" s="21"/>
      <c r="L34" s="32"/>
    </row>
    <row r="35" spans="1:12" ht="15.75">
      <c r="A35" s="21">
        <v>8</v>
      </c>
      <c r="B35" s="31" t="s">
        <v>185</v>
      </c>
      <c r="C35" s="3" t="s">
        <v>174</v>
      </c>
      <c r="D35" s="39">
        <v>28</v>
      </c>
      <c r="E35" s="21"/>
      <c r="F35" s="21"/>
      <c r="G35" s="21"/>
      <c r="L35" s="32"/>
    </row>
    <row r="36" spans="1:12" ht="15.75">
      <c r="A36" s="21">
        <v>9</v>
      </c>
      <c r="B36" s="31" t="s">
        <v>177</v>
      </c>
      <c r="C36" s="3" t="s">
        <v>165</v>
      </c>
      <c r="D36" s="39">
        <v>7</v>
      </c>
      <c r="E36" s="21"/>
      <c r="F36" s="21"/>
      <c r="G36" s="21"/>
      <c r="L36" s="32"/>
    </row>
    <row r="37" spans="1:12" ht="15.75">
      <c r="A37" s="21">
        <v>10</v>
      </c>
      <c r="B37" s="31" t="s">
        <v>178</v>
      </c>
      <c r="C37" s="3" t="s">
        <v>175</v>
      </c>
      <c r="D37" s="39">
        <v>13</v>
      </c>
      <c r="E37" s="21"/>
      <c r="F37" s="21"/>
      <c r="G37" s="21"/>
      <c r="L37" s="32"/>
    </row>
    <row r="38" spans="1:12" ht="15.75">
      <c r="A38" s="21">
        <v>11</v>
      </c>
      <c r="B38" s="31" t="s">
        <v>156</v>
      </c>
      <c r="C38" s="3" t="s">
        <v>150</v>
      </c>
      <c r="D38" s="39">
        <v>21</v>
      </c>
      <c r="E38" s="21"/>
      <c r="F38" s="21"/>
      <c r="G38" s="21"/>
      <c r="L38" s="32"/>
    </row>
    <row r="39" spans="1:12" ht="15.75">
      <c r="A39" s="21">
        <v>12</v>
      </c>
      <c r="B39" s="31" t="s">
        <v>172</v>
      </c>
      <c r="C39" s="3" t="s">
        <v>172</v>
      </c>
      <c r="D39" s="39">
        <v>12</v>
      </c>
      <c r="E39" s="21"/>
      <c r="F39" s="21"/>
      <c r="G39" s="21"/>
      <c r="L39" s="32"/>
    </row>
    <row r="40" spans="1:12" ht="15.75">
      <c r="A40" s="21">
        <v>13</v>
      </c>
      <c r="B40" s="31" t="s">
        <v>172</v>
      </c>
      <c r="C40" s="3" t="s">
        <v>172</v>
      </c>
      <c r="D40" s="39">
        <v>10</v>
      </c>
      <c r="E40" s="21"/>
      <c r="F40" s="21"/>
      <c r="G40" s="21"/>
      <c r="L40" s="32"/>
    </row>
    <row r="41" spans="1:12" ht="15.75">
      <c r="A41" s="86" t="s">
        <v>103</v>
      </c>
      <c r="B41" s="145"/>
      <c r="C41" s="145"/>
      <c r="D41" s="145"/>
      <c r="E41" s="145"/>
      <c r="F41" s="145"/>
      <c r="G41" s="87"/>
    </row>
    <row r="42" spans="1:12" ht="15.75">
      <c r="A42" s="21">
        <v>1</v>
      </c>
      <c r="B42" s="142" t="s">
        <v>104</v>
      </c>
      <c r="C42" s="143"/>
      <c r="D42" s="143"/>
      <c r="E42" s="143"/>
      <c r="F42" s="144"/>
      <c r="G42" s="3" t="s">
        <v>160</v>
      </c>
    </row>
    <row r="43" spans="1:12" ht="15.75">
      <c r="A43" s="21">
        <v>2</v>
      </c>
      <c r="B43" s="142" t="s">
        <v>105</v>
      </c>
      <c r="C43" s="143"/>
      <c r="D43" s="143"/>
      <c r="E43" s="143"/>
      <c r="F43" s="144"/>
      <c r="G43" s="3" t="s">
        <v>163</v>
      </c>
    </row>
    <row r="44" spans="1:12" ht="15.75">
      <c r="A44" s="21">
        <v>3</v>
      </c>
      <c r="B44" s="142" t="s">
        <v>106</v>
      </c>
      <c r="C44" s="143"/>
      <c r="D44" s="143"/>
      <c r="E44" s="143"/>
      <c r="F44" s="144"/>
      <c r="G44" s="3" t="s">
        <v>161</v>
      </c>
    </row>
    <row r="45" spans="1:12" ht="15.75">
      <c r="A45" s="21">
        <v>4</v>
      </c>
      <c r="B45" s="142" t="s">
        <v>107</v>
      </c>
      <c r="C45" s="143"/>
      <c r="D45" s="143"/>
      <c r="E45" s="143"/>
      <c r="F45" s="144"/>
      <c r="G45" s="3" t="s">
        <v>164</v>
      </c>
    </row>
  </sheetData>
  <mergeCells count="25">
    <mergeCell ref="B44:F44"/>
    <mergeCell ref="B45:F45"/>
    <mergeCell ref="A17:G17"/>
    <mergeCell ref="B18:F18"/>
    <mergeCell ref="A41:G41"/>
    <mergeCell ref="B42:F42"/>
    <mergeCell ref="B43:F43"/>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2024-04-11T04:07:06Z</dcterms:modified>
</cp:coreProperties>
</file>