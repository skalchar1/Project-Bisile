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31" i="11"/>
  <c r="I22"/>
  <c r="I14"/>
  <c r="I2"/>
  <c r="C13" i="8"/>
  <c r="C12"/>
  <c r="C11"/>
  <c r="C10"/>
  <c r="C5" i="6" s="1"/>
  <c r="C9" i="8"/>
</calcChain>
</file>

<file path=xl/sharedStrings.xml><?xml version="1.0" encoding="utf-8"?>
<sst xmlns="http://schemas.openxmlformats.org/spreadsheetml/2006/main" count="380" uniqueCount="193">
  <si>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</si>
  <si>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</si>
  <si>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</si>
  <si>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</si>
  <si>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</si>
  <si>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</si>
  <si>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</si>
  <si>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</si>
  <si>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</si>
  <si>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</si>
  <si>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</si>
  <si>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</si>
  <si>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</si>
  <si>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</si>
  <si>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</si>
  <si>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</si>
  <si>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</si>
  <si>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</si>
  <si>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</si>
  <si>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</si>
  <si>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</si>
  <si>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</si>
  <si>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</si>
  <si>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</si>
  <si>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</si>
  <si>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</si>
  <si>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</si>
  <si>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</si>
  <si>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</si>
  <si>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</si>
  <si>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</si>
  <si>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</si>
  <si>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</si>
  <si>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</si>
  <si>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</si>
  <si>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</si>
  <si>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</si>
  <si>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</si>
  <si>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</si>
  <si>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</si>
  <si>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</si>
  <si>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</si>
  <si>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</si>
  <si>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</si>
  <si>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</si>
  <si>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</si>
  <si>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</si>
  <si>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</si>
  <si>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</si>
  <si>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</si>
  <si>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</si>
  <si>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</si>
  <si>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</si>
  <si>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</si>
  <si>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</si>
  <si>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</si>
  <si>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</si>
  <si>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</si>
  <si>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</si>
  <si>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</si>
  <si>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</si>
  <si>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</si>
  <si>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</si>
  <si>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</si>
  <si>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</si>
  <si>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</si>
  <si>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</si>
  <si>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</si>
  <si>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</si>
  <si>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</si>
  <si>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</si>
  <si>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</si>
  <si>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</si>
  <si>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</si>
  <si>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</si>
  <si>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</si>
  <si>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</si>
  <si>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</si>
  <si>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</si>
  <si>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</si>
  <si>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</si>
  <si>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</si>
  <si>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</si>
  <si>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</si>
  <si>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</si>
  <si>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</si>
  <si>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</si>
  <si>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</si>
  <si>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</si>
  <si>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</si>
  <si>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</si>
  <si>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</si>
  <si>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</si>
  <si>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</si>
  <si>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</si>
  <si>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</si>
  <si>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</si>
  <si>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</si>
  <si>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</si>
  <si>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</si>
  <si>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</si>
  <si>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</si>
  <si>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</si>
  <si>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</si>
  <si>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</si>
  <si>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</si>
  <si>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</si>
  <si>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</si>
  <si>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</si>
  <si>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</si>
  <si>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</si>
  <si>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</si>
  <si>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</si>
  <si>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</si>
  <si>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</si>
  <si>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</si>
  <si>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</si>
  <si>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t>12. Rattans - Nill</t>
  </si>
  <si>
    <t>Gently rolling</t>
  </si>
  <si>
    <t>Upto 4 - 15</t>
  </si>
  <si>
    <t>Ignecious Rocks</t>
  </si>
  <si>
    <t>Scanty - Cynodon dactylon (Hambuhullu)</t>
  </si>
  <si>
    <t>Scanty - Malastoma offine, Eupatorium.</t>
  </si>
  <si>
    <t xml:space="preserve">Natural forest </t>
  </si>
  <si>
    <t>I</t>
  </si>
  <si>
    <t>Uli block</t>
  </si>
  <si>
    <t>4755 N</t>
  </si>
  <si>
    <t>Start from Bantvala Range office to towards Belthagadi road to Madanthyar for 15.4 km N-12.949687, E- 75.168986. Then right turn to Uli block for 14.2 km N-12.874617, E- 75.181230 (By Jeep). Then walked right for 110 mtr to reached center of the plot.</t>
  </si>
  <si>
    <t>2. Aspect - Western</t>
  </si>
  <si>
    <r>
      <t xml:space="preserve">Moist decidious Closed forest, Speices like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</si>
  <si>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Closed forest and 80% canopy closed</t>
  </si>
  <si>
    <t>4. Soil- Black soil</t>
  </si>
  <si>
    <r>
      <t>7. Bamboo - Present -</t>
    </r>
    <r>
      <rPr>
        <i/>
        <sz val="12"/>
        <color theme="1"/>
        <rFont val="Calibri"/>
        <family val="2"/>
        <scheme val="minor"/>
      </rPr>
      <t xml:space="preserve"> Bambussa bamboo</t>
    </r>
    <r>
      <rPr>
        <sz val="12"/>
        <color theme="1"/>
        <rFont val="Calibri"/>
        <family val="2"/>
        <scheme val="minor"/>
      </rPr>
      <t xml:space="preserve"> (Hebbidiru)</t>
    </r>
  </si>
  <si>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</si>
  <si>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11. Climber - </t>
    </r>
    <r>
      <rPr>
        <i/>
        <sz val="12"/>
        <color theme="1"/>
        <rFont val="Calibri"/>
        <family val="2"/>
        <scheme val="minor"/>
      </rPr>
      <t>Piper tiocum</t>
    </r>
    <r>
      <rPr>
        <sz val="12"/>
        <color theme="1"/>
        <rFont val="Calibri"/>
        <family val="2"/>
        <scheme val="minor"/>
      </rPr>
      <t xml:space="preserve"> (Kalmenasu),</t>
    </r>
    <r>
      <rPr>
        <i/>
        <sz val="12"/>
        <color theme="1"/>
        <rFont val="Calibri"/>
        <family val="2"/>
        <scheme val="minor"/>
      </rPr>
      <t xml:space="preserve"> Pothos scandenes </t>
    </r>
    <r>
      <rPr>
        <sz val="12"/>
        <color theme="1"/>
        <rFont val="Calibri"/>
        <family val="2"/>
        <scheme val="minor"/>
      </rPr>
      <t xml:space="preserve">(Adakeballi),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</si>
  <si>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(Dalchini), </t>
    </r>
    <r>
      <rPr>
        <i/>
        <sz val="12"/>
        <color theme="1"/>
        <rFont val="Calibri"/>
        <family val="2"/>
        <scheme val="minor"/>
      </rPr>
      <t xml:space="preserve">Zanthoxylum ehrtsa </t>
    </r>
    <r>
      <rPr>
        <sz val="12"/>
        <color theme="1"/>
        <rFont val="Calibri"/>
        <family val="2"/>
        <scheme val="minor"/>
      </rPr>
      <t>(Jumma).</t>
    </r>
  </si>
  <si>
    <t>89 m</t>
  </si>
  <si>
    <t>Closed forest and 80% canopy closed</t>
  </si>
  <si>
    <t>Western</t>
  </si>
  <si>
    <t>Black soil, Texture - smooth, Depth - 30cm, Permiability - Good.</t>
  </si>
  <si>
    <t>No Erosion</t>
  </si>
  <si>
    <r>
      <t>Holigarna arnottiana</t>
    </r>
    <r>
      <rPr>
        <sz val="12"/>
        <color theme="1"/>
        <rFont val="Calibri"/>
        <family val="2"/>
        <scheme val="minor"/>
      </rPr>
      <t xml:space="preserve"> (Chaar) - 30%,</t>
    </r>
    <r>
      <rPr>
        <i/>
        <sz val="12"/>
        <color theme="1"/>
        <rFont val="Calibri"/>
        <family val="2"/>
        <scheme val="minor"/>
      </rPr>
      <t xml:space="preserve"> Aparosa lindlyana </t>
    </r>
    <r>
      <rPr>
        <sz val="12"/>
        <color theme="1"/>
        <rFont val="Calibri"/>
        <family val="2"/>
        <scheme val="minor"/>
      </rPr>
      <t>(Salle) -20%</t>
    </r>
  </si>
  <si>
    <t>Adequate</t>
  </si>
  <si>
    <t>Present - Bambussa bamboo (Hebbidiru)</t>
  </si>
  <si>
    <t>Stream</t>
  </si>
  <si>
    <t>Not  Degrated</t>
  </si>
  <si>
    <t>Block /Village: Uli</t>
  </si>
  <si>
    <t>Chaar</t>
  </si>
  <si>
    <t>Marva</t>
  </si>
  <si>
    <t>Maddarsa</t>
  </si>
  <si>
    <t>Kaansurgi</t>
  </si>
  <si>
    <t>Salle</t>
  </si>
  <si>
    <t>Maavu</t>
  </si>
  <si>
    <t>Jumma</t>
  </si>
  <si>
    <t>Yathyaga</t>
  </si>
  <si>
    <t>Dipthiocarpus indicus</t>
  </si>
  <si>
    <t>Matti</t>
  </si>
  <si>
    <t>Mullusampige</t>
  </si>
  <si>
    <t>Holigarna arnottiana</t>
  </si>
  <si>
    <t>Terminalea paniculata</t>
  </si>
  <si>
    <t>Ixora brachiata</t>
  </si>
  <si>
    <t>Aparosa lindlyana</t>
  </si>
  <si>
    <t>Mangifera indica</t>
  </si>
  <si>
    <t>Adina cardifolea</t>
  </si>
  <si>
    <t>Terminalea tomantosa</t>
  </si>
  <si>
    <t>Flacourita montana</t>
  </si>
  <si>
    <t>Zanthoxylum ehrtsa</t>
  </si>
  <si>
    <t>Tabernaentana montana</t>
  </si>
  <si>
    <t>Bambussa bamboo</t>
  </si>
  <si>
    <t>Hebbidiru</t>
  </si>
  <si>
    <t>Agasalle</t>
  </si>
  <si>
    <t>Dalchinni</t>
  </si>
  <si>
    <t>Adchari</t>
  </si>
  <si>
    <t>590 gm</t>
  </si>
  <si>
    <t>985 gm</t>
  </si>
  <si>
    <t>1.6 kg</t>
  </si>
  <si>
    <t>290 gm</t>
  </si>
  <si>
    <t>485 gm</t>
  </si>
  <si>
    <t>Nill</t>
  </si>
  <si>
    <t>210 gm</t>
  </si>
  <si>
    <t>Bagine</t>
  </si>
  <si>
    <t>Adchar</t>
  </si>
  <si>
    <t>Adakke balli</t>
  </si>
  <si>
    <t>Vaatmadike</t>
  </si>
  <si>
    <t>Kaalmenasu</t>
  </si>
  <si>
    <t>Climber</t>
  </si>
  <si>
    <t>Careyota urence</t>
  </si>
  <si>
    <t>Pothos scandenes</t>
  </si>
  <si>
    <t>Phycotrea dalzelli</t>
  </si>
  <si>
    <t>Piper tiocum</t>
  </si>
  <si>
    <t>Olea dioca</t>
  </si>
  <si>
    <t>Cinnamomum zalenicum</t>
  </si>
  <si>
    <t>Memecylon talbotianum</t>
  </si>
</sst>
</file>

<file path=xl/styles.xml><?xml version="1.0" encoding="utf-8"?>
<styleSheet xmlns="http://schemas.openxmlformats.org/spreadsheetml/2006/main">
  <numFmts count="2">
    <numFmt numFmtId="164" formatCode="[$-409]d/mmm/yyyy;@"/>
    <numFmt numFmtId="165" formatCode="0.000000"/>
  </numFmts>
  <fonts count="17">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6"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81" t="s">
        <v>21</v>
      </c>
      <c r="B1" s="81"/>
      <c r="C1" s="81"/>
    </row>
    <row r="2" spans="1:3">
      <c r="A2" s="81" t="s">
        <v>22</v>
      </c>
      <c r="B2" s="81"/>
      <c r="C2" s="81"/>
    </row>
    <row r="3" spans="1:3">
      <c r="A3" s="82" t="s">
        <v>102</v>
      </c>
      <c r="B3" s="82"/>
      <c r="C3" s="54" t="s">
        <v>109</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124</v>
      </c>
    </row>
    <row r="9" spans="1:3">
      <c r="A9" s="50">
        <v>4</v>
      </c>
      <c r="B9" s="51" t="s">
        <v>29</v>
      </c>
      <c r="C9" s="42" t="s">
        <v>126</v>
      </c>
    </row>
    <row r="10" spans="1:3" ht="20.25" customHeight="1">
      <c r="A10" s="50">
        <v>5</v>
      </c>
      <c r="B10" s="51" t="s">
        <v>30</v>
      </c>
      <c r="C10" s="56">
        <v>12.874824</v>
      </c>
    </row>
    <row r="11" spans="1:3" ht="23.25" customHeight="1">
      <c r="A11" s="50"/>
      <c r="B11" s="51" t="s">
        <v>31</v>
      </c>
      <c r="C11" s="56">
        <v>75.180661000000001</v>
      </c>
    </row>
    <row r="12" spans="1:3" ht="80.25" customHeight="1">
      <c r="A12" s="50">
        <v>7</v>
      </c>
      <c r="B12" s="51" t="s">
        <v>32</v>
      </c>
      <c r="C12" s="42" t="s">
        <v>127</v>
      </c>
    </row>
    <row r="13" spans="1:3" ht="69.75" customHeight="1">
      <c r="A13" s="50">
        <v>8</v>
      </c>
      <c r="B13" s="51" t="s">
        <v>33</v>
      </c>
      <c r="C13" s="57" t="s">
        <v>129</v>
      </c>
    </row>
    <row r="14" spans="1:3" ht="15.75" customHeight="1">
      <c r="A14" s="77">
        <v>9</v>
      </c>
      <c r="B14" s="83" t="s">
        <v>34</v>
      </c>
      <c r="C14" s="57" t="s">
        <v>115</v>
      </c>
    </row>
    <row r="15" spans="1:3">
      <c r="A15" s="78"/>
      <c r="B15" s="84"/>
      <c r="C15" s="57" t="s">
        <v>128</v>
      </c>
    </row>
    <row r="16" spans="1:3">
      <c r="A16" s="78"/>
      <c r="B16" s="84"/>
      <c r="C16" s="57" t="s">
        <v>130</v>
      </c>
    </row>
    <row r="17" spans="1:3">
      <c r="A17" s="78"/>
      <c r="B17" s="84"/>
      <c r="C17" s="57" t="s">
        <v>131</v>
      </c>
    </row>
    <row r="18" spans="1:3">
      <c r="A18" s="78"/>
      <c r="B18" s="84"/>
      <c r="C18" s="59" t="s">
        <v>111</v>
      </c>
    </row>
    <row r="19" spans="1:3">
      <c r="A19" s="78"/>
      <c r="B19" s="84"/>
      <c r="C19" s="57" t="s">
        <v>112</v>
      </c>
    </row>
    <row r="20" spans="1:3">
      <c r="A20" s="78"/>
      <c r="B20" s="84"/>
      <c r="C20" s="57" t="s">
        <v>132</v>
      </c>
    </row>
    <row r="21" spans="1:3" ht="31.5">
      <c r="A21" s="78"/>
      <c r="B21" s="84"/>
      <c r="C21" s="57" t="s">
        <v>133</v>
      </c>
    </row>
    <row r="22" spans="1:3" ht="31.5">
      <c r="A22" s="78"/>
      <c r="B22" s="84"/>
      <c r="C22" s="57" t="s">
        <v>113</v>
      </c>
    </row>
    <row r="23" spans="1:3" ht="47.25">
      <c r="A23" s="78"/>
      <c r="B23" s="84"/>
      <c r="C23" s="57" t="s">
        <v>116</v>
      </c>
    </row>
    <row r="24" spans="1:3" ht="48" customHeight="1">
      <c r="A24" s="78"/>
      <c r="B24" s="84"/>
      <c r="C24" s="57" t="s">
        <v>134</v>
      </c>
    </row>
    <row r="25" spans="1:3">
      <c r="A25" s="78"/>
      <c r="B25" s="84"/>
      <c r="C25" s="57" t="s">
        <v>117</v>
      </c>
    </row>
    <row r="26" spans="1:3" ht="47.25">
      <c r="A26" s="78"/>
      <c r="B26" s="84"/>
      <c r="C26" s="57" t="s">
        <v>135</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6"/>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6"/>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81" t="s">
        <v>37</v>
      </c>
      <c r="B1" s="81"/>
      <c r="C1" s="81"/>
    </row>
    <row r="2" spans="1:3">
      <c r="A2" s="81" t="s">
        <v>38</v>
      </c>
      <c r="B2" s="81"/>
      <c r="C2" s="81"/>
    </row>
    <row r="3" spans="1:3">
      <c r="A3" s="44"/>
    </row>
    <row r="4" spans="1:3" ht="70.900000000000006" customHeight="1">
      <c r="A4" s="85" t="s">
        <v>39</v>
      </c>
      <c r="B4" s="85"/>
      <c r="C4" s="85"/>
    </row>
    <row r="5" spans="1:3">
      <c r="A5" s="82" t="s">
        <v>102</v>
      </c>
      <c r="B5" s="82"/>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v>
      </c>
    </row>
    <row r="11" spans="1:3">
      <c r="A11" s="50">
        <v>4</v>
      </c>
      <c r="B11" s="51" t="s">
        <v>29</v>
      </c>
      <c r="C11" s="52" t="str">
        <f>'Form 1'!C9</f>
        <v>4755 N</v>
      </c>
    </row>
    <row r="12" spans="1:3">
      <c r="A12" s="50">
        <v>5</v>
      </c>
      <c r="B12" s="51" t="s">
        <v>42</v>
      </c>
      <c r="C12" s="52">
        <f>'Form 1'!C10</f>
        <v>12.874824</v>
      </c>
    </row>
    <row r="13" spans="1:3">
      <c r="A13" s="50">
        <v>6</v>
      </c>
      <c r="B13" s="51" t="s">
        <v>43</v>
      </c>
      <c r="C13" s="52">
        <f>'Form 1'!C11</f>
        <v>75.180661000000001</v>
      </c>
    </row>
    <row r="14" spans="1:3">
      <c r="A14" s="50">
        <v>7</v>
      </c>
      <c r="B14" s="51" t="s">
        <v>44</v>
      </c>
      <c r="C14" s="52" t="s">
        <v>136</v>
      </c>
    </row>
    <row r="15" spans="1:3">
      <c r="A15" s="50">
        <v>8</v>
      </c>
      <c r="B15" s="51" t="s">
        <v>45</v>
      </c>
      <c r="C15" s="52" t="s">
        <v>125</v>
      </c>
    </row>
    <row r="16" spans="1:3">
      <c r="A16" s="50">
        <v>9</v>
      </c>
      <c r="B16" s="51" t="s">
        <v>46</v>
      </c>
      <c r="C16" s="52" t="s">
        <v>137</v>
      </c>
    </row>
    <row r="17" spans="1:3" ht="31.5">
      <c r="A17" s="50">
        <v>10</v>
      </c>
      <c r="B17" s="51" t="s">
        <v>47</v>
      </c>
      <c r="C17" s="52" t="s">
        <v>118</v>
      </c>
    </row>
    <row r="18" spans="1:3">
      <c r="A18" s="50">
        <v>11</v>
      </c>
      <c r="B18" s="51" t="s">
        <v>48</v>
      </c>
      <c r="C18" s="53" t="s">
        <v>119</v>
      </c>
    </row>
    <row r="19" spans="1:3">
      <c r="A19" s="50">
        <v>12</v>
      </c>
      <c r="B19" s="51" t="s">
        <v>49</v>
      </c>
      <c r="C19" s="53" t="s">
        <v>138</v>
      </c>
    </row>
    <row r="20" spans="1:3" ht="31.5">
      <c r="A20" s="50">
        <v>13</v>
      </c>
      <c r="B20" s="51" t="s">
        <v>50</v>
      </c>
      <c r="C20" s="53" t="s">
        <v>120</v>
      </c>
    </row>
    <row r="21" spans="1:3" ht="31.5">
      <c r="A21" s="50">
        <v>14</v>
      </c>
      <c r="B21" s="51" t="s">
        <v>51</v>
      </c>
      <c r="C21" s="53" t="s">
        <v>139</v>
      </c>
    </row>
    <row r="22" spans="1:3">
      <c r="A22" s="50">
        <v>15</v>
      </c>
      <c r="B22" s="51" t="s">
        <v>52</v>
      </c>
      <c r="C22" s="53" t="s">
        <v>140</v>
      </c>
    </row>
    <row r="23" spans="1:3" ht="31.5">
      <c r="A23" s="50">
        <v>16</v>
      </c>
      <c r="B23" s="51" t="s">
        <v>53</v>
      </c>
      <c r="C23" s="154" t="s">
        <v>141</v>
      </c>
    </row>
    <row r="24" spans="1:3" ht="31.5">
      <c r="A24" s="50">
        <v>17</v>
      </c>
      <c r="B24" s="51" t="s">
        <v>54</v>
      </c>
      <c r="C24" s="53" t="s">
        <v>142</v>
      </c>
    </row>
    <row r="25" spans="1:3" ht="31.5">
      <c r="A25" s="50">
        <v>18</v>
      </c>
      <c r="B25" s="51" t="s">
        <v>55</v>
      </c>
      <c r="C25" s="53" t="s">
        <v>110</v>
      </c>
    </row>
    <row r="26" spans="1:3" ht="31.5">
      <c r="A26" s="50">
        <v>19</v>
      </c>
      <c r="B26" s="51" t="s">
        <v>56</v>
      </c>
      <c r="C26" s="53" t="s">
        <v>110</v>
      </c>
    </row>
    <row r="27" spans="1:3" ht="31.5">
      <c r="A27" s="50">
        <v>20</v>
      </c>
      <c r="B27" s="51" t="s">
        <v>57</v>
      </c>
      <c r="C27" s="53" t="s">
        <v>143</v>
      </c>
    </row>
    <row r="28" spans="1:3" ht="31.5">
      <c r="A28" s="50">
        <v>21</v>
      </c>
      <c r="B28" s="51" t="s">
        <v>58</v>
      </c>
      <c r="C28" s="53" t="s">
        <v>121</v>
      </c>
    </row>
    <row r="29" spans="1:3" ht="31.5">
      <c r="A29" s="50">
        <v>22</v>
      </c>
      <c r="B29" s="51" t="s">
        <v>59</v>
      </c>
      <c r="C29" s="53" t="s">
        <v>122</v>
      </c>
    </row>
    <row r="30" spans="1:3" ht="31.5">
      <c r="A30" s="50">
        <v>23</v>
      </c>
      <c r="B30" s="51" t="s">
        <v>60</v>
      </c>
      <c r="C30" s="53" t="s">
        <v>123</v>
      </c>
    </row>
    <row r="31" spans="1:3">
      <c r="A31" s="50">
        <v>24</v>
      </c>
      <c r="B31" s="51" t="s">
        <v>61</v>
      </c>
      <c r="C31" s="53" t="s">
        <v>144</v>
      </c>
    </row>
    <row r="32" spans="1:3" ht="31.5">
      <c r="A32" s="50">
        <v>25</v>
      </c>
      <c r="B32" s="51" t="s">
        <v>62</v>
      </c>
      <c r="C32" s="53" t="s">
        <v>145</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B17" sqref="B17:C17"/>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3" t="s">
        <v>0</v>
      </c>
      <c r="B1" s="103"/>
      <c r="C1" s="103"/>
      <c r="D1" s="103"/>
      <c r="E1" s="103"/>
      <c r="F1" s="103"/>
      <c r="G1" s="103"/>
      <c r="H1" s="103"/>
      <c r="I1" s="103"/>
      <c r="J1" s="103"/>
      <c r="K1" s="103"/>
      <c r="L1" s="103"/>
    </row>
    <row r="2" spans="1:12" ht="15.6" customHeight="1">
      <c r="A2" s="103" t="s">
        <v>1</v>
      </c>
      <c r="B2" s="103"/>
      <c r="C2" s="103"/>
      <c r="D2" s="103"/>
      <c r="E2" s="103"/>
      <c r="F2" s="103"/>
      <c r="G2" s="103"/>
      <c r="H2" s="103"/>
      <c r="I2" s="103"/>
      <c r="J2" s="103"/>
      <c r="K2" s="103"/>
      <c r="L2" s="103"/>
    </row>
    <row r="3" spans="1:12" ht="15.6" customHeight="1">
      <c r="A3" s="103" t="s">
        <v>2</v>
      </c>
      <c r="B3" s="103"/>
      <c r="C3" s="103"/>
      <c r="D3" s="103"/>
      <c r="E3" s="103"/>
      <c r="F3" s="103"/>
      <c r="G3" s="103"/>
      <c r="H3" s="103"/>
      <c r="I3" s="103"/>
      <c r="J3" s="103"/>
      <c r="K3" s="103"/>
      <c r="L3" s="103"/>
    </row>
    <row r="4" spans="1:12" ht="15.6" customHeight="1" thickBot="1">
      <c r="A4" s="104"/>
      <c r="B4" s="104"/>
      <c r="C4" s="104"/>
      <c r="D4" s="104"/>
      <c r="E4" s="104"/>
      <c r="F4" s="104"/>
      <c r="G4" s="104"/>
      <c r="H4" s="104"/>
      <c r="I4" s="104"/>
      <c r="J4" s="104"/>
      <c r="K4" s="104"/>
      <c r="L4" s="104"/>
    </row>
    <row r="5" spans="1:12" ht="15.6" customHeight="1">
      <c r="A5" s="105" t="s">
        <v>3</v>
      </c>
      <c r="B5" s="106"/>
      <c r="C5" s="97" t="str">
        <f>'Form II'!C10</f>
        <v>I</v>
      </c>
      <c r="D5" s="98"/>
      <c r="E5" s="96" t="s">
        <v>146</v>
      </c>
      <c r="F5" s="97"/>
      <c r="G5" s="97"/>
      <c r="H5" s="97"/>
      <c r="I5" s="98"/>
      <c r="J5" s="13" t="s">
        <v>4</v>
      </c>
      <c r="K5" s="106"/>
      <c r="L5" s="107"/>
    </row>
    <row r="6" spans="1:12" ht="15.6" customHeight="1">
      <c r="A6" s="92" t="s">
        <v>5</v>
      </c>
      <c r="B6" s="93"/>
      <c r="C6" s="94" t="str">
        <f>'Form 1'!C6</f>
        <v>Bantvala</v>
      </c>
      <c r="D6" s="95"/>
      <c r="E6" s="37" t="s">
        <v>101</v>
      </c>
      <c r="F6" s="36"/>
      <c r="G6" s="94" t="str">
        <f>'Form 1'!C3</f>
        <v>Mangalore</v>
      </c>
      <c r="H6" s="94"/>
      <c r="I6" s="95"/>
      <c r="J6" s="14" t="s">
        <v>6</v>
      </c>
      <c r="K6" s="94" t="str">
        <f>'Form II'!C14</f>
        <v>89 m</v>
      </c>
      <c r="L6" s="123"/>
    </row>
    <row r="7" spans="1:12" ht="15.6" customHeight="1" thickBot="1">
      <c r="A7" s="99" t="s">
        <v>7</v>
      </c>
      <c r="B7" s="100"/>
      <c r="C7" s="101">
        <f>'Form 1'!C10</f>
        <v>12.874824</v>
      </c>
      <c r="D7" s="102"/>
      <c r="E7" s="15" t="s">
        <v>8</v>
      </c>
      <c r="F7" s="12"/>
      <c r="G7" s="101">
        <f>'Form 1'!C11</f>
        <v>75.180661000000001</v>
      </c>
      <c r="H7" s="101"/>
      <c r="I7" s="102"/>
      <c r="J7" s="15" t="s">
        <v>9</v>
      </c>
      <c r="K7" s="101" t="str">
        <f>'Form 1'!C9</f>
        <v>4755 N</v>
      </c>
      <c r="L7" s="124"/>
    </row>
    <row r="8" spans="1:12" ht="15.6" customHeight="1" thickBot="1">
      <c r="A8" s="1"/>
      <c r="B8" s="1"/>
      <c r="C8" s="5"/>
      <c r="D8" s="6"/>
      <c r="E8" s="2"/>
      <c r="F8" s="2"/>
      <c r="G8" s="2"/>
      <c r="H8" s="2"/>
      <c r="I8" s="2"/>
      <c r="J8" s="2"/>
      <c r="K8" s="2"/>
      <c r="L8" s="2"/>
    </row>
    <row r="9" spans="1:12" ht="18.600000000000001" customHeight="1">
      <c r="A9" s="108" t="s">
        <v>10</v>
      </c>
      <c r="B9" s="112" t="s">
        <v>11</v>
      </c>
      <c r="C9" s="113"/>
      <c r="D9" s="110" t="s">
        <v>12</v>
      </c>
      <c r="E9" s="110" t="s">
        <v>13</v>
      </c>
      <c r="F9" s="16" t="s">
        <v>14</v>
      </c>
      <c r="G9" s="110" t="s">
        <v>20</v>
      </c>
      <c r="H9" s="120" t="s">
        <v>15</v>
      </c>
      <c r="I9" s="121"/>
      <c r="J9" s="121"/>
      <c r="K9" s="122"/>
      <c r="L9" s="125" t="s">
        <v>16</v>
      </c>
    </row>
    <row r="10" spans="1:12" ht="57" customHeight="1">
      <c r="A10" s="109"/>
      <c r="B10" s="114"/>
      <c r="C10" s="115"/>
      <c r="D10" s="111"/>
      <c r="E10" s="111"/>
      <c r="F10" s="17" t="s">
        <v>17</v>
      </c>
      <c r="G10" s="111"/>
      <c r="H10" s="116" t="s">
        <v>18</v>
      </c>
      <c r="I10" s="117"/>
      <c r="J10" s="116" t="s">
        <v>19</v>
      </c>
      <c r="K10" s="117"/>
      <c r="L10" s="126"/>
    </row>
    <row r="11" spans="1:12" ht="15.6" customHeight="1">
      <c r="A11" s="10">
        <v>1</v>
      </c>
      <c r="B11" s="118" t="s">
        <v>158</v>
      </c>
      <c r="C11" s="119"/>
      <c r="D11" s="3" t="s">
        <v>147</v>
      </c>
      <c r="E11" s="40">
        <v>46</v>
      </c>
      <c r="F11" s="40"/>
      <c r="G11" s="40">
        <v>9</v>
      </c>
      <c r="H11" s="88"/>
      <c r="I11" s="89"/>
      <c r="J11" s="86"/>
      <c r="K11" s="87"/>
      <c r="L11" s="11"/>
    </row>
    <row r="12" spans="1:12" ht="15.6" customHeight="1">
      <c r="A12" s="10">
        <v>2</v>
      </c>
      <c r="B12" s="118" t="s">
        <v>159</v>
      </c>
      <c r="C12" s="119"/>
      <c r="D12" s="4" t="s">
        <v>148</v>
      </c>
      <c r="E12" s="40">
        <v>39</v>
      </c>
      <c r="F12" s="40"/>
      <c r="G12" s="40">
        <v>7</v>
      </c>
      <c r="H12" s="88"/>
      <c r="I12" s="89"/>
      <c r="J12" s="86"/>
      <c r="K12" s="87"/>
      <c r="L12" s="11"/>
    </row>
    <row r="13" spans="1:12" ht="15.6" customHeight="1">
      <c r="A13" s="10">
        <v>3</v>
      </c>
      <c r="B13" s="118" t="s">
        <v>158</v>
      </c>
      <c r="C13" s="119"/>
      <c r="D13" s="3" t="s">
        <v>147</v>
      </c>
      <c r="E13" s="40">
        <v>85</v>
      </c>
      <c r="F13" s="40"/>
      <c r="G13" s="40">
        <v>14</v>
      </c>
      <c r="H13" s="88"/>
      <c r="I13" s="89"/>
      <c r="J13" s="86"/>
      <c r="K13" s="87"/>
      <c r="L13" s="11"/>
    </row>
    <row r="14" spans="1:12" ht="15.6" customHeight="1">
      <c r="A14" s="10">
        <v>4</v>
      </c>
      <c r="B14" s="118" t="s">
        <v>167</v>
      </c>
      <c r="C14" s="119"/>
      <c r="D14" s="3" t="s">
        <v>149</v>
      </c>
      <c r="E14" s="40">
        <v>44</v>
      </c>
      <c r="F14" s="40"/>
      <c r="G14" s="40">
        <v>7</v>
      </c>
      <c r="H14" s="88"/>
      <c r="I14" s="89"/>
      <c r="J14" s="86"/>
      <c r="K14" s="87"/>
      <c r="L14" s="11"/>
    </row>
    <row r="15" spans="1:12" ht="15.6" customHeight="1">
      <c r="A15" s="10">
        <v>5</v>
      </c>
      <c r="B15" s="118" t="s">
        <v>158</v>
      </c>
      <c r="C15" s="119"/>
      <c r="D15" s="7" t="s">
        <v>147</v>
      </c>
      <c r="E15" s="41">
        <v>97</v>
      </c>
      <c r="F15" s="40"/>
      <c r="G15" s="40">
        <v>15</v>
      </c>
      <c r="H15" s="88"/>
      <c r="I15" s="89"/>
      <c r="J15" s="86"/>
      <c r="K15" s="87"/>
      <c r="L15" s="11"/>
    </row>
    <row r="16" spans="1:12" ht="15.6" customHeight="1">
      <c r="A16" s="10">
        <v>6</v>
      </c>
      <c r="B16" s="118" t="s">
        <v>159</v>
      </c>
      <c r="C16" s="119"/>
      <c r="D16" s="4" t="s">
        <v>148</v>
      </c>
      <c r="E16" s="40">
        <v>77</v>
      </c>
      <c r="F16" s="41"/>
      <c r="G16" s="41">
        <v>11</v>
      </c>
      <c r="H16" s="90"/>
      <c r="I16" s="91"/>
      <c r="J16" s="86"/>
      <c r="K16" s="87"/>
      <c r="L16" s="11"/>
    </row>
    <row r="17" spans="1:12" ht="15.6" customHeight="1">
      <c r="A17" s="10">
        <v>7</v>
      </c>
      <c r="B17" s="118" t="s">
        <v>158</v>
      </c>
      <c r="C17" s="119"/>
      <c r="D17" s="7" t="s">
        <v>147</v>
      </c>
      <c r="E17" s="40">
        <v>59</v>
      </c>
      <c r="F17" s="41"/>
      <c r="G17" s="41">
        <v>12</v>
      </c>
      <c r="H17" s="90"/>
      <c r="I17" s="91"/>
      <c r="J17" s="86"/>
      <c r="K17" s="87"/>
      <c r="L17" s="11"/>
    </row>
    <row r="18" spans="1:12" ht="15.6" customHeight="1">
      <c r="A18" s="10">
        <v>8</v>
      </c>
      <c r="B18" s="118" t="s">
        <v>160</v>
      </c>
      <c r="C18" s="119"/>
      <c r="D18" s="3" t="s">
        <v>150</v>
      </c>
      <c r="E18" s="40">
        <v>68</v>
      </c>
      <c r="F18" s="41"/>
      <c r="G18" s="41">
        <v>6</v>
      </c>
      <c r="H18" s="90"/>
      <c r="I18" s="91"/>
      <c r="J18" s="86"/>
      <c r="K18" s="87"/>
      <c r="L18" s="11"/>
    </row>
    <row r="19" spans="1:12" ht="15.75">
      <c r="A19" s="10">
        <v>9</v>
      </c>
      <c r="B19" s="118" t="s">
        <v>161</v>
      </c>
      <c r="C19" s="119"/>
      <c r="D19" s="18" t="s">
        <v>151</v>
      </c>
      <c r="E19" s="40">
        <v>60</v>
      </c>
      <c r="F19" s="41"/>
      <c r="G19" s="41">
        <v>6</v>
      </c>
      <c r="H19" s="90"/>
      <c r="I19" s="91"/>
      <c r="J19" s="86"/>
      <c r="K19" s="87"/>
      <c r="L19" s="11"/>
    </row>
    <row r="20" spans="1:12" ht="15.6" customHeight="1">
      <c r="A20" s="10">
        <v>10</v>
      </c>
      <c r="B20" s="118" t="s">
        <v>158</v>
      </c>
      <c r="C20" s="119"/>
      <c r="D20" s="4" t="s">
        <v>147</v>
      </c>
      <c r="E20" s="40">
        <v>111</v>
      </c>
      <c r="F20" s="41"/>
      <c r="G20" s="41">
        <v>15</v>
      </c>
      <c r="H20" s="90"/>
      <c r="I20" s="91"/>
      <c r="J20" s="86"/>
      <c r="K20" s="87"/>
      <c r="L20" s="11"/>
    </row>
    <row r="21" spans="1:12" ht="15.6" customHeight="1">
      <c r="A21" s="10">
        <v>11</v>
      </c>
      <c r="B21" s="118" t="s">
        <v>161</v>
      </c>
      <c r="C21" s="119"/>
      <c r="D21" s="4" t="s">
        <v>151</v>
      </c>
      <c r="E21" s="40">
        <v>68</v>
      </c>
      <c r="F21" s="41"/>
      <c r="G21" s="41">
        <v>7</v>
      </c>
      <c r="H21" s="71"/>
      <c r="I21" s="72"/>
      <c r="J21" s="69"/>
      <c r="K21" s="70"/>
      <c r="L21" s="11"/>
    </row>
    <row r="22" spans="1:12" ht="15.6" customHeight="1">
      <c r="A22" s="10">
        <v>12</v>
      </c>
      <c r="B22" s="118" t="s">
        <v>158</v>
      </c>
      <c r="C22" s="119"/>
      <c r="D22" s="4" t="s">
        <v>147</v>
      </c>
      <c r="E22" s="40">
        <v>90</v>
      </c>
      <c r="F22" s="41"/>
      <c r="G22" s="41">
        <v>14</v>
      </c>
      <c r="H22" s="71"/>
      <c r="I22" s="72"/>
      <c r="J22" s="69"/>
      <c r="K22" s="70"/>
      <c r="L22" s="11"/>
    </row>
    <row r="23" spans="1:12" ht="15.6" customHeight="1">
      <c r="A23" s="10">
        <v>13</v>
      </c>
      <c r="B23" s="118" t="s">
        <v>158</v>
      </c>
      <c r="C23" s="119"/>
      <c r="D23" s="4" t="s">
        <v>147</v>
      </c>
      <c r="E23" s="40">
        <v>86</v>
      </c>
      <c r="F23" s="41"/>
      <c r="G23" s="41">
        <v>14</v>
      </c>
      <c r="H23" s="71"/>
      <c r="I23" s="72"/>
      <c r="J23" s="69"/>
      <c r="K23" s="70"/>
      <c r="L23" s="11"/>
    </row>
    <row r="24" spans="1:12" ht="15.6" customHeight="1">
      <c r="A24" s="10">
        <v>14</v>
      </c>
      <c r="B24" s="118" t="s">
        <v>160</v>
      </c>
      <c r="C24" s="119"/>
      <c r="D24" s="4" t="s">
        <v>150</v>
      </c>
      <c r="E24" s="40">
        <v>100</v>
      </c>
      <c r="F24" s="41"/>
      <c r="G24" s="41">
        <v>5</v>
      </c>
      <c r="H24" s="71"/>
      <c r="I24" s="72"/>
      <c r="J24" s="69"/>
      <c r="K24" s="70"/>
      <c r="L24" s="11"/>
    </row>
    <row r="25" spans="1:12" ht="15.6" customHeight="1">
      <c r="A25" s="10">
        <v>15</v>
      </c>
      <c r="B25" s="118" t="s">
        <v>162</v>
      </c>
      <c r="C25" s="119"/>
      <c r="D25" s="4" t="s">
        <v>152</v>
      </c>
      <c r="E25" s="40">
        <v>82</v>
      </c>
      <c r="F25" s="41"/>
      <c r="G25" s="41">
        <v>13</v>
      </c>
      <c r="H25" s="71"/>
      <c r="I25" s="72"/>
      <c r="J25" s="69"/>
      <c r="K25" s="70"/>
      <c r="L25" s="11"/>
    </row>
    <row r="26" spans="1:12" ht="15.6" customHeight="1">
      <c r="A26" s="10">
        <v>16</v>
      </c>
      <c r="B26" s="118" t="s">
        <v>159</v>
      </c>
      <c r="C26" s="119"/>
      <c r="D26" s="4" t="s">
        <v>148</v>
      </c>
      <c r="E26" s="40">
        <v>284</v>
      </c>
      <c r="F26" s="41"/>
      <c r="G26" s="41">
        <v>18</v>
      </c>
      <c r="H26" s="71"/>
      <c r="I26" s="72"/>
      <c r="J26" s="69"/>
      <c r="K26" s="70"/>
      <c r="L26" s="11"/>
    </row>
    <row r="27" spans="1:12" ht="15.6" customHeight="1">
      <c r="A27" s="10">
        <v>17</v>
      </c>
      <c r="B27" s="118" t="s">
        <v>166</v>
      </c>
      <c r="C27" s="119"/>
      <c r="D27" s="4" t="s">
        <v>153</v>
      </c>
      <c r="E27" s="40">
        <v>106</v>
      </c>
      <c r="F27" s="41"/>
      <c r="G27" s="41">
        <v>15</v>
      </c>
      <c r="H27" s="71"/>
      <c r="I27" s="72"/>
      <c r="J27" s="69"/>
      <c r="K27" s="70"/>
      <c r="L27" s="11"/>
    </row>
    <row r="28" spans="1:12" ht="15.6" customHeight="1">
      <c r="A28" s="10">
        <v>18</v>
      </c>
      <c r="B28" s="118" t="s">
        <v>158</v>
      </c>
      <c r="C28" s="119"/>
      <c r="D28" s="4" t="s">
        <v>147</v>
      </c>
      <c r="E28" s="40">
        <v>111</v>
      </c>
      <c r="F28" s="41"/>
      <c r="G28" s="41">
        <v>15</v>
      </c>
      <c r="H28" s="71"/>
      <c r="I28" s="72"/>
      <c r="J28" s="69"/>
      <c r="K28" s="70"/>
      <c r="L28" s="11"/>
    </row>
    <row r="29" spans="1:12" ht="15.6" customHeight="1">
      <c r="A29" s="10">
        <v>19</v>
      </c>
      <c r="B29" s="118" t="s">
        <v>163</v>
      </c>
      <c r="C29" s="119"/>
      <c r="D29" s="4" t="s">
        <v>154</v>
      </c>
      <c r="E29" s="40">
        <v>263</v>
      </c>
      <c r="F29" s="41"/>
      <c r="G29" s="41">
        <v>16</v>
      </c>
      <c r="H29" s="71"/>
      <c r="I29" s="72"/>
      <c r="J29" s="69"/>
      <c r="K29" s="70"/>
      <c r="L29" s="11"/>
    </row>
    <row r="30" spans="1:12" ht="15.6" customHeight="1">
      <c r="A30" s="10">
        <v>20</v>
      </c>
      <c r="B30" s="118" t="s">
        <v>158</v>
      </c>
      <c r="C30" s="119"/>
      <c r="D30" s="4" t="s">
        <v>147</v>
      </c>
      <c r="E30" s="40">
        <v>81</v>
      </c>
      <c r="F30" s="41"/>
      <c r="G30" s="41">
        <v>14</v>
      </c>
      <c r="H30" s="71"/>
      <c r="I30" s="72"/>
      <c r="J30" s="69"/>
      <c r="K30" s="70"/>
      <c r="L30" s="11"/>
    </row>
    <row r="31" spans="1:12" ht="15.6" customHeight="1">
      <c r="A31" s="10">
        <v>21</v>
      </c>
      <c r="B31" s="118" t="s">
        <v>158</v>
      </c>
      <c r="C31" s="119"/>
      <c r="D31" s="4" t="s">
        <v>147</v>
      </c>
      <c r="E31" s="40">
        <v>98</v>
      </c>
      <c r="F31" s="41"/>
      <c r="G31" s="41">
        <v>15</v>
      </c>
      <c r="H31" s="71"/>
      <c r="I31" s="72"/>
      <c r="J31" s="69"/>
      <c r="K31" s="70"/>
      <c r="L31" s="11"/>
    </row>
    <row r="32" spans="1:12" ht="15.6" customHeight="1">
      <c r="A32" s="10">
        <v>22</v>
      </c>
      <c r="B32" s="118" t="s">
        <v>155</v>
      </c>
      <c r="C32" s="119"/>
      <c r="D32" s="4"/>
      <c r="E32" s="40">
        <v>69</v>
      </c>
      <c r="F32" s="41"/>
      <c r="G32" s="41">
        <v>12</v>
      </c>
      <c r="H32" s="71"/>
      <c r="I32" s="72"/>
      <c r="J32" s="69"/>
      <c r="K32" s="70"/>
      <c r="L32" s="11"/>
    </row>
    <row r="33" spans="1:12" ht="15.6" customHeight="1">
      <c r="A33" s="10">
        <v>23</v>
      </c>
      <c r="B33" s="118" t="s">
        <v>158</v>
      </c>
      <c r="C33" s="119"/>
      <c r="D33" s="4" t="s">
        <v>147</v>
      </c>
      <c r="E33" s="40">
        <v>53</v>
      </c>
      <c r="F33" s="41"/>
      <c r="G33" s="41">
        <v>10</v>
      </c>
      <c r="H33" s="71"/>
      <c r="I33" s="72"/>
      <c r="J33" s="69"/>
      <c r="K33" s="70"/>
      <c r="L33" s="11"/>
    </row>
    <row r="34" spans="1:12" ht="15.6" customHeight="1">
      <c r="A34" s="10">
        <v>24</v>
      </c>
      <c r="B34" s="118" t="s">
        <v>164</v>
      </c>
      <c r="C34" s="119"/>
      <c r="D34" s="4" t="s">
        <v>156</v>
      </c>
      <c r="E34" s="40">
        <v>48</v>
      </c>
      <c r="F34" s="41"/>
      <c r="G34" s="41">
        <v>9</v>
      </c>
      <c r="H34" s="71"/>
      <c r="I34" s="72"/>
      <c r="J34" s="69"/>
      <c r="K34" s="70"/>
      <c r="L34" s="11"/>
    </row>
    <row r="35" spans="1:12" ht="15.6" customHeight="1">
      <c r="A35" s="10">
        <v>25</v>
      </c>
      <c r="B35" s="118" t="s">
        <v>158</v>
      </c>
      <c r="C35" s="119"/>
      <c r="D35" s="4" t="s">
        <v>147</v>
      </c>
      <c r="E35" s="40">
        <v>64</v>
      </c>
      <c r="F35" s="41"/>
      <c r="G35" s="41">
        <v>12</v>
      </c>
      <c r="H35" s="71"/>
      <c r="I35" s="72"/>
      <c r="J35" s="69"/>
      <c r="K35" s="70"/>
      <c r="L35" s="11"/>
    </row>
    <row r="36" spans="1:12" ht="15.6" customHeight="1">
      <c r="A36" s="10">
        <v>26</v>
      </c>
      <c r="B36" s="118" t="s">
        <v>158</v>
      </c>
      <c r="C36" s="119"/>
      <c r="D36" s="4" t="s">
        <v>147</v>
      </c>
      <c r="E36" s="40">
        <v>290</v>
      </c>
      <c r="F36" s="41"/>
      <c r="G36" s="41">
        <v>18</v>
      </c>
      <c r="H36" s="71"/>
      <c r="I36" s="72"/>
      <c r="J36" s="69"/>
      <c r="K36" s="70"/>
      <c r="L36" s="11"/>
    </row>
    <row r="37" spans="1:12" ht="15.6" customHeight="1">
      <c r="A37" s="10">
        <v>27</v>
      </c>
      <c r="B37" s="118" t="s">
        <v>158</v>
      </c>
      <c r="C37" s="119"/>
      <c r="D37" s="4" t="s">
        <v>147</v>
      </c>
      <c r="E37" s="40">
        <v>99</v>
      </c>
      <c r="F37" s="41"/>
      <c r="G37" s="41">
        <v>15</v>
      </c>
      <c r="H37" s="71"/>
      <c r="I37" s="72"/>
      <c r="J37" s="69"/>
      <c r="K37" s="70"/>
      <c r="L37" s="11"/>
    </row>
    <row r="38" spans="1:12" ht="15.6" customHeight="1">
      <c r="A38" s="10">
        <v>28</v>
      </c>
      <c r="B38" s="118" t="s">
        <v>165</v>
      </c>
      <c r="C38" s="119"/>
      <c r="D38" s="4" t="s">
        <v>157</v>
      </c>
      <c r="E38" s="40">
        <v>38</v>
      </c>
      <c r="F38" s="41"/>
      <c r="G38" s="41">
        <v>6</v>
      </c>
      <c r="H38" s="71"/>
      <c r="I38" s="72"/>
      <c r="J38" s="69"/>
      <c r="K38" s="70"/>
      <c r="L38" s="11"/>
    </row>
  </sheetData>
  <mergeCells count="73">
    <mergeCell ref="B36:C36"/>
    <mergeCell ref="B37:C37"/>
    <mergeCell ref="B38:C38"/>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A1:L1"/>
    <mergeCell ref="A2:L2"/>
    <mergeCell ref="A3:L3"/>
    <mergeCell ref="A4:L4"/>
    <mergeCell ref="A5:B5"/>
    <mergeCell ref="C5:D5"/>
    <mergeCell ref="K5:L5"/>
    <mergeCell ref="A6:B6"/>
    <mergeCell ref="G6:I6"/>
    <mergeCell ref="E5:I5"/>
    <mergeCell ref="A7:B7"/>
    <mergeCell ref="C6:D6"/>
    <mergeCell ref="C7:D7"/>
    <mergeCell ref="J15:K15"/>
    <mergeCell ref="H14:I14"/>
    <mergeCell ref="H15:I15"/>
    <mergeCell ref="J16:K16"/>
    <mergeCell ref="J17:K17"/>
    <mergeCell ref="J18:K18"/>
    <mergeCell ref="J19:K19"/>
    <mergeCell ref="J20:K20"/>
    <mergeCell ref="H16:I16"/>
    <mergeCell ref="H17:I17"/>
    <mergeCell ref="H18:I18"/>
    <mergeCell ref="H19:I19"/>
    <mergeCell ref="H20:I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B14" sqref="B14"/>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0" t="s">
        <v>65</v>
      </c>
      <c r="B1" s="130"/>
      <c r="C1" s="130"/>
      <c r="D1" s="130"/>
      <c r="E1" s="130"/>
      <c r="F1" s="130"/>
      <c r="G1" s="130"/>
      <c r="H1" s="130"/>
      <c r="I1" s="130"/>
      <c r="J1" s="130"/>
      <c r="K1" s="130"/>
      <c r="L1" s="130"/>
      <c r="M1" s="130"/>
      <c r="N1" s="130"/>
      <c r="O1" s="130"/>
      <c r="P1" s="130"/>
      <c r="Q1" s="130"/>
    </row>
    <row r="2" spans="1:17" ht="21">
      <c r="A2" s="130" t="s">
        <v>66</v>
      </c>
      <c r="B2" s="130"/>
      <c r="C2" s="130"/>
      <c r="D2" s="130"/>
      <c r="E2" s="130"/>
      <c r="F2" s="130"/>
      <c r="G2" s="130"/>
      <c r="H2" s="130"/>
      <c r="I2" s="130"/>
      <c r="J2" s="130"/>
      <c r="K2" s="130"/>
      <c r="L2" s="130"/>
      <c r="M2" s="130"/>
      <c r="N2" s="130"/>
      <c r="O2" s="130"/>
      <c r="P2" s="130"/>
      <c r="Q2" s="130"/>
    </row>
    <row r="3" spans="1:17">
      <c r="A3" s="20"/>
    </row>
    <row r="4" spans="1:17" ht="15.75" thickBot="1">
      <c r="A4" s="20"/>
    </row>
    <row r="5" spans="1:17" ht="16.5" thickBot="1">
      <c r="A5" s="131" t="s">
        <v>10</v>
      </c>
      <c r="B5" s="131" t="s">
        <v>11</v>
      </c>
      <c r="C5" s="131" t="s">
        <v>12</v>
      </c>
      <c r="D5" s="131" t="s">
        <v>67</v>
      </c>
      <c r="E5" s="135" t="s">
        <v>68</v>
      </c>
      <c r="F5" s="136"/>
      <c r="G5" s="136"/>
      <c r="H5" s="136"/>
      <c r="I5" s="136"/>
      <c r="J5" s="136"/>
      <c r="K5" s="136"/>
      <c r="L5" s="136"/>
      <c r="M5" s="137"/>
      <c r="N5" s="131" t="s">
        <v>69</v>
      </c>
      <c r="O5" s="135" t="s">
        <v>70</v>
      </c>
      <c r="P5" s="137"/>
      <c r="Q5" s="131" t="s">
        <v>71</v>
      </c>
    </row>
    <row r="6" spans="1:17" ht="15.75">
      <c r="A6" s="132"/>
      <c r="B6" s="132"/>
      <c r="C6" s="132"/>
      <c r="D6" s="132"/>
      <c r="E6" s="138" t="s">
        <v>72</v>
      </c>
      <c r="F6" s="139"/>
      <c r="G6" s="140"/>
      <c r="H6" s="138" t="s">
        <v>73</v>
      </c>
      <c r="I6" s="139"/>
      <c r="J6" s="140"/>
      <c r="K6" s="138" t="s">
        <v>74</v>
      </c>
      <c r="L6" s="139"/>
      <c r="M6" s="140"/>
      <c r="N6" s="132"/>
      <c r="O6" s="131" t="s">
        <v>75</v>
      </c>
      <c r="P6" s="131" t="s">
        <v>76</v>
      </c>
      <c r="Q6" s="132"/>
    </row>
    <row r="7" spans="1:17" ht="16.5" thickBot="1">
      <c r="A7" s="132"/>
      <c r="B7" s="132"/>
      <c r="C7" s="134"/>
      <c r="D7" s="132"/>
      <c r="E7" s="127" t="s">
        <v>77</v>
      </c>
      <c r="F7" s="128"/>
      <c r="G7" s="129"/>
      <c r="H7" s="127" t="s">
        <v>78</v>
      </c>
      <c r="I7" s="128"/>
      <c r="J7" s="129"/>
      <c r="K7" s="127" t="s">
        <v>77</v>
      </c>
      <c r="L7" s="128"/>
      <c r="M7" s="129"/>
      <c r="N7" s="132"/>
      <c r="O7" s="132"/>
      <c r="P7" s="132"/>
      <c r="Q7" s="132"/>
    </row>
    <row r="8" spans="1:17" ht="16.5" thickBot="1">
      <c r="A8" s="133"/>
      <c r="B8" s="133"/>
      <c r="C8" s="133"/>
      <c r="D8" s="133"/>
      <c r="E8" s="21" t="s">
        <v>79</v>
      </c>
      <c r="F8" s="21" t="s">
        <v>80</v>
      </c>
      <c r="G8" s="21" t="s">
        <v>81</v>
      </c>
      <c r="H8" s="21" t="s">
        <v>79</v>
      </c>
      <c r="I8" s="21" t="s">
        <v>80</v>
      </c>
      <c r="J8" s="21" t="s">
        <v>81</v>
      </c>
      <c r="K8" s="21" t="s">
        <v>79</v>
      </c>
      <c r="L8" s="21" t="s">
        <v>80</v>
      </c>
      <c r="M8" s="21" t="s">
        <v>81</v>
      </c>
      <c r="N8" s="133"/>
      <c r="O8" s="133"/>
      <c r="P8" s="133"/>
      <c r="Q8" s="133"/>
    </row>
    <row r="9" spans="1:17" ht="21.75" customHeight="1">
      <c r="A9" s="60">
        <v>1</v>
      </c>
      <c r="B9" s="32" t="s">
        <v>168</v>
      </c>
      <c r="C9" s="61" t="s">
        <v>169</v>
      </c>
      <c r="D9" s="61">
        <v>35</v>
      </c>
      <c r="E9" s="62"/>
      <c r="F9" s="63"/>
      <c r="G9" s="61">
        <v>3</v>
      </c>
      <c r="H9" s="63"/>
      <c r="I9" s="61">
        <v>4</v>
      </c>
      <c r="J9" s="63"/>
      <c r="K9" s="61">
        <v>3</v>
      </c>
      <c r="L9" s="63"/>
      <c r="M9" s="61"/>
      <c r="N9" s="64"/>
      <c r="O9" s="65"/>
      <c r="P9" s="64"/>
      <c r="Q9" s="66"/>
    </row>
    <row r="10" spans="1:17" ht="20.25" customHeight="1">
      <c r="A10" s="60">
        <v>3</v>
      </c>
      <c r="B10" s="32" t="s">
        <v>168</v>
      </c>
      <c r="C10" s="61" t="s">
        <v>169</v>
      </c>
      <c r="D10" s="61">
        <v>40</v>
      </c>
      <c r="E10" s="62"/>
      <c r="F10" s="63"/>
      <c r="G10" s="61">
        <v>4</v>
      </c>
      <c r="H10" s="63"/>
      <c r="I10" s="61">
        <v>5</v>
      </c>
      <c r="J10" s="63"/>
      <c r="K10" s="61">
        <v>1</v>
      </c>
      <c r="L10" s="63"/>
      <c r="M10" s="61"/>
      <c r="N10" s="64"/>
      <c r="O10" s="65"/>
      <c r="P10" s="64"/>
      <c r="Q10" s="66"/>
    </row>
    <row r="11" spans="1:17" ht="20.25" customHeight="1">
      <c r="A11" s="60">
        <v>3</v>
      </c>
      <c r="B11" s="32" t="s">
        <v>168</v>
      </c>
      <c r="C11" s="61" t="s">
        <v>169</v>
      </c>
      <c r="D11" s="61">
        <v>23</v>
      </c>
      <c r="E11" s="62"/>
      <c r="F11" s="63"/>
      <c r="G11" s="61">
        <v>3</v>
      </c>
      <c r="H11" s="63"/>
      <c r="I11" s="61">
        <v>2</v>
      </c>
      <c r="J11" s="63"/>
      <c r="K11" s="61">
        <v>2</v>
      </c>
      <c r="L11" s="63"/>
      <c r="M11" s="61"/>
      <c r="N11" s="64"/>
      <c r="O11" s="65"/>
      <c r="P11" s="64"/>
      <c r="Q11" s="66"/>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7" workbookViewId="0">
      <selection activeCell="B26" sqref="B2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0" t="s">
        <v>82</v>
      </c>
      <c r="B1" s="130"/>
      <c r="C1" s="130"/>
      <c r="D1" s="130"/>
      <c r="E1" s="130"/>
      <c r="F1" s="130"/>
      <c r="G1" s="130"/>
      <c r="H1" s="130"/>
      <c r="I1" s="130"/>
    </row>
    <row r="2" spans="1:9">
      <c r="A2" s="145"/>
      <c r="B2" s="145"/>
      <c r="H2" t="s">
        <v>83</v>
      </c>
      <c r="I2" s="9" t="str">
        <f>'Form 1'!C9</f>
        <v>4755 N</v>
      </c>
    </row>
    <row r="3" spans="1:9" ht="24" customHeight="1">
      <c r="A3" s="142" t="s">
        <v>10</v>
      </c>
      <c r="B3" s="142" t="s">
        <v>11</v>
      </c>
      <c r="C3" s="142" t="s">
        <v>12</v>
      </c>
      <c r="D3" s="142" t="s">
        <v>84</v>
      </c>
      <c r="E3" s="142" t="s">
        <v>108</v>
      </c>
      <c r="F3" s="142" t="s">
        <v>85</v>
      </c>
      <c r="G3" s="116" t="s">
        <v>15</v>
      </c>
      <c r="H3" s="117"/>
      <c r="I3" s="142" t="s">
        <v>86</v>
      </c>
    </row>
    <row r="4" spans="1:9" ht="63">
      <c r="A4" s="143"/>
      <c r="B4" s="143"/>
      <c r="C4" s="143"/>
      <c r="D4" s="143"/>
      <c r="E4" s="143"/>
      <c r="F4" s="143"/>
      <c r="G4" s="19" t="s">
        <v>87</v>
      </c>
      <c r="H4" s="19" t="s">
        <v>19</v>
      </c>
      <c r="I4" s="143"/>
    </row>
    <row r="5" spans="1:9" ht="15.75">
      <c r="A5" s="28">
        <v>1</v>
      </c>
      <c r="B5" s="80" t="s">
        <v>190</v>
      </c>
      <c r="C5" s="79" t="s">
        <v>170</v>
      </c>
      <c r="D5" s="74"/>
      <c r="E5" s="74">
        <v>27.2</v>
      </c>
      <c r="F5" s="74">
        <v>2</v>
      </c>
      <c r="G5" s="67"/>
      <c r="H5" s="67"/>
      <c r="I5" s="68"/>
    </row>
    <row r="6" spans="1:9" ht="15.75">
      <c r="A6" s="28">
        <v>2</v>
      </c>
      <c r="B6" s="80" t="s">
        <v>165</v>
      </c>
      <c r="C6" s="79" t="s">
        <v>157</v>
      </c>
      <c r="D6" s="74"/>
      <c r="E6" s="74">
        <v>34.5</v>
      </c>
      <c r="F6" s="74">
        <v>2</v>
      </c>
      <c r="G6" s="67"/>
      <c r="H6" s="67"/>
      <c r="I6" s="68"/>
    </row>
    <row r="7" spans="1:9" ht="15.75">
      <c r="A7" s="28">
        <v>3</v>
      </c>
      <c r="B7" s="80" t="s">
        <v>161</v>
      </c>
      <c r="C7" s="79" t="s">
        <v>151</v>
      </c>
      <c r="D7" s="74"/>
      <c r="E7" s="74">
        <v>25.2</v>
      </c>
      <c r="F7" s="74">
        <v>1.5</v>
      </c>
      <c r="G7" s="67"/>
      <c r="H7" s="67"/>
      <c r="I7" s="68"/>
    </row>
    <row r="8" spans="1:9" ht="15.75">
      <c r="A8" s="28">
        <v>4</v>
      </c>
      <c r="B8" s="80" t="s">
        <v>191</v>
      </c>
      <c r="C8" s="79" t="s">
        <v>171</v>
      </c>
      <c r="D8" s="74"/>
      <c r="E8" s="74">
        <v>20.100000000000001</v>
      </c>
      <c r="F8" s="74">
        <v>1</v>
      </c>
      <c r="G8" s="67"/>
      <c r="H8" s="67"/>
      <c r="I8" s="68"/>
    </row>
    <row r="9" spans="1:9" ht="15.75">
      <c r="A9" s="28">
        <v>5</v>
      </c>
      <c r="B9" s="80" t="s">
        <v>161</v>
      </c>
      <c r="C9" s="79" t="s">
        <v>151</v>
      </c>
      <c r="D9" s="74"/>
      <c r="E9" s="74">
        <v>35.6</v>
      </c>
      <c r="F9" s="74">
        <v>2</v>
      </c>
      <c r="G9" s="67"/>
      <c r="H9" s="67"/>
      <c r="I9" s="68"/>
    </row>
    <row r="10" spans="1:9" ht="15.75">
      <c r="A10" s="28">
        <v>6</v>
      </c>
      <c r="B10" s="80" t="s">
        <v>192</v>
      </c>
      <c r="C10" s="79" t="s">
        <v>172</v>
      </c>
      <c r="D10" s="74"/>
      <c r="E10" s="74">
        <v>23.5</v>
      </c>
      <c r="F10" s="74">
        <v>1.5</v>
      </c>
      <c r="G10" s="67"/>
      <c r="H10" s="67"/>
      <c r="I10" s="68"/>
    </row>
    <row r="11" spans="1:9" ht="15.75">
      <c r="A11" s="28">
        <v>7</v>
      </c>
      <c r="B11" s="32" t="s">
        <v>167</v>
      </c>
      <c r="C11" s="79" t="s">
        <v>149</v>
      </c>
      <c r="D11" s="74"/>
      <c r="E11" s="74">
        <v>42.4</v>
      </c>
      <c r="F11" s="74">
        <v>2</v>
      </c>
      <c r="G11" s="67"/>
      <c r="H11" s="67"/>
      <c r="I11" s="68"/>
    </row>
    <row r="12" spans="1:9" ht="15.75">
      <c r="A12" s="24"/>
      <c r="B12" s="25"/>
      <c r="C12" s="26"/>
      <c r="D12" s="27"/>
      <c r="E12" s="27"/>
      <c r="F12" s="27"/>
      <c r="G12" s="24"/>
      <c r="H12" s="24"/>
      <c r="I12" s="24"/>
    </row>
    <row r="13" spans="1:9" ht="21">
      <c r="A13" s="130" t="s">
        <v>88</v>
      </c>
      <c r="B13" s="130"/>
      <c r="C13" s="130"/>
      <c r="D13" s="130"/>
      <c r="E13" s="130"/>
      <c r="F13" s="130"/>
      <c r="G13" s="130"/>
      <c r="H13" s="130"/>
      <c r="I13" s="130"/>
    </row>
    <row r="14" spans="1:9" ht="15.75">
      <c r="A14" s="144"/>
      <c r="B14" s="144"/>
      <c r="H14" t="s">
        <v>83</v>
      </c>
      <c r="I14" s="9" t="str">
        <f>'Form 1'!C9</f>
        <v>4755 N</v>
      </c>
    </row>
    <row r="15" spans="1:9" ht="15.75" customHeight="1">
      <c r="A15" s="111" t="s">
        <v>10</v>
      </c>
      <c r="B15" s="111" t="s">
        <v>11</v>
      </c>
      <c r="C15" s="111" t="s">
        <v>12</v>
      </c>
      <c r="D15" s="111" t="s">
        <v>84</v>
      </c>
      <c r="E15" s="142" t="s">
        <v>108</v>
      </c>
      <c r="F15" s="111" t="s">
        <v>85</v>
      </c>
      <c r="G15" s="111" t="s">
        <v>15</v>
      </c>
      <c r="H15" s="111"/>
      <c r="I15" s="142" t="s">
        <v>86</v>
      </c>
    </row>
    <row r="16" spans="1:9" ht="63">
      <c r="A16" s="111"/>
      <c r="B16" s="111"/>
      <c r="C16" s="111"/>
      <c r="D16" s="111"/>
      <c r="E16" s="143"/>
      <c r="F16" s="111"/>
      <c r="G16" s="19" t="s">
        <v>87</v>
      </c>
      <c r="H16" s="19" t="s">
        <v>19</v>
      </c>
      <c r="I16" s="143"/>
    </row>
    <row r="17" spans="1:9" ht="15.75">
      <c r="A17" s="22">
        <v>1</v>
      </c>
      <c r="B17" s="32" t="s">
        <v>161</v>
      </c>
      <c r="C17" s="3" t="s">
        <v>151</v>
      </c>
      <c r="D17" s="40"/>
      <c r="E17" s="74">
        <v>38.700000000000003</v>
      </c>
      <c r="F17" s="40">
        <v>2</v>
      </c>
      <c r="G17" s="22"/>
      <c r="H17" s="22"/>
      <c r="I17" s="28"/>
    </row>
    <row r="18" spans="1:9" ht="15.75">
      <c r="A18" s="22">
        <v>2</v>
      </c>
      <c r="B18" s="32" t="s">
        <v>161</v>
      </c>
      <c r="C18" s="3" t="s">
        <v>151</v>
      </c>
      <c r="D18" s="40"/>
      <c r="E18" s="74">
        <v>49.6</v>
      </c>
      <c r="F18" s="40">
        <v>3</v>
      </c>
      <c r="G18" s="22"/>
      <c r="H18" s="22"/>
      <c r="I18" s="28"/>
    </row>
    <row r="19" spans="1:9" ht="15.75">
      <c r="A19" s="22">
        <v>3</v>
      </c>
      <c r="B19" s="23" t="s">
        <v>186</v>
      </c>
      <c r="C19" s="3" t="s">
        <v>180</v>
      </c>
      <c r="D19" s="40"/>
      <c r="E19" s="74">
        <v>34.6</v>
      </c>
      <c r="F19" s="40">
        <v>2</v>
      </c>
      <c r="G19" s="22"/>
      <c r="H19" s="22"/>
      <c r="I19" s="28"/>
    </row>
    <row r="20" spans="1:9">
      <c r="E20" s="9"/>
    </row>
    <row r="21" spans="1:9" ht="21">
      <c r="A21" s="130" t="s">
        <v>89</v>
      </c>
      <c r="B21" s="130"/>
      <c r="C21" s="130"/>
      <c r="D21" s="130"/>
      <c r="E21" s="130"/>
      <c r="F21" s="130"/>
      <c r="G21" s="130"/>
      <c r="H21" s="130"/>
      <c r="I21" s="130"/>
    </row>
    <row r="22" spans="1:9" ht="15.75">
      <c r="A22" s="144"/>
      <c r="B22" s="144"/>
      <c r="H22" s="9" t="s">
        <v>83</v>
      </c>
      <c r="I22" s="9" t="str">
        <f>'Form 1'!C9</f>
        <v>4755 N</v>
      </c>
    </row>
    <row r="23" spans="1:9" ht="15.75" customHeight="1">
      <c r="A23" s="111" t="s">
        <v>10</v>
      </c>
      <c r="B23" s="111" t="s">
        <v>11</v>
      </c>
      <c r="C23" s="111" t="s">
        <v>12</v>
      </c>
      <c r="D23" s="111" t="s">
        <v>84</v>
      </c>
      <c r="E23" s="142" t="s">
        <v>108</v>
      </c>
      <c r="F23" s="111" t="s">
        <v>85</v>
      </c>
      <c r="G23" s="111" t="s">
        <v>15</v>
      </c>
      <c r="H23" s="111"/>
      <c r="I23" s="142" t="s">
        <v>86</v>
      </c>
    </row>
    <row r="24" spans="1:9" ht="63">
      <c r="A24" s="111"/>
      <c r="B24" s="111"/>
      <c r="C24" s="111"/>
      <c r="D24" s="111"/>
      <c r="E24" s="143"/>
      <c r="F24" s="111"/>
      <c r="G24" s="19" t="s">
        <v>87</v>
      </c>
      <c r="H24" s="19" t="s">
        <v>19</v>
      </c>
      <c r="I24" s="143"/>
    </row>
    <row r="25" spans="1:9" ht="15.75">
      <c r="A25" s="22">
        <v>1</v>
      </c>
      <c r="B25" s="80" t="s">
        <v>192</v>
      </c>
      <c r="C25" s="3" t="s">
        <v>181</v>
      </c>
      <c r="D25" s="67"/>
      <c r="E25" s="74">
        <v>23.5</v>
      </c>
      <c r="F25" s="40">
        <v>1.5</v>
      </c>
      <c r="G25" s="67"/>
      <c r="H25" s="67"/>
      <c r="I25" s="68"/>
    </row>
    <row r="26" spans="1:9" ht="15.75">
      <c r="A26" s="22">
        <v>2</v>
      </c>
      <c r="B26" s="80" t="s">
        <v>165</v>
      </c>
      <c r="C26" s="3" t="s">
        <v>157</v>
      </c>
      <c r="D26" s="67"/>
      <c r="E26" s="74">
        <v>20.100000000000001</v>
      </c>
      <c r="F26" s="40">
        <v>1.5</v>
      </c>
      <c r="G26" s="67"/>
      <c r="H26" s="67"/>
      <c r="I26" s="68"/>
    </row>
    <row r="27" spans="1:9" ht="15.75">
      <c r="A27" s="22">
        <v>3</v>
      </c>
      <c r="B27" s="32" t="s">
        <v>161</v>
      </c>
      <c r="C27" s="3" t="s">
        <v>151</v>
      </c>
      <c r="D27" s="67"/>
      <c r="E27" s="74">
        <v>30.4</v>
      </c>
      <c r="F27" s="40">
        <v>2</v>
      </c>
      <c r="G27" s="67"/>
      <c r="H27" s="67"/>
      <c r="I27" s="68"/>
    </row>
    <row r="28" spans="1:9" ht="15.75">
      <c r="A28" s="22">
        <v>4</v>
      </c>
      <c r="B28" s="32" t="s">
        <v>161</v>
      </c>
      <c r="C28" s="3" t="s">
        <v>151</v>
      </c>
      <c r="D28" s="67"/>
      <c r="E28" s="74">
        <v>28.2</v>
      </c>
      <c r="F28" s="40">
        <v>2</v>
      </c>
      <c r="G28" s="67"/>
      <c r="H28" s="67"/>
      <c r="I28" s="68"/>
    </row>
    <row r="29" spans="1:9" ht="15.75">
      <c r="D29" s="27"/>
      <c r="F29" s="29"/>
    </row>
    <row r="30" spans="1:9" ht="21">
      <c r="A30" s="130" t="s">
        <v>90</v>
      </c>
      <c r="B30" s="130"/>
      <c r="C30" s="130"/>
      <c r="D30" s="130"/>
      <c r="E30" s="130"/>
      <c r="F30" s="130"/>
      <c r="G30" s="130"/>
      <c r="H30" s="130"/>
      <c r="I30" s="130"/>
    </row>
    <row r="31" spans="1:9">
      <c r="A31" s="141"/>
      <c r="B31" s="141"/>
      <c r="H31" t="s">
        <v>83</v>
      </c>
      <c r="I31" s="9" t="str">
        <f>'Form 1'!C9</f>
        <v>4755 N</v>
      </c>
    </row>
    <row r="32" spans="1:9" ht="15.75" customHeight="1">
      <c r="A32" s="111" t="s">
        <v>10</v>
      </c>
      <c r="B32" s="111" t="s">
        <v>11</v>
      </c>
      <c r="C32" s="111" t="s">
        <v>12</v>
      </c>
      <c r="D32" s="111" t="s">
        <v>84</v>
      </c>
      <c r="E32" s="142" t="s">
        <v>108</v>
      </c>
      <c r="F32" s="111" t="s">
        <v>85</v>
      </c>
      <c r="G32" s="111" t="s">
        <v>15</v>
      </c>
      <c r="H32" s="111"/>
      <c r="I32" s="111" t="s">
        <v>86</v>
      </c>
    </row>
    <row r="33" spans="1:9" ht="63">
      <c r="A33" s="111"/>
      <c r="B33" s="111"/>
      <c r="C33" s="111"/>
      <c r="D33" s="111"/>
      <c r="E33" s="143"/>
      <c r="F33" s="111"/>
      <c r="G33" s="38" t="s">
        <v>87</v>
      </c>
      <c r="H33" s="38" t="s">
        <v>19</v>
      </c>
      <c r="I33" s="111"/>
    </row>
    <row r="34" spans="1:9" ht="15.75">
      <c r="A34" s="22">
        <v>1</v>
      </c>
      <c r="B34" s="32" t="s">
        <v>158</v>
      </c>
      <c r="C34" s="75" t="s">
        <v>147</v>
      </c>
      <c r="D34" s="67"/>
      <c r="E34" s="74">
        <v>34.700000000000003</v>
      </c>
      <c r="F34" s="40">
        <v>2.5</v>
      </c>
      <c r="G34" s="67"/>
      <c r="H34" s="67"/>
      <c r="I34" s="67"/>
    </row>
    <row r="35" spans="1:9" ht="15.75">
      <c r="A35" s="22">
        <v>2</v>
      </c>
      <c r="B35" s="32" t="s">
        <v>160</v>
      </c>
      <c r="C35" s="75" t="s">
        <v>150</v>
      </c>
      <c r="D35" s="67"/>
      <c r="E35" s="74">
        <v>49.4</v>
      </c>
      <c r="F35" s="40">
        <v>2.5</v>
      </c>
      <c r="G35" s="67"/>
      <c r="H35" s="67"/>
      <c r="I35" s="67"/>
    </row>
    <row r="36" spans="1:9" ht="15.75">
      <c r="A36" s="22">
        <v>3</v>
      </c>
      <c r="B36" s="32" t="s">
        <v>161</v>
      </c>
      <c r="C36" s="75" t="s">
        <v>151</v>
      </c>
      <c r="D36" s="67"/>
      <c r="E36" s="74">
        <v>25.2</v>
      </c>
      <c r="F36" s="40">
        <v>2</v>
      </c>
      <c r="G36" s="67"/>
      <c r="H36" s="67"/>
      <c r="I36" s="67"/>
    </row>
  </sheetData>
  <mergeCells count="40">
    <mergeCell ref="A1:I1"/>
    <mergeCell ref="A2:B2"/>
    <mergeCell ref="A3:A4"/>
    <mergeCell ref="B3:B4"/>
    <mergeCell ref="C3:C4"/>
    <mergeCell ref="D3:D4"/>
    <mergeCell ref="E3:E4"/>
    <mergeCell ref="F3:F4"/>
    <mergeCell ref="G3:H3"/>
    <mergeCell ref="I3:I4"/>
    <mergeCell ref="A13:I13"/>
    <mergeCell ref="A14:B14"/>
    <mergeCell ref="A15:A16"/>
    <mergeCell ref="B15:B16"/>
    <mergeCell ref="C15:C16"/>
    <mergeCell ref="D15:D16"/>
    <mergeCell ref="E15:E16"/>
    <mergeCell ref="F15:F16"/>
    <mergeCell ref="G15:H15"/>
    <mergeCell ref="I15:I16"/>
    <mergeCell ref="A21:I21"/>
    <mergeCell ref="A22:B22"/>
    <mergeCell ref="A23:A24"/>
    <mergeCell ref="B23:B24"/>
    <mergeCell ref="C23:C24"/>
    <mergeCell ref="D23:D24"/>
    <mergeCell ref="E23:E24"/>
    <mergeCell ref="F23:F24"/>
    <mergeCell ref="G23:H23"/>
    <mergeCell ref="I23:I24"/>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workbookViewId="0">
      <selection activeCell="B40" sqref="B40"/>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52" t="s">
        <v>91</v>
      </c>
      <c r="B1" s="152"/>
      <c r="C1" s="152"/>
      <c r="D1" s="152"/>
      <c r="E1" s="152"/>
      <c r="F1" s="152"/>
      <c r="G1" s="152"/>
    </row>
    <row r="2" spans="1:7" ht="15.75">
      <c r="A2" s="153"/>
      <c r="B2" s="153"/>
      <c r="C2" s="2"/>
      <c r="D2" s="2"/>
      <c r="E2" s="2"/>
      <c r="F2" t="s">
        <v>83</v>
      </c>
      <c r="G2" s="9" t="str">
        <f>'Form 1'!C9</f>
        <v>4755 N</v>
      </c>
    </row>
    <row r="3" spans="1:7" ht="15.75">
      <c r="A3" s="111" t="s">
        <v>10</v>
      </c>
      <c r="B3" s="111" t="s">
        <v>11</v>
      </c>
      <c r="C3" s="111" t="s">
        <v>12</v>
      </c>
      <c r="D3" s="111" t="s">
        <v>92</v>
      </c>
      <c r="E3" s="111" t="s">
        <v>15</v>
      </c>
      <c r="F3" s="111"/>
      <c r="G3" s="111" t="s">
        <v>93</v>
      </c>
    </row>
    <row r="4" spans="1:7" ht="31.5">
      <c r="A4" s="111"/>
      <c r="B4" s="111"/>
      <c r="C4" s="111"/>
      <c r="D4" s="111"/>
      <c r="E4" s="30" t="s">
        <v>94</v>
      </c>
      <c r="F4" s="30" t="s">
        <v>95</v>
      </c>
      <c r="G4" s="111"/>
    </row>
    <row r="5" spans="1:7" ht="15.75">
      <c r="A5" s="111"/>
      <c r="B5" s="111"/>
      <c r="C5" s="111"/>
      <c r="D5" s="111"/>
      <c r="E5" s="31" t="s">
        <v>96</v>
      </c>
      <c r="F5" s="31" t="s">
        <v>97</v>
      </c>
      <c r="G5" s="111"/>
    </row>
    <row r="6" spans="1:7" ht="15.75">
      <c r="A6" s="22">
        <v>1</v>
      </c>
      <c r="B6" s="23" t="s">
        <v>186</v>
      </c>
      <c r="C6" s="3" t="s">
        <v>180</v>
      </c>
      <c r="D6" s="40">
        <v>20</v>
      </c>
      <c r="E6" s="22"/>
      <c r="F6" s="30"/>
      <c r="G6" s="22"/>
    </row>
    <row r="7" spans="1:7" ht="15.75">
      <c r="A7" s="22">
        <v>2</v>
      </c>
      <c r="B7" s="32" t="s">
        <v>186</v>
      </c>
      <c r="C7" s="3" t="s">
        <v>180</v>
      </c>
      <c r="D7" s="40">
        <v>14</v>
      </c>
      <c r="E7" s="22"/>
      <c r="F7" s="22"/>
      <c r="G7" s="22"/>
    </row>
    <row r="8" spans="1:7" ht="15.75">
      <c r="A8" s="22">
        <v>3</v>
      </c>
      <c r="B8" s="32" t="s">
        <v>161</v>
      </c>
      <c r="C8" s="3" t="s">
        <v>151</v>
      </c>
      <c r="D8" s="40">
        <v>20</v>
      </c>
      <c r="E8" s="22"/>
      <c r="F8" s="39"/>
      <c r="G8" s="22"/>
    </row>
    <row r="9" spans="1:7" ht="15.75">
      <c r="A9" s="22">
        <v>4</v>
      </c>
      <c r="B9" s="32" t="s">
        <v>187</v>
      </c>
      <c r="C9" s="3" t="s">
        <v>182</v>
      </c>
      <c r="D9" s="40" t="s">
        <v>185</v>
      </c>
      <c r="E9" s="22"/>
      <c r="F9" s="22"/>
      <c r="G9" s="22"/>
    </row>
    <row r="10" spans="1:7" ht="15.75">
      <c r="A10" s="22">
        <v>5</v>
      </c>
      <c r="B10" s="32" t="s">
        <v>188</v>
      </c>
      <c r="C10" s="3" t="s">
        <v>183</v>
      </c>
      <c r="D10" s="40">
        <v>13</v>
      </c>
      <c r="E10" s="22"/>
      <c r="F10" s="73"/>
      <c r="G10" s="22"/>
    </row>
    <row r="11" spans="1:7" ht="15.75">
      <c r="A11" s="22">
        <v>6</v>
      </c>
      <c r="B11" s="32" t="s">
        <v>188</v>
      </c>
      <c r="C11" s="3" t="s">
        <v>183</v>
      </c>
      <c r="D11" s="40">
        <v>50</v>
      </c>
      <c r="E11" s="22"/>
      <c r="F11" s="73"/>
      <c r="G11" s="22"/>
    </row>
    <row r="12" spans="1:7" ht="15.75">
      <c r="A12" s="22">
        <v>7</v>
      </c>
      <c r="B12" s="32" t="s">
        <v>188</v>
      </c>
      <c r="C12" s="3" t="s">
        <v>183</v>
      </c>
      <c r="D12" s="40">
        <v>40</v>
      </c>
      <c r="E12" s="22"/>
      <c r="F12" s="73"/>
      <c r="G12" s="22"/>
    </row>
    <row r="13" spans="1:7" ht="15.75">
      <c r="A13" s="22">
        <v>8</v>
      </c>
      <c r="B13" s="32" t="s">
        <v>188</v>
      </c>
      <c r="C13" s="3" t="s">
        <v>183</v>
      </c>
      <c r="D13" s="40">
        <v>12</v>
      </c>
      <c r="E13" s="22"/>
      <c r="F13" s="73"/>
      <c r="G13" s="22"/>
    </row>
    <row r="14" spans="1:7" ht="15.75">
      <c r="A14" s="22">
        <v>9</v>
      </c>
      <c r="B14" s="32" t="s">
        <v>188</v>
      </c>
      <c r="C14" s="3" t="s">
        <v>183</v>
      </c>
      <c r="D14" s="40">
        <v>5</v>
      </c>
      <c r="E14" s="22"/>
      <c r="F14" s="73"/>
      <c r="G14" s="22"/>
    </row>
    <row r="15" spans="1:7" ht="15.75">
      <c r="A15" s="22">
        <v>10</v>
      </c>
      <c r="B15" s="32" t="s">
        <v>188</v>
      </c>
      <c r="C15" s="3" t="s">
        <v>183</v>
      </c>
      <c r="D15" s="40">
        <v>10</v>
      </c>
      <c r="E15" s="22"/>
      <c r="F15" s="73"/>
      <c r="G15" s="22"/>
    </row>
    <row r="16" spans="1:7" ht="15.75">
      <c r="A16" s="22">
        <v>11</v>
      </c>
      <c r="B16" s="32" t="s">
        <v>189</v>
      </c>
      <c r="C16" s="3" t="s">
        <v>184</v>
      </c>
      <c r="D16" s="40" t="s">
        <v>185</v>
      </c>
      <c r="E16" s="22"/>
      <c r="F16" s="73"/>
      <c r="G16" s="22"/>
    </row>
    <row r="17" spans="1:12" ht="31.5">
      <c r="A17" s="22">
        <v>12</v>
      </c>
      <c r="B17" s="32" t="s">
        <v>167</v>
      </c>
      <c r="C17" s="3" t="s">
        <v>149</v>
      </c>
      <c r="D17" s="40">
        <v>40</v>
      </c>
      <c r="E17" s="22"/>
      <c r="F17" s="73"/>
      <c r="G17" s="22"/>
    </row>
    <row r="18" spans="1:12" ht="15.75">
      <c r="A18" s="116" t="s">
        <v>103</v>
      </c>
      <c r="B18" s="149"/>
      <c r="C18" s="149"/>
      <c r="D18" s="149"/>
      <c r="E18" s="149"/>
      <c r="F18" s="149"/>
      <c r="G18" s="117"/>
    </row>
    <row r="19" spans="1:12" ht="15.75">
      <c r="A19" s="22">
        <v>1</v>
      </c>
      <c r="B19" s="146" t="s">
        <v>104</v>
      </c>
      <c r="C19" s="147"/>
      <c r="D19" s="147"/>
      <c r="E19" s="147"/>
      <c r="F19" s="148"/>
      <c r="G19" s="3" t="s">
        <v>173</v>
      </c>
    </row>
    <row r="20" spans="1:12" ht="15.75">
      <c r="A20" s="22">
        <v>2</v>
      </c>
      <c r="B20" s="146" t="s">
        <v>105</v>
      </c>
      <c r="C20" s="147"/>
      <c r="D20" s="147"/>
      <c r="E20" s="147"/>
      <c r="F20" s="148"/>
      <c r="G20" s="3" t="s">
        <v>174</v>
      </c>
    </row>
    <row r="21" spans="1:12" ht="15.75">
      <c r="A21" s="22">
        <v>3</v>
      </c>
      <c r="B21" s="146" t="s">
        <v>106</v>
      </c>
      <c r="C21" s="147"/>
      <c r="D21" s="147"/>
      <c r="E21" s="147"/>
      <c r="F21" s="148"/>
      <c r="G21" s="3" t="s">
        <v>175</v>
      </c>
    </row>
    <row r="22" spans="1:12" ht="15.75">
      <c r="A22" s="22">
        <v>4</v>
      </c>
      <c r="B22" s="146" t="s">
        <v>107</v>
      </c>
      <c r="C22" s="147"/>
      <c r="D22" s="147"/>
      <c r="E22" s="147"/>
      <c r="F22" s="148"/>
      <c r="G22" s="3" t="s">
        <v>176</v>
      </c>
    </row>
    <row r="23" spans="1:12" ht="15.75">
      <c r="A23" s="24"/>
      <c r="B23" s="34"/>
      <c r="C23" s="34"/>
      <c r="D23" s="24"/>
      <c r="E23" s="24"/>
      <c r="F23" s="24"/>
      <c r="G23" s="24"/>
      <c r="L23" s="33"/>
    </row>
    <row r="24" spans="1:12" s="35" customFormat="1" ht="19.899999999999999" customHeight="1">
      <c r="A24" s="151" t="s">
        <v>98</v>
      </c>
      <c r="B24" s="151"/>
      <c r="C24" s="151"/>
      <c r="D24" s="151"/>
      <c r="E24" s="151"/>
      <c r="F24" s="151"/>
      <c r="G24" s="151"/>
      <c r="L24" s="33"/>
    </row>
    <row r="25" spans="1:12" ht="15.75">
      <c r="A25" s="35"/>
      <c r="B25" s="35"/>
      <c r="C25" s="35"/>
      <c r="D25" s="35"/>
      <c r="E25" s="35"/>
      <c r="F25" t="s">
        <v>83</v>
      </c>
      <c r="G25" s="9" t="str">
        <f>'Form 1'!C9</f>
        <v>4755 N</v>
      </c>
      <c r="L25" s="33"/>
    </row>
    <row r="26" spans="1:12" ht="15.75" customHeight="1">
      <c r="A26" s="142" t="s">
        <v>10</v>
      </c>
      <c r="B26" s="142" t="s">
        <v>11</v>
      </c>
      <c r="C26" s="142" t="s">
        <v>12</v>
      </c>
      <c r="D26" s="142" t="s">
        <v>99</v>
      </c>
      <c r="E26" s="116" t="s">
        <v>15</v>
      </c>
      <c r="F26" s="117"/>
      <c r="G26" s="142" t="s">
        <v>100</v>
      </c>
      <c r="L26" s="33"/>
    </row>
    <row r="27" spans="1:12" ht="31.5">
      <c r="A27" s="150"/>
      <c r="B27" s="150"/>
      <c r="C27" s="150"/>
      <c r="D27" s="150"/>
      <c r="E27" s="30" t="s">
        <v>94</v>
      </c>
      <c r="F27" s="30" t="s">
        <v>95</v>
      </c>
      <c r="G27" s="150"/>
      <c r="L27" s="33"/>
    </row>
    <row r="28" spans="1:12" ht="15.75">
      <c r="A28" s="143"/>
      <c r="B28" s="143"/>
      <c r="C28" s="143"/>
      <c r="D28" s="143"/>
      <c r="E28" s="31" t="s">
        <v>96</v>
      </c>
      <c r="F28" s="31" t="s">
        <v>97</v>
      </c>
      <c r="G28" s="143"/>
      <c r="L28" s="33"/>
    </row>
    <row r="29" spans="1:12" ht="31.5">
      <c r="A29" s="22">
        <v>1</v>
      </c>
      <c r="B29" s="32" t="s">
        <v>191</v>
      </c>
      <c r="C29" s="3" t="s">
        <v>171</v>
      </c>
      <c r="D29" s="40">
        <v>30</v>
      </c>
      <c r="E29" s="22"/>
      <c r="F29" s="22"/>
      <c r="G29" s="22"/>
      <c r="L29" s="33"/>
    </row>
    <row r="30" spans="1:12" ht="15.75">
      <c r="A30" s="22">
        <v>2</v>
      </c>
      <c r="B30" s="32" t="s">
        <v>161</v>
      </c>
      <c r="C30" s="3" t="s">
        <v>151</v>
      </c>
      <c r="D30" s="40">
        <v>10</v>
      </c>
      <c r="E30" s="22"/>
      <c r="F30" s="22"/>
      <c r="G30" s="22"/>
      <c r="L30" s="33"/>
    </row>
    <row r="31" spans="1:12" ht="15.75">
      <c r="A31" s="22">
        <v>3</v>
      </c>
      <c r="B31" s="32" t="s">
        <v>161</v>
      </c>
      <c r="C31" s="3" t="s">
        <v>151</v>
      </c>
      <c r="D31" s="40">
        <v>23</v>
      </c>
      <c r="E31" s="22"/>
      <c r="F31" s="22"/>
      <c r="G31" s="22"/>
      <c r="L31" s="33"/>
    </row>
    <row r="32" spans="1:12" ht="15.75">
      <c r="A32" s="22">
        <v>4</v>
      </c>
      <c r="B32" s="23" t="s">
        <v>186</v>
      </c>
      <c r="C32" s="3" t="s">
        <v>180</v>
      </c>
      <c r="D32" s="40">
        <v>100</v>
      </c>
      <c r="E32" s="22"/>
      <c r="F32" s="22"/>
      <c r="G32" s="22"/>
      <c r="L32" s="33"/>
    </row>
    <row r="33" spans="1:12" ht="15.75">
      <c r="A33" s="22">
        <v>5</v>
      </c>
      <c r="B33" s="32" t="s">
        <v>188</v>
      </c>
      <c r="C33" s="3" t="s">
        <v>183</v>
      </c>
      <c r="D33" s="40">
        <v>85</v>
      </c>
      <c r="E33" s="22"/>
      <c r="F33" s="22"/>
      <c r="G33" s="22"/>
      <c r="L33" s="33"/>
    </row>
    <row r="34" spans="1:12" ht="15.75">
      <c r="A34" s="22">
        <v>6</v>
      </c>
      <c r="B34" s="32" t="s">
        <v>188</v>
      </c>
      <c r="C34" s="3" t="s">
        <v>183</v>
      </c>
      <c r="D34" s="40">
        <v>40</v>
      </c>
      <c r="E34" s="22"/>
      <c r="F34" s="22"/>
      <c r="G34" s="22"/>
      <c r="L34" s="33"/>
    </row>
    <row r="35" spans="1:12" ht="15.75">
      <c r="A35" s="22">
        <v>7</v>
      </c>
      <c r="B35" s="32" t="s">
        <v>188</v>
      </c>
      <c r="C35" s="3" t="s">
        <v>183</v>
      </c>
      <c r="D35" s="40">
        <v>45</v>
      </c>
      <c r="E35" s="22"/>
      <c r="F35" s="22"/>
      <c r="G35" s="22"/>
      <c r="L35" s="33"/>
    </row>
    <row r="36" spans="1:12" ht="15.75">
      <c r="A36" s="22">
        <v>8</v>
      </c>
      <c r="B36" s="32" t="s">
        <v>188</v>
      </c>
      <c r="C36" s="3" t="s">
        <v>183</v>
      </c>
      <c r="D36" s="40">
        <v>50</v>
      </c>
      <c r="E36" s="22"/>
      <c r="F36" s="22"/>
      <c r="G36" s="22"/>
      <c r="L36" s="33"/>
    </row>
    <row r="37" spans="1:12" ht="15.75">
      <c r="A37" s="22">
        <v>9</v>
      </c>
      <c r="B37" s="32" t="s">
        <v>188</v>
      </c>
      <c r="C37" s="3" t="s">
        <v>183</v>
      </c>
      <c r="D37" s="40">
        <v>15</v>
      </c>
      <c r="E37" s="22"/>
      <c r="F37" s="22"/>
      <c r="G37" s="22"/>
      <c r="L37" s="33"/>
    </row>
    <row r="38" spans="1:12" ht="15.75">
      <c r="A38" s="22">
        <v>10</v>
      </c>
      <c r="B38" s="32" t="s">
        <v>188</v>
      </c>
      <c r="C38" s="3" t="s">
        <v>183</v>
      </c>
      <c r="D38" s="40">
        <v>20</v>
      </c>
      <c r="E38" s="22"/>
      <c r="F38" s="22"/>
      <c r="G38" s="22"/>
      <c r="L38" s="33"/>
    </row>
    <row r="39" spans="1:12" ht="15.75">
      <c r="A39" s="22">
        <v>11</v>
      </c>
      <c r="B39" s="32" t="s">
        <v>188</v>
      </c>
      <c r="C39" s="3" t="s">
        <v>183</v>
      </c>
      <c r="D39" s="40">
        <v>7</v>
      </c>
      <c r="E39" s="22"/>
      <c r="F39" s="22"/>
      <c r="G39" s="22"/>
      <c r="L39" s="33"/>
    </row>
    <row r="40" spans="1:12" ht="15.75">
      <c r="A40" s="22">
        <v>12</v>
      </c>
      <c r="B40" s="32" t="s">
        <v>189</v>
      </c>
      <c r="C40" s="3" t="s">
        <v>184</v>
      </c>
      <c r="D40" s="40" t="s">
        <v>185</v>
      </c>
      <c r="E40" s="22"/>
      <c r="F40" s="22"/>
      <c r="G40" s="22"/>
      <c r="L40" s="33"/>
    </row>
    <row r="41" spans="1:12" ht="15.75">
      <c r="A41" s="116" t="s">
        <v>103</v>
      </c>
      <c r="B41" s="149"/>
      <c r="C41" s="149"/>
      <c r="D41" s="149"/>
      <c r="E41" s="149"/>
      <c r="F41" s="149"/>
      <c r="G41" s="117"/>
    </row>
    <row r="42" spans="1:12" ht="15.75">
      <c r="A42" s="22">
        <v>1</v>
      </c>
      <c r="B42" s="146" t="s">
        <v>104</v>
      </c>
      <c r="C42" s="147"/>
      <c r="D42" s="147"/>
      <c r="E42" s="147"/>
      <c r="F42" s="148"/>
      <c r="G42" s="3" t="s">
        <v>177</v>
      </c>
    </row>
    <row r="43" spans="1:12" ht="15.75">
      <c r="A43" s="22">
        <v>2</v>
      </c>
      <c r="B43" s="146" t="s">
        <v>105</v>
      </c>
      <c r="C43" s="147"/>
      <c r="D43" s="147"/>
      <c r="E43" s="147"/>
      <c r="F43" s="148"/>
      <c r="G43" s="3" t="s">
        <v>178</v>
      </c>
    </row>
    <row r="44" spans="1:12" ht="15.75">
      <c r="A44" s="22">
        <v>3</v>
      </c>
      <c r="B44" s="146" t="s">
        <v>106</v>
      </c>
      <c r="C44" s="147"/>
      <c r="D44" s="147"/>
      <c r="E44" s="147"/>
      <c r="F44" s="148"/>
      <c r="G44" s="3" t="s">
        <v>178</v>
      </c>
    </row>
    <row r="45" spans="1:12" ht="15.75">
      <c r="A45" s="22">
        <v>4</v>
      </c>
      <c r="B45" s="146" t="s">
        <v>107</v>
      </c>
      <c r="C45" s="147"/>
      <c r="D45" s="147"/>
      <c r="E45" s="147"/>
      <c r="F45" s="148"/>
      <c r="G45" s="3" t="s">
        <v>179</v>
      </c>
    </row>
  </sheetData>
  <mergeCells count="25">
    <mergeCell ref="E26:F26"/>
    <mergeCell ref="A1:G1"/>
    <mergeCell ref="A2:B2"/>
    <mergeCell ref="A3:A5"/>
    <mergeCell ref="B3:B5"/>
    <mergeCell ref="C3:C5"/>
    <mergeCell ref="D3:D5"/>
    <mergeCell ref="E3:F3"/>
    <mergeCell ref="G3:G5"/>
    <mergeCell ref="B44:F44"/>
    <mergeCell ref="B45:F45"/>
    <mergeCell ref="A18:G18"/>
    <mergeCell ref="B19:F19"/>
    <mergeCell ref="A41:G41"/>
    <mergeCell ref="B42:F42"/>
    <mergeCell ref="B43:F43"/>
    <mergeCell ref="G26:G28"/>
    <mergeCell ref="A24:G24"/>
    <mergeCell ref="B20:F20"/>
    <mergeCell ref="B21:F21"/>
    <mergeCell ref="B22:F22"/>
    <mergeCell ref="A26:A28"/>
    <mergeCell ref="B26:B28"/>
    <mergeCell ref="C26:C28"/>
    <mergeCell ref="D26:D2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2024-04-11T02:57:30Z</dcterms:modified>
</cp:coreProperties>
</file>