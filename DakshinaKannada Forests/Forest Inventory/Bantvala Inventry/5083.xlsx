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8" i="12"/>
  <c r="G2"/>
  <c r="I27" i="11"/>
  <c r="I16"/>
  <c r="I8"/>
  <c r="I2"/>
  <c r="C13" i="8"/>
  <c r="C12"/>
  <c r="C11"/>
  <c r="C10"/>
  <c r="C5" i="6" s="1"/>
  <c r="C9" i="8"/>
</calcChain>
</file>

<file path=xl/sharedStrings.xml><?xml version="1.0" encoding="utf-8"?>
<sst xmlns="http://schemas.openxmlformats.org/spreadsheetml/2006/main" count="285" uniqueCount="174">
  <si>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</si>
  <si>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</si>
  <si>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</si>
  <si>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</si>
  <si>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</si>
  <si>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</si>
  <si>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</si>
  <si>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</si>
  <si>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</si>
  <si>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</si>
  <si>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</si>
  <si>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</si>
  <si>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</si>
  <si>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</si>
  <si>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</si>
  <si>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</si>
  <si>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</si>
  <si>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</si>
  <si>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</si>
  <si>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</si>
  <si>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</si>
  <si>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</si>
  <si>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</si>
  <si>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</si>
  <si>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</si>
  <si>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</si>
  <si>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</si>
  <si>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</si>
  <si>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</si>
  <si>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</si>
  <si>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</si>
  <si>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</si>
  <si>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</si>
  <si>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</si>
  <si>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</si>
  <si>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</si>
  <si>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</si>
  <si>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</si>
  <si>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</si>
  <si>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</si>
  <si>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</si>
  <si>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</si>
  <si>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</si>
  <si>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</si>
  <si>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</si>
  <si>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</si>
  <si>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</si>
  <si>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</si>
  <si>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</si>
  <si>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</si>
  <si>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</si>
  <si>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</si>
  <si>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</si>
  <si>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</si>
  <si>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</si>
  <si>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</si>
  <si>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</si>
  <si>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</si>
  <si>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</si>
  <si>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</si>
  <si>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</si>
  <si>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</si>
  <si>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</si>
  <si>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</si>
  <si>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</si>
  <si>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</si>
  <si>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</si>
  <si>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</si>
  <si>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</si>
  <si>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</si>
  <si>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</si>
  <si>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</si>
  <si>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</si>
  <si>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</si>
  <si>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</si>
  <si>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</si>
  <si>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</si>
  <si>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</si>
  <si>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</si>
  <si>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</si>
  <si>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</si>
  <si>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</si>
  <si>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</si>
  <si>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</si>
  <si>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</si>
  <si>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</si>
  <si>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</si>
  <si>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</si>
  <si>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</si>
  <si>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</si>
  <si>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</si>
  <si>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</si>
  <si>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</si>
  <si>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</si>
  <si>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</si>
  <si>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</si>
  <si>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</si>
  <si>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</si>
  <si>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</si>
  <si>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</si>
  <si>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</si>
  <si>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</si>
  <si>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</si>
  <si>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</si>
  <si>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</si>
  <si>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</si>
  <si>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</si>
  <si>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</si>
  <si>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</si>
  <si>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</si>
  <si>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</si>
  <si>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4. Soil- Latarite soil</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</si>
  <si>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</si>
  <si>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</si>
  <si>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</si>
  <si>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</si>
  <si>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7. Bamboo - Absent</t>
  </si>
  <si>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</si>
  <si>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t>Ignecious Rocks</t>
  </si>
  <si>
    <t>Absent</t>
  </si>
  <si>
    <t>Scanty - Malastoma offine, Eupatorium.</t>
  </si>
  <si>
    <t>Natural forest</t>
  </si>
  <si>
    <t>Not Degrated</t>
  </si>
  <si>
    <t>I - 22A</t>
  </si>
  <si>
    <t>Thenkakajekaru aranya kshetra</t>
  </si>
  <si>
    <t>Start from Bantvala Range office to towards Belthangadi road to Punjalkatte for 20.1 km N- 12.949686, E- 75.169014. Then right turn to Thekakajekaru block for 5.6 km N- 12.897073, E- 75.181999 (By Jeep). Then walked right for 85 mtr to reached center of the plot.</t>
  </si>
  <si>
    <r>
      <t xml:space="preserve">Dry Decidiuos Open forest, Speices like </t>
    </r>
    <r>
      <rPr>
        <i/>
        <sz val="12"/>
        <color theme="1"/>
        <rFont val="Calibri"/>
        <family val="2"/>
        <scheme val="minor"/>
      </rPr>
      <t xml:space="preserve">Randea aculeata </t>
    </r>
    <r>
      <rPr>
        <sz val="12"/>
        <color theme="1"/>
        <rFont val="Calibri"/>
        <family val="2"/>
        <scheme val="minor"/>
      </rPr>
      <t xml:space="preserve">(Kaare),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</si>
  <si>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Hilly</t>
  </si>
  <si>
    <t>2. Aspect -South West</t>
  </si>
  <si>
    <t>3.Canopy density - Open scrub forest</t>
  </si>
  <si>
    <r>
      <t xml:space="preserve">5. Grass - Moderate </t>
    </r>
    <r>
      <rPr>
        <i/>
        <sz val="12"/>
        <color theme="1"/>
        <rFont val="Calibri"/>
        <family val="2"/>
        <scheme val="minor"/>
      </rPr>
      <t>Cynodon dactylon</t>
    </r>
    <r>
      <rPr>
        <sz val="12"/>
        <color theme="1"/>
        <rFont val="Calibri"/>
        <family val="2"/>
        <scheme val="minor"/>
      </rPr>
      <t xml:space="preserve"> (Hambuhullu)</t>
    </r>
  </si>
  <si>
    <r>
      <t xml:space="preserve">8. Herbs -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</si>
  <si>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</si>
  <si>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r>
      <t>12. Rattans -</t>
    </r>
    <r>
      <rPr>
        <i/>
        <sz val="12"/>
        <color theme="1"/>
        <rFont val="Calibri"/>
        <family val="2"/>
        <scheme val="minor"/>
      </rPr>
      <t>Nill</t>
    </r>
  </si>
  <si>
    <r>
      <t>13. NTFP yielding sps -</t>
    </r>
    <r>
      <rPr>
        <i/>
        <sz val="12"/>
        <color theme="1"/>
        <rFont val="Calibri"/>
        <family val="2"/>
        <scheme val="minor"/>
      </rPr>
      <t>Senegalea rugata</t>
    </r>
    <r>
      <rPr>
        <sz val="12"/>
        <color theme="1"/>
        <rFont val="Calibri"/>
        <family val="2"/>
        <scheme val="minor"/>
      </rPr>
      <t xml:space="preserve"> (Seege), </t>
    </r>
  </si>
  <si>
    <t>136 m</t>
  </si>
  <si>
    <t>Open scrub forest</t>
  </si>
  <si>
    <t>Hily</t>
  </si>
  <si>
    <t>Upto 16 - 40</t>
  </si>
  <si>
    <t>South west</t>
  </si>
  <si>
    <t>Latarite soil, Texture - Hard, Depth - 30cm, Permiability - Good.</t>
  </si>
  <si>
    <t>Moderate Erosion</t>
  </si>
  <si>
    <t>Scrub forest</t>
  </si>
  <si>
    <t>Poor</t>
  </si>
  <si>
    <t>Moderate- Cynodon dactylon (Hambuhullu)</t>
  </si>
  <si>
    <t>Mullumuttuga</t>
  </si>
  <si>
    <t>Godda</t>
  </si>
  <si>
    <t>Acassia</t>
  </si>
  <si>
    <t>Buruga</t>
  </si>
  <si>
    <t>Mullusampige</t>
  </si>
  <si>
    <t>Marva</t>
  </si>
  <si>
    <t>Kasarka</t>
  </si>
  <si>
    <t>Erythrina indica</t>
  </si>
  <si>
    <t>Garuga pinnata</t>
  </si>
  <si>
    <t>Bobax ceaba</t>
  </si>
  <si>
    <t>Flacourita monatana</t>
  </si>
  <si>
    <t>Terminalea paniculata</t>
  </si>
  <si>
    <t>Strychnos nux-vomica</t>
  </si>
  <si>
    <t>Nill</t>
  </si>
  <si>
    <t>Prige</t>
  </si>
  <si>
    <t>325 gm</t>
  </si>
  <si>
    <t>110 gm</t>
  </si>
  <si>
    <t>365 gm</t>
  </si>
  <si>
    <t>1.5 kg</t>
  </si>
  <si>
    <t>210 gm</t>
  </si>
  <si>
    <t>Parige</t>
  </si>
  <si>
    <t>Salle</t>
  </si>
  <si>
    <t>Kodsa</t>
  </si>
  <si>
    <t>Kumsa</t>
  </si>
  <si>
    <t>Adchar</t>
  </si>
  <si>
    <t>Climber</t>
  </si>
  <si>
    <t>Kaansurgi</t>
  </si>
  <si>
    <t>Jangame</t>
  </si>
  <si>
    <t>vaatmadike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</si>
</sst>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110</v>
      </c>
    </row>
    <row r="4" spans="1:3">
      <c r="A4" s="46"/>
    </row>
    <row r="5" spans="1:3" ht="31.5">
      <c r="A5" s="47" t="s">
        <v>23</v>
      </c>
      <c r="B5" s="49" t="s">
        <v>24</v>
      </c>
      <c r="C5" s="49" t="s">
        <v>25</v>
      </c>
    </row>
    <row r="6" spans="1:3">
      <c r="A6" s="50">
        <v>1</v>
      </c>
      <c r="B6" s="51" t="s">
        <v>26</v>
      </c>
      <c r="C6" s="55" t="s">
        <v>115</v>
      </c>
    </row>
    <row r="7" spans="1:3" ht="31.5">
      <c r="A7" s="50">
        <v>2</v>
      </c>
      <c r="B7" s="51" t="s">
        <v>27</v>
      </c>
      <c r="C7" s="55"/>
    </row>
    <row r="8" spans="1:3">
      <c r="A8" s="50">
        <v>3</v>
      </c>
      <c r="B8" s="51" t="s">
        <v>28</v>
      </c>
      <c r="C8" s="55" t="s">
        <v>123</v>
      </c>
    </row>
    <row r="9" spans="1:3">
      <c r="A9" s="50">
        <v>4</v>
      </c>
      <c r="B9" s="51" t="s">
        <v>29</v>
      </c>
      <c r="C9" s="42">
        <v>5083</v>
      </c>
    </row>
    <row r="10" spans="1:3" ht="20.25" customHeight="1">
      <c r="A10" s="50">
        <v>5</v>
      </c>
      <c r="B10" s="51" t="s">
        <v>30</v>
      </c>
      <c r="C10" s="56">
        <v>12.897713</v>
      </c>
    </row>
    <row r="11" spans="1:3" ht="23.25" customHeight="1">
      <c r="A11" s="50"/>
      <c r="B11" s="51" t="s">
        <v>31</v>
      </c>
      <c r="C11" s="56">
        <v>75.181541999999993</v>
      </c>
    </row>
    <row r="12" spans="1:3" ht="85.5" customHeight="1">
      <c r="A12" s="50">
        <v>7</v>
      </c>
      <c r="B12" s="51" t="s">
        <v>32</v>
      </c>
      <c r="C12" s="42" t="s">
        <v>125</v>
      </c>
    </row>
    <row r="13" spans="1:3" ht="78.75" customHeight="1">
      <c r="A13" s="50">
        <v>8</v>
      </c>
      <c r="B13" s="51" t="s">
        <v>33</v>
      </c>
      <c r="C13" s="57" t="s">
        <v>126</v>
      </c>
    </row>
    <row r="14" spans="1:3" ht="15.75" customHeight="1">
      <c r="A14" s="72">
        <v>9</v>
      </c>
      <c r="B14" s="76" t="s">
        <v>34</v>
      </c>
      <c r="C14" s="57" t="s">
        <v>127</v>
      </c>
    </row>
    <row r="15" spans="1:3">
      <c r="A15" s="73"/>
      <c r="B15" s="77"/>
      <c r="C15" s="57" t="s">
        <v>128</v>
      </c>
    </row>
    <row r="16" spans="1:3">
      <c r="A16" s="73"/>
      <c r="B16" s="77"/>
      <c r="C16" s="57" t="s">
        <v>129</v>
      </c>
    </row>
    <row r="17" spans="1:3">
      <c r="A17" s="73"/>
      <c r="B17" s="77"/>
      <c r="C17" s="57" t="s">
        <v>111</v>
      </c>
    </row>
    <row r="18" spans="1:3">
      <c r="A18" s="73"/>
      <c r="B18" s="77"/>
      <c r="C18" s="59" t="s">
        <v>130</v>
      </c>
    </row>
    <row r="19" spans="1:3">
      <c r="A19" s="73"/>
      <c r="B19" s="77"/>
      <c r="C19" s="57" t="s">
        <v>113</v>
      </c>
    </row>
    <row r="20" spans="1:3">
      <c r="A20" s="73"/>
      <c r="B20" s="77"/>
      <c r="C20" s="57" t="s">
        <v>116</v>
      </c>
    </row>
    <row r="21" spans="1:3" ht="31.5">
      <c r="A21" s="73"/>
      <c r="B21" s="77"/>
      <c r="C21" s="57" t="s">
        <v>131</v>
      </c>
    </row>
    <row r="22" spans="1:3" ht="31.5">
      <c r="A22" s="73"/>
      <c r="B22" s="77"/>
      <c r="C22" s="57" t="s">
        <v>114</v>
      </c>
    </row>
    <row r="23" spans="1:3" ht="47.25">
      <c r="A23" s="73"/>
      <c r="B23" s="77"/>
      <c r="C23" s="57" t="s">
        <v>117</v>
      </c>
    </row>
    <row r="24" spans="1:3" ht="48" customHeight="1">
      <c r="A24" s="73"/>
      <c r="B24" s="77"/>
      <c r="C24" s="57" t="s">
        <v>132</v>
      </c>
    </row>
    <row r="25" spans="1:3">
      <c r="A25" s="73"/>
      <c r="B25" s="77"/>
      <c r="C25" s="57" t="s">
        <v>133</v>
      </c>
    </row>
    <row r="26" spans="1:3">
      <c r="A26" s="73"/>
      <c r="B26" s="77"/>
      <c r="C26" s="57" t="s">
        <v>134</v>
      </c>
    </row>
    <row r="27" spans="1:3" ht="31.5">
      <c r="A27" s="50">
        <v>10</v>
      </c>
      <c r="B27" s="51" t="s">
        <v>35</v>
      </c>
      <c r="C27" s="51" t="s">
        <v>112</v>
      </c>
    </row>
    <row r="28" spans="1:3" ht="47.25">
      <c r="A28" s="50">
        <v>11</v>
      </c>
      <c r="B28" s="51" t="s">
        <v>36</v>
      </c>
      <c r="C28" s="51" t="s">
        <v>112</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3" sqref="C1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115</v>
      </c>
    </row>
    <row r="9" spans="1:3" ht="31.5">
      <c r="A9" s="50">
        <v>2</v>
      </c>
      <c r="B9" s="51" t="s">
        <v>41</v>
      </c>
      <c r="C9" s="52">
        <f>'Form 1'!C7</f>
        <v>0</v>
      </c>
    </row>
    <row r="10" spans="1:3">
      <c r="A10" s="50">
        <v>3</v>
      </c>
      <c r="B10" s="51" t="s">
        <v>28</v>
      </c>
      <c r="C10" s="52" t="str">
        <f>'Form 1'!C8</f>
        <v>I - 22A</v>
      </c>
    </row>
    <row r="11" spans="1:3">
      <c r="A11" s="50">
        <v>4</v>
      </c>
      <c r="B11" s="51" t="s">
        <v>29</v>
      </c>
      <c r="C11" s="52">
        <f>'Form 1'!C9</f>
        <v>5083</v>
      </c>
    </row>
    <row r="12" spans="1:3">
      <c r="A12" s="50">
        <v>5</v>
      </c>
      <c r="B12" s="51" t="s">
        <v>42</v>
      </c>
      <c r="C12" s="52">
        <f>'Form 1'!C10</f>
        <v>12.897713</v>
      </c>
    </row>
    <row r="13" spans="1:3">
      <c r="A13" s="50">
        <v>6</v>
      </c>
      <c r="B13" s="51" t="s">
        <v>43</v>
      </c>
      <c r="C13" s="52">
        <f>'Form 1'!C11</f>
        <v>75.181541999999993</v>
      </c>
    </row>
    <row r="14" spans="1:3">
      <c r="A14" s="50">
        <v>7</v>
      </c>
      <c r="B14" s="51" t="s">
        <v>44</v>
      </c>
      <c r="C14" s="52" t="s">
        <v>135</v>
      </c>
    </row>
    <row r="15" spans="1:3">
      <c r="A15" s="50">
        <v>8</v>
      </c>
      <c r="B15" s="51" t="s">
        <v>45</v>
      </c>
      <c r="C15" s="52" t="s">
        <v>124</v>
      </c>
    </row>
    <row r="16" spans="1:3">
      <c r="A16" s="50">
        <v>9</v>
      </c>
      <c r="B16" s="51" t="s">
        <v>46</v>
      </c>
      <c r="C16" s="52" t="s">
        <v>136</v>
      </c>
    </row>
    <row r="17" spans="1:3" ht="31.5">
      <c r="A17" s="50">
        <v>10</v>
      </c>
      <c r="B17" s="51" t="s">
        <v>47</v>
      </c>
      <c r="C17" s="52" t="s">
        <v>137</v>
      </c>
    </row>
    <row r="18" spans="1:3">
      <c r="A18" s="50">
        <v>11</v>
      </c>
      <c r="B18" s="51" t="s">
        <v>48</v>
      </c>
      <c r="C18" s="53" t="s">
        <v>138</v>
      </c>
    </row>
    <row r="19" spans="1:3">
      <c r="A19" s="50">
        <v>12</v>
      </c>
      <c r="B19" s="51" t="s">
        <v>49</v>
      </c>
      <c r="C19" s="53" t="s">
        <v>139</v>
      </c>
    </row>
    <row r="20" spans="1:3" ht="31.5">
      <c r="A20" s="50">
        <v>13</v>
      </c>
      <c r="B20" s="51" t="s">
        <v>50</v>
      </c>
      <c r="C20" s="53" t="s">
        <v>118</v>
      </c>
    </row>
    <row r="21" spans="1:3" ht="31.5">
      <c r="A21" s="50">
        <v>14</v>
      </c>
      <c r="B21" s="51" t="s">
        <v>51</v>
      </c>
      <c r="C21" s="53" t="s">
        <v>140</v>
      </c>
    </row>
    <row r="22" spans="1:3">
      <c r="A22" s="50">
        <v>15</v>
      </c>
      <c r="B22" s="51" t="s">
        <v>52</v>
      </c>
      <c r="C22" s="53" t="s">
        <v>141</v>
      </c>
    </row>
    <row r="23" spans="1:3" ht="31.5">
      <c r="A23" s="50">
        <v>16</v>
      </c>
      <c r="B23" s="51" t="s">
        <v>53</v>
      </c>
      <c r="C23" s="53" t="s">
        <v>142</v>
      </c>
    </row>
    <row r="24" spans="1:3" ht="31.5">
      <c r="A24" s="50">
        <v>17</v>
      </c>
      <c r="B24" s="51" t="s">
        <v>54</v>
      </c>
      <c r="C24" s="53" t="s">
        <v>143</v>
      </c>
    </row>
    <row r="25" spans="1:3" ht="31.5">
      <c r="A25" s="50">
        <v>18</v>
      </c>
      <c r="B25" s="51" t="s">
        <v>55</v>
      </c>
      <c r="C25" s="53" t="s">
        <v>112</v>
      </c>
    </row>
    <row r="26" spans="1:3" ht="31.5">
      <c r="A26" s="50">
        <v>19</v>
      </c>
      <c r="B26" s="51" t="s">
        <v>56</v>
      </c>
      <c r="C26" s="53" t="s">
        <v>112</v>
      </c>
    </row>
    <row r="27" spans="1:3" ht="31.5">
      <c r="A27" s="50">
        <v>20</v>
      </c>
      <c r="B27" s="51" t="s">
        <v>57</v>
      </c>
      <c r="C27" s="53" t="s">
        <v>119</v>
      </c>
    </row>
    <row r="28" spans="1:3" ht="31.5">
      <c r="A28" s="50">
        <v>21</v>
      </c>
      <c r="B28" s="51" t="s">
        <v>58</v>
      </c>
      <c r="C28" s="53" t="s">
        <v>144</v>
      </c>
    </row>
    <row r="29" spans="1:3" ht="31.5">
      <c r="A29" s="50">
        <v>22</v>
      </c>
      <c r="B29" s="51" t="s">
        <v>59</v>
      </c>
      <c r="C29" s="53" t="s">
        <v>120</v>
      </c>
    </row>
    <row r="30" spans="1:3" ht="31.5">
      <c r="A30" s="50">
        <v>23</v>
      </c>
      <c r="B30" s="51" t="s">
        <v>60</v>
      </c>
      <c r="C30" s="53" t="s">
        <v>121</v>
      </c>
    </row>
    <row r="31" spans="1:3">
      <c r="A31" s="50">
        <v>24</v>
      </c>
      <c r="B31" s="51" t="s">
        <v>61</v>
      </c>
      <c r="C31" s="53" t="s">
        <v>112</v>
      </c>
    </row>
    <row r="32" spans="1:3" ht="31.5">
      <c r="A32" s="50">
        <v>25</v>
      </c>
      <c r="B32" s="51" t="s">
        <v>62</v>
      </c>
      <c r="C32" s="53" t="s">
        <v>122</v>
      </c>
    </row>
    <row r="33" spans="1:3" ht="31.5">
      <c r="A33" s="50">
        <v>26</v>
      </c>
      <c r="B33" s="51" t="s">
        <v>63</v>
      </c>
      <c r="C33" s="53" t="s">
        <v>112</v>
      </c>
    </row>
    <row r="34" spans="1:3" ht="47.25">
      <c r="A34" s="50">
        <v>27</v>
      </c>
      <c r="B34" s="51" t="s">
        <v>64</v>
      </c>
      <c r="C34" s="53"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2"/>
  <sheetViews>
    <sheetView workbookViewId="0">
      <selection activeCell="B22" sqref="B22:C22"/>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- 22A</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136 m</v>
      </c>
      <c r="L6" s="91"/>
    </row>
    <row r="7" spans="1:12" ht="15.6" customHeight="1" thickBot="1">
      <c r="A7" s="116" t="s">
        <v>7</v>
      </c>
      <c r="B7" s="117"/>
      <c r="C7" s="92">
        <f>'Form 1'!C10</f>
        <v>12.897713</v>
      </c>
      <c r="D7" s="94"/>
      <c r="E7" s="15" t="s">
        <v>8</v>
      </c>
      <c r="F7" s="12"/>
      <c r="G7" s="92">
        <f>'Form 1'!C11</f>
        <v>75.181541999999993</v>
      </c>
      <c r="H7" s="92"/>
      <c r="I7" s="94"/>
      <c r="J7" s="15" t="s">
        <v>9</v>
      </c>
      <c r="K7" s="92">
        <f>'Form 1'!C9</f>
        <v>5083</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152</v>
      </c>
      <c r="C11" s="80"/>
      <c r="D11" s="3" t="s">
        <v>145</v>
      </c>
      <c r="E11" s="40">
        <v>85</v>
      </c>
      <c r="F11" s="40"/>
      <c r="G11" s="40">
        <v>6</v>
      </c>
      <c r="H11" s="81"/>
      <c r="I11" s="82"/>
      <c r="J11" s="103"/>
      <c r="K11" s="104"/>
      <c r="L11" s="11"/>
    </row>
    <row r="12" spans="1:12" ht="15.6" customHeight="1">
      <c r="A12" s="10">
        <v>2</v>
      </c>
      <c r="B12" s="79" t="s">
        <v>153</v>
      </c>
      <c r="C12" s="80"/>
      <c r="D12" s="4" t="s">
        <v>146</v>
      </c>
      <c r="E12" s="40">
        <v>40</v>
      </c>
      <c r="F12" s="40"/>
      <c r="G12" s="40">
        <v>4</v>
      </c>
      <c r="H12" s="81"/>
      <c r="I12" s="82"/>
      <c r="J12" s="103"/>
      <c r="K12" s="104"/>
      <c r="L12" s="11"/>
    </row>
    <row r="13" spans="1:12" ht="15.6" customHeight="1">
      <c r="A13" s="10">
        <v>3</v>
      </c>
      <c r="B13" s="79" t="s">
        <v>147</v>
      </c>
      <c r="C13" s="80"/>
      <c r="D13" s="3" t="s">
        <v>147</v>
      </c>
      <c r="E13" s="40">
        <v>71</v>
      </c>
      <c r="F13" s="40"/>
      <c r="G13" s="40">
        <v>10</v>
      </c>
      <c r="H13" s="81"/>
      <c r="I13" s="82"/>
      <c r="J13" s="103"/>
      <c r="K13" s="104"/>
      <c r="L13" s="11"/>
    </row>
    <row r="14" spans="1:12" ht="15.6" customHeight="1">
      <c r="A14" s="10">
        <v>4</v>
      </c>
      <c r="B14" s="79" t="s">
        <v>154</v>
      </c>
      <c r="C14" s="80"/>
      <c r="D14" s="3" t="s">
        <v>148</v>
      </c>
      <c r="E14" s="40">
        <v>104</v>
      </c>
      <c r="F14" s="40"/>
      <c r="G14" s="40">
        <v>10</v>
      </c>
      <c r="H14" s="81"/>
      <c r="I14" s="82"/>
      <c r="J14" s="103"/>
      <c r="K14" s="104"/>
      <c r="L14" s="11"/>
    </row>
    <row r="15" spans="1:12" ht="15.6" customHeight="1">
      <c r="A15" s="10">
        <v>5</v>
      </c>
      <c r="B15" s="79" t="s">
        <v>155</v>
      </c>
      <c r="C15" s="80"/>
      <c r="D15" s="7" t="s">
        <v>149</v>
      </c>
      <c r="E15" s="41">
        <v>68</v>
      </c>
      <c r="F15" s="40"/>
      <c r="G15" s="40">
        <v>5</v>
      </c>
      <c r="H15" s="81"/>
      <c r="I15" s="82"/>
      <c r="J15" s="103"/>
      <c r="K15" s="104"/>
      <c r="L15" s="11"/>
    </row>
    <row r="16" spans="1:12" ht="15.6" customHeight="1">
      <c r="A16" s="10">
        <v>6</v>
      </c>
      <c r="B16" s="79" t="s">
        <v>155</v>
      </c>
      <c r="C16" s="80"/>
      <c r="D16" s="4" t="s">
        <v>149</v>
      </c>
      <c r="E16" s="40">
        <v>52</v>
      </c>
      <c r="F16" s="41"/>
      <c r="G16" s="41">
        <v>6</v>
      </c>
      <c r="H16" s="118"/>
      <c r="I16" s="119"/>
      <c r="J16" s="103"/>
      <c r="K16" s="104"/>
      <c r="L16" s="11"/>
    </row>
    <row r="17" spans="1:12" ht="15.6" customHeight="1">
      <c r="A17" s="10">
        <v>7</v>
      </c>
      <c r="B17" s="79" t="s">
        <v>156</v>
      </c>
      <c r="C17" s="80"/>
      <c r="D17" s="7" t="s">
        <v>150</v>
      </c>
      <c r="E17" s="40">
        <v>45</v>
      </c>
      <c r="F17" s="41"/>
      <c r="G17" s="41">
        <v>7</v>
      </c>
      <c r="H17" s="118"/>
      <c r="I17" s="119"/>
      <c r="J17" s="103"/>
      <c r="K17" s="104"/>
      <c r="L17" s="11"/>
    </row>
    <row r="18" spans="1:12" ht="15.6" customHeight="1">
      <c r="A18" s="10">
        <v>8</v>
      </c>
      <c r="B18" s="79" t="s">
        <v>153</v>
      </c>
      <c r="C18" s="80"/>
      <c r="D18" s="3" t="s">
        <v>146</v>
      </c>
      <c r="E18" s="40">
        <v>63</v>
      </c>
      <c r="F18" s="41"/>
      <c r="G18" s="41">
        <v>7</v>
      </c>
      <c r="H18" s="118"/>
      <c r="I18" s="119"/>
      <c r="J18" s="103"/>
      <c r="K18" s="104"/>
      <c r="L18" s="11"/>
    </row>
    <row r="19" spans="1:12" ht="15.75">
      <c r="A19" s="10">
        <v>9</v>
      </c>
      <c r="B19" s="79" t="s">
        <v>153</v>
      </c>
      <c r="C19" s="80"/>
      <c r="D19" s="18" t="s">
        <v>146</v>
      </c>
      <c r="E19" s="40">
        <v>57</v>
      </c>
      <c r="F19" s="41"/>
      <c r="G19" s="41">
        <v>6</v>
      </c>
      <c r="H19" s="118"/>
      <c r="I19" s="119"/>
      <c r="J19" s="103"/>
      <c r="K19" s="104"/>
      <c r="L19" s="11"/>
    </row>
    <row r="20" spans="1:12" ht="15.6" customHeight="1">
      <c r="A20" s="10">
        <v>10</v>
      </c>
      <c r="B20" s="79" t="s">
        <v>152</v>
      </c>
      <c r="C20" s="80"/>
      <c r="D20" s="4" t="s">
        <v>145</v>
      </c>
      <c r="E20" s="40">
        <v>48</v>
      </c>
      <c r="F20" s="41"/>
      <c r="G20" s="41">
        <v>6</v>
      </c>
      <c r="H20" s="118"/>
      <c r="I20" s="119"/>
      <c r="J20" s="103"/>
      <c r="K20" s="104"/>
      <c r="L20" s="11"/>
    </row>
    <row r="21" spans="1:12" ht="15.6" customHeight="1">
      <c r="A21" s="10">
        <v>11</v>
      </c>
      <c r="B21" s="79" t="s">
        <v>153</v>
      </c>
      <c r="C21" s="80"/>
      <c r="D21" s="4" t="s">
        <v>146</v>
      </c>
      <c r="E21" s="40">
        <v>76</v>
      </c>
      <c r="F21" s="41"/>
      <c r="G21" s="41">
        <v>12</v>
      </c>
      <c r="H21" s="65"/>
      <c r="I21" s="66"/>
      <c r="J21" s="63"/>
      <c r="K21" s="64"/>
      <c r="L21" s="11"/>
    </row>
    <row r="22" spans="1:12" ht="15.6" customHeight="1">
      <c r="A22" s="10">
        <v>12</v>
      </c>
      <c r="B22" s="79" t="s">
        <v>157</v>
      </c>
      <c r="C22" s="80"/>
      <c r="D22" s="4" t="s">
        <v>151</v>
      </c>
      <c r="E22" s="40">
        <v>134</v>
      </c>
      <c r="F22" s="41"/>
      <c r="G22" s="41">
        <v>7</v>
      </c>
      <c r="H22" s="65"/>
      <c r="I22" s="66"/>
      <c r="J22" s="63"/>
      <c r="K22" s="64"/>
      <c r="L22" s="11"/>
    </row>
  </sheetData>
  <mergeCells count="57">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7" sqref="F17"/>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7" t="s">
        <v>158</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A34" sqref="A34:XFD4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5083</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70"/>
      <c r="C5" s="69" t="s">
        <v>159</v>
      </c>
      <c r="D5" s="68"/>
      <c r="E5" s="68">
        <v>48.7</v>
      </c>
      <c r="F5" s="68">
        <v>3</v>
      </c>
      <c r="G5" s="61"/>
      <c r="H5" s="61"/>
      <c r="I5" s="62"/>
    </row>
    <row r="6" spans="1:9" ht="15.75">
      <c r="A6" s="24"/>
      <c r="B6" s="25"/>
      <c r="C6" s="26"/>
      <c r="D6" s="27"/>
      <c r="E6" s="27"/>
      <c r="F6" s="27"/>
      <c r="G6" s="24"/>
      <c r="H6" s="24"/>
      <c r="I6" s="24"/>
    </row>
    <row r="7" spans="1:9" ht="21">
      <c r="A7" s="126" t="s">
        <v>88</v>
      </c>
      <c r="B7" s="126"/>
      <c r="C7" s="126"/>
      <c r="D7" s="126"/>
      <c r="E7" s="126"/>
      <c r="F7" s="126"/>
      <c r="G7" s="126"/>
      <c r="H7" s="126"/>
      <c r="I7" s="126"/>
    </row>
    <row r="8" spans="1:9" ht="15.75">
      <c r="A8" s="137"/>
      <c r="B8" s="137"/>
      <c r="H8" t="s">
        <v>83</v>
      </c>
      <c r="I8" s="9">
        <f>'Form 1'!C9</f>
        <v>5083</v>
      </c>
    </row>
    <row r="9" spans="1:9" ht="15.75" customHeight="1">
      <c r="A9" s="84" t="s">
        <v>10</v>
      </c>
      <c r="B9" s="84" t="s">
        <v>11</v>
      </c>
      <c r="C9" s="84" t="s">
        <v>12</v>
      </c>
      <c r="D9" s="84" t="s">
        <v>84</v>
      </c>
      <c r="E9" s="135" t="s">
        <v>108</v>
      </c>
      <c r="F9" s="84" t="s">
        <v>85</v>
      </c>
      <c r="G9" s="84" t="s">
        <v>15</v>
      </c>
      <c r="H9" s="84"/>
      <c r="I9" s="135" t="s">
        <v>86</v>
      </c>
    </row>
    <row r="10" spans="1:9" ht="63">
      <c r="A10" s="84"/>
      <c r="B10" s="84"/>
      <c r="C10" s="84"/>
      <c r="D10" s="84"/>
      <c r="E10" s="136"/>
      <c r="F10" s="84"/>
      <c r="G10" s="19" t="s">
        <v>87</v>
      </c>
      <c r="H10" s="19" t="s">
        <v>19</v>
      </c>
      <c r="I10" s="136"/>
    </row>
    <row r="11" spans="1:9" ht="15.75">
      <c r="A11" s="22">
        <v>1</v>
      </c>
      <c r="B11" s="23"/>
      <c r="C11" s="3" t="s">
        <v>165</v>
      </c>
      <c r="D11" s="40"/>
      <c r="E11" s="68">
        <v>36.700000000000003</v>
      </c>
      <c r="F11" s="40">
        <v>2</v>
      </c>
      <c r="G11" s="22"/>
      <c r="H11" s="22"/>
      <c r="I11" s="28"/>
    </row>
    <row r="12" spans="1:9" ht="15.75">
      <c r="A12" s="22">
        <v>2</v>
      </c>
      <c r="B12" s="23"/>
      <c r="C12" s="3" t="s">
        <v>166</v>
      </c>
      <c r="D12" s="40"/>
      <c r="E12" s="68">
        <v>20.100000000000001</v>
      </c>
      <c r="F12" s="40">
        <v>1</v>
      </c>
      <c r="G12" s="22"/>
      <c r="H12" s="22"/>
      <c r="I12" s="28"/>
    </row>
    <row r="13" spans="1:9" ht="15.75">
      <c r="A13" s="22">
        <v>3</v>
      </c>
      <c r="B13" s="23"/>
      <c r="C13" s="3" t="s">
        <v>150</v>
      </c>
      <c r="D13" s="40"/>
      <c r="E13" s="68">
        <v>33.5</v>
      </c>
      <c r="F13" s="40">
        <v>2</v>
      </c>
      <c r="G13" s="22"/>
      <c r="H13" s="22"/>
      <c r="I13" s="28"/>
    </row>
    <row r="14" spans="1:9">
      <c r="E14" s="9"/>
    </row>
    <row r="15" spans="1:9" ht="21">
      <c r="A15" s="126" t="s">
        <v>89</v>
      </c>
      <c r="B15" s="126"/>
      <c r="C15" s="126"/>
      <c r="D15" s="126"/>
      <c r="E15" s="126"/>
      <c r="F15" s="126"/>
      <c r="G15" s="126"/>
      <c r="H15" s="126"/>
      <c r="I15" s="126"/>
    </row>
    <row r="16" spans="1:9" ht="15.75">
      <c r="A16" s="137"/>
      <c r="B16" s="137"/>
      <c r="H16" s="9" t="s">
        <v>83</v>
      </c>
      <c r="I16" s="9">
        <f>'Form 1'!C9</f>
        <v>5083</v>
      </c>
    </row>
    <row r="17" spans="1:9" ht="15.75" customHeight="1">
      <c r="A17" s="84" t="s">
        <v>10</v>
      </c>
      <c r="B17" s="84" t="s">
        <v>11</v>
      </c>
      <c r="C17" s="84" t="s">
        <v>12</v>
      </c>
      <c r="D17" s="84" t="s">
        <v>84</v>
      </c>
      <c r="E17" s="135" t="s">
        <v>108</v>
      </c>
      <c r="F17" s="84" t="s">
        <v>85</v>
      </c>
      <c r="G17" s="84" t="s">
        <v>15</v>
      </c>
      <c r="H17" s="84"/>
      <c r="I17" s="135" t="s">
        <v>86</v>
      </c>
    </row>
    <row r="18" spans="1:9" ht="63">
      <c r="A18" s="84"/>
      <c r="B18" s="84"/>
      <c r="C18" s="84"/>
      <c r="D18" s="84"/>
      <c r="E18" s="136"/>
      <c r="F18" s="84"/>
      <c r="G18" s="19" t="s">
        <v>87</v>
      </c>
      <c r="H18" s="19" t="s">
        <v>19</v>
      </c>
      <c r="I18" s="136"/>
    </row>
    <row r="19" spans="1:9" ht="15.75">
      <c r="A19" s="22">
        <v>1</v>
      </c>
      <c r="B19" s="32"/>
      <c r="C19" s="3" t="s">
        <v>167</v>
      </c>
      <c r="D19" s="61"/>
      <c r="E19" s="68">
        <v>33.799999999999997</v>
      </c>
      <c r="F19" s="40">
        <v>2</v>
      </c>
      <c r="G19" s="61"/>
      <c r="H19" s="61"/>
      <c r="I19" s="62"/>
    </row>
    <row r="20" spans="1:9" ht="15.75">
      <c r="A20" s="22">
        <v>2</v>
      </c>
      <c r="B20" s="32"/>
      <c r="C20" s="3" t="s">
        <v>168</v>
      </c>
      <c r="D20" s="61"/>
      <c r="E20" s="68">
        <v>31.5</v>
      </c>
      <c r="F20" s="40">
        <v>2</v>
      </c>
      <c r="G20" s="61"/>
      <c r="H20" s="61"/>
      <c r="I20" s="62"/>
    </row>
    <row r="21" spans="1:9" ht="15.75">
      <c r="A21" s="22">
        <v>3</v>
      </c>
      <c r="B21" s="32"/>
      <c r="C21" s="3" t="s">
        <v>168</v>
      </c>
      <c r="D21" s="61"/>
      <c r="E21" s="68">
        <v>25.2</v>
      </c>
      <c r="F21" s="40">
        <v>1.5</v>
      </c>
      <c r="G21" s="61"/>
      <c r="H21" s="61"/>
      <c r="I21" s="62"/>
    </row>
    <row r="22" spans="1:9" ht="15.75">
      <c r="A22" s="22">
        <v>4</v>
      </c>
      <c r="B22" s="32"/>
      <c r="C22" s="3" t="s">
        <v>150</v>
      </c>
      <c r="D22" s="61"/>
      <c r="E22" s="68">
        <v>21.5</v>
      </c>
      <c r="F22" s="40">
        <v>1</v>
      </c>
      <c r="G22" s="61"/>
      <c r="H22" s="61"/>
      <c r="I22" s="62"/>
    </row>
    <row r="23" spans="1:9" ht="15.75">
      <c r="A23" s="22">
        <v>5</v>
      </c>
      <c r="B23" s="32"/>
      <c r="C23" s="3" t="s">
        <v>169</v>
      </c>
      <c r="D23" s="61"/>
      <c r="E23" s="68">
        <v>23.5</v>
      </c>
      <c r="F23" s="40">
        <v>1.5</v>
      </c>
      <c r="G23" s="61"/>
      <c r="H23" s="61"/>
      <c r="I23" s="62"/>
    </row>
    <row r="24" spans="1:9" ht="15.75">
      <c r="A24" s="22">
        <v>6</v>
      </c>
      <c r="B24" s="32"/>
      <c r="C24" s="3" t="s">
        <v>165</v>
      </c>
      <c r="D24" s="61"/>
      <c r="E24" s="68">
        <v>25.6</v>
      </c>
      <c r="F24" s="40" t="s">
        <v>170</v>
      </c>
      <c r="G24" s="61"/>
      <c r="H24" s="61"/>
      <c r="I24" s="62"/>
    </row>
    <row r="25" spans="1:9" ht="15.75">
      <c r="D25" s="27"/>
      <c r="F25" s="29"/>
    </row>
    <row r="26" spans="1:9" ht="21">
      <c r="A26" s="126" t="s">
        <v>90</v>
      </c>
      <c r="B26" s="126"/>
      <c r="C26" s="126"/>
      <c r="D26" s="126"/>
      <c r="E26" s="126"/>
      <c r="F26" s="126"/>
      <c r="G26" s="126"/>
      <c r="H26" s="126"/>
      <c r="I26" s="126"/>
    </row>
    <row r="27" spans="1:9">
      <c r="A27" s="138"/>
      <c r="B27" s="138"/>
      <c r="H27" t="s">
        <v>83</v>
      </c>
      <c r="I27" s="9">
        <f>'Form 1'!C9</f>
        <v>5083</v>
      </c>
    </row>
    <row r="28" spans="1:9" ht="15.75" customHeight="1">
      <c r="A28" s="84" t="s">
        <v>10</v>
      </c>
      <c r="B28" s="84" t="s">
        <v>11</v>
      </c>
      <c r="C28" s="84" t="s">
        <v>12</v>
      </c>
      <c r="D28" s="84" t="s">
        <v>84</v>
      </c>
      <c r="E28" s="135" t="s">
        <v>108</v>
      </c>
      <c r="F28" s="84" t="s">
        <v>85</v>
      </c>
      <c r="G28" s="84" t="s">
        <v>15</v>
      </c>
      <c r="H28" s="84"/>
      <c r="I28" s="84" t="s">
        <v>86</v>
      </c>
    </row>
    <row r="29" spans="1:9" ht="63">
      <c r="A29" s="84"/>
      <c r="B29" s="84"/>
      <c r="C29" s="84"/>
      <c r="D29" s="84"/>
      <c r="E29" s="136"/>
      <c r="F29" s="84"/>
      <c r="G29" s="38" t="s">
        <v>87</v>
      </c>
      <c r="H29" s="38" t="s">
        <v>19</v>
      </c>
      <c r="I29" s="84"/>
    </row>
    <row r="30" spans="1:9" ht="15.75">
      <c r="A30" s="22">
        <v>1</v>
      </c>
      <c r="B30" s="32"/>
      <c r="C30" s="3" t="s">
        <v>171</v>
      </c>
      <c r="D30" s="61"/>
      <c r="E30" s="68">
        <v>36.299999999999997</v>
      </c>
      <c r="F30" s="40">
        <v>1.5</v>
      </c>
      <c r="G30" s="61"/>
      <c r="H30" s="61"/>
      <c r="I30" s="61"/>
    </row>
    <row r="31" spans="1:9" ht="15.75">
      <c r="A31" s="22">
        <v>2</v>
      </c>
      <c r="B31" s="32"/>
      <c r="C31" s="3" t="s">
        <v>165</v>
      </c>
      <c r="D31" s="61"/>
      <c r="E31" s="68">
        <v>23.8</v>
      </c>
      <c r="F31" s="40">
        <v>2</v>
      </c>
      <c r="G31" s="61"/>
      <c r="H31" s="61"/>
      <c r="I31" s="61"/>
    </row>
    <row r="32" spans="1:9" ht="15.75">
      <c r="A32" s="22">
        <v>3</v>
      </c>
      <c r="B32" s="32"/>
      <c r="C32" s="3" t="s">
        <v>166</v>
      </c>
      <c r="D32" s="61"/>
      <c r="E32" s="68">
        <v>32.4</v>
      </c>
      <c r="F32" s="40">
        <v>1.5</v>
      </c>
      <c r="G32" s="61"/>
      <c r="H32" s="61"/>
      <c r="I32" s="61"/>
    </row>
    <row r="33" spans="1:9" ht="15.75">
      <c r="A33" s="22">
        <v>4</v>
      </c>
      <c r="B33" s="32"/>
      <c r="C33" s="3" t="s">
        <v>169</v>
      </c>
      <c r="D33" s="61"/>
      <c r="E33" s="68">
        <v>30.4</v>
      </c>
      <c r="F33" s="40">
        <v>1.5</v>
      </c>
      <c r="G33" s="61"/>
      <c r="H33" s="61"/>
      <c r="I33" s="61"/>
    </row>
  </sheetData>
  <mergeCells count="40">
    <mergeCell ref="A26:I26"/>
    <mergeCell ref="A27:B27"/>
    <mergeCell ref="A28:A29"/>
    <mergeCell ref="B28:B29"/>
    <mergeCell ref="C28:C29"/>
    <mergeCell ref="D28:D29"/>
    <mergeCell ref="E28:E29"/>
    <mergeCell ref="F28:F29"/>
    <mergeCell ref="G28:H28"/>
    <mergeCell ref="I28:I29"/>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C34" sqref="C3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12" ht="15.75">
      <c r="A1" s="139" t="s">
        <v>91</v>
      </c>
      <c r="B1" s="139"/>
      <c r="C1" s="139"/>
      <c r="D1" s="139"/>
      <c r="E1" s="139"/>
      <c r="F1" s="139"/>
      <c r="G1" s="139"/>
    </row>
    <row r="2" spans="1:12" ht="15.75">
      <c r="A2" s="140"/>
      <c r="B2" s="140"/>
      <c r="C2" s="2"/>
      <c r="D2" s="2"/>
      <c r="E2" s="2"/>
      <c r="F2" t="s">
        <v>83</v>
      </c>
      <c r="G2" s="9">
        <f>'Form 1'!C9</f>
        <v>5083</v>
      </c>
    </row>
    <row r="3" spans="1:12" ht="15.75">
      <c r="A3" s="84" t="s">
        <v>10</v>
      </c>
      <c r="B3" s="84" t="s">
        <v>11</v>
      </c>
      <c r="C3" s="84" t="s">
        <v>12</v>
      </c>
      <c r="D3" s="84" t="s">
        <v>92</v>
      </c>
      <c r="E3" s="84" t="s">
        <v>15</v>
      </c>
      <c r="F3" s="84"/>
      <c r="G3" s="84" t="s">
        <v>93</v>
      </c>
    </row>
    <row r="4" spans="1:12" ht="31.5">
      <c r="A4" s="84"/>
      <c r="B4" s="84"/>
      <c r="C4" s="84"/>
      <c r="D4" s="84"/>
      <c r="E4" s="30" t="s">
        <v>94</v>
      </c>
      <c r="F4" s="30" t="s">
        <v>95</v>
      </c>
      <c r="G4" s="84"/>
    </row>
    <row r="5" spans="1:12" ht="15.75">
      <c r="A5" s="84"/>
      <c r="B5" s="84"/>
      <c r="C5" s="84"/>
      <c r="D5" s="84"/>
      <c r="E5" s="31" t="s">
        <v>96</v>
      </c>
      <c r="F5" s="31" t="s">
        <v>97</v>
      </c>
      <c r="G5" s="84"/>
    </row>
    <row r="6" spans="1:12" ht="15.75">
      <c r="A6" s="22">
        <v>1</v>
      </c>
      <c r="B6" s="23"/>
      <c r="C6" s="3" t="s">
        <v>172</v>
      </c>
      <c r="D6" s="40">
        <v>34</v>
      </c>
      <c r="E6" s="22"/>
      <c r="F6" s="30"/>
      <c r="G6" s="22"/>
    </row>
    <row r="7" spans="1:12" ht="15.75">
      <c r="A7" s="22">
        <v>2</v>
      </c>
      <c r="B7" s="32"/>
      <c r="C7" s="3" t="s">
        <v>168</v>
      </c>
      <c r="D7" s="40">
        <v>37</v>
      </c>
      <c r="E7" s="22"/>
      <c r="F7" s="22"/>
      <c r="G7" s="22"/>
    </row>
    <row r="8" spans="1:12" ht="15.75">
      <c r="A8" s="22">
        <v>3</v>
      </c>
      <c r="B8" s="32"/>
      <c r="C8" s="3" t="s">
        <v>168</v>
      </c>
      <c r="D8" s="40">
        <v>18</v>
      </c>
      <c r="E8" s="22"/>
      <c r="F8" s="39"/>
      <c r="G8" s="22"/>
    </row>
    <row r="9" spans="1:12" ht="15.75">
      <c r="A9" s="22">
        <v>4</v>
      </c>
      <c r="B9" s="32"/>
      <c r="C9" s="3" t="s">
        <v>168</v>
      </c>
      <c r="D9" s="40">
        <v>7</v>
      </c>
      <c r="E9" s="22"/>
      <c r="F9" s="22"/>
      <c r="G9" s="22"/>
    </row>
    <row r="10" spans="1:12" ht="15.75">
      <c r="A10" s="22">
        <v>5</v>
      </c>
      <c r="B10" s="32"/>
      <c r="C10" s="3" t="s">
        <v>165</v>
      </c>
      <c r="D10" s="40">
        <v>46</v>
      </c>
      <c r="E10" s="22"/>
      <c r="F10" s="67"/>
      <c r="G10" s="22"/>
    </row>
    <row r="11" spans="1:12" ht="15.75">
      <c r="A11" s="85" t="s">
        <v>103</v>
      </c>
      <c r="B11" s="144"/>
      <c r="C11" s="144"/>
      <c r="D11" s="144"/>
      <c r="E11" s="144"/>
      <c r="F11" s="144"/>
      <c r="G11" s="86"/>
    </row>
    <row r="12" spans="1:12" ht="15.75">
      <c r="A12" s="22">
        <v>1</v>
      </c>
      <c r="B12" s="141" t="s">
        <v>104</v>
      </c>
      <c r="C12" s="142"/>
      <c r="D12" s="142"/>
      <c r="E12" s="142"/>
      <c r="F12" s="143"/>
      <c r="G12" s="3" t="s">
        <v>160</v>
      </c>
    </row>
    <row r="13" spans="1:12" ht="15.75">
      <c r="A13" s="22">
        <v>2</v>
      </c>
      <c r="B13" s="141" t="s">
        <v>105</v>
      </c>
      <c r="C13" s="142"/>
      <c r="D13" s="142"/>
      <c r="E13" s="142"/>
      <c r="F13" s="143"/>
      <c r="G13" s="3" t="s">
        <v>158</v>
      </c>
    </row>
    <row r="14" spans="1:12" ht="15.75">
      <c r="A14" s="22">
        <v>3</v>
      </c>
      <c r="B14" s="141" t="s">
        <v>106</v>
      </c>
      <c r="C14" s="142"/>
      <c r="D14" s="142"/>
      <c r="E14" s="142"/>
      <c r="F14" s="143"/>
      <c r="G14" s="3" t="s">
        <v>158</v>
      </c>
    </row>
    <row r="15" spans="1:12" ht="15.75">
      <c r="A15" s="22">
        <v>4</v>
      </c>
      <c r="B15" s="141" t="s">
        <v>107</v>
      </c>
      <c r="C15" s="142"/>
      <c r="D15" s="142"/>
      <c r="E15" s="142"/>
      <c r="F15" s="143"/>
      <c r="G15" s="3" t="s">
        <v>161</v>
      </c>
    </row>
    <row r="16" spans="1:12" ht="15.75">
      <c r="A16" s="24"/>
      <c r="B16" s="34"/>
      <c r="C16" s="34"/>
      <c r="D16" s="24"/>
      <c r="E16" s="24"/>
      <c r="F16" s="24"/>
      <c r="G16" s="24"/>
      <c r="L16" s="33"/>
    </row>
    <row r="17" spans="1:12" s="35" customFormat="1" ht="19.899999999999999" customHeight="1">
      <c r="A17" s="146" t="s">
        <v>98</v>
      </c>
      <c r="B17" s="146"/>
      <c r="C17" s="146"/>
      <c r="D17" s="146"/>
      <c r="E17" s="146"/>
      <c r="F17" s="146"/>
      <c r="G17" s="146"/>
      <c r="L17" s="33"/>
    </row>
    <row r="18" spans="1:12" ht="15.75">
      <c r="A18" s="35"/>
      <c r="B18" s="35"/>
      <c r="C18" s="35"/>
      <c r="D18" s="35"/>
      <c r="E18" s="35"/>
      <c r="F18" t="s">
        <v>83</v>
      </c>
      <c r="G18" s="9">
        <f>'Form 1'!C9</f>
        <v>5083</v>
      </c>
      <c r="L18" s="33"/>
    </row>
    <row r="19" spans="1:12" ht="15.75" customHeight="1">
      <c r="A19" s="135" t="s">
        <v>10</v>
      </c>
      <c r="B19" s="135" t="s">
        <v>11</v>
      </c>
      <c r="C19" s="135" t="s">
        <v>12</v>
      </c>
      <c r="D19" s="135" t="s">
        <v>99</v>
      </c>
      <c r="E19" s="85" t="s">
        <v>15</v>
      </c>
      <c r="F19" s="86"/>
      <c r="G19" s="135" t="s">
        <v>100</v>
      </c>
      <c r="L19" s="33"/>
    </row>
    <row r="20" spans="1:12" ht="31.5">
      <c r="A20" s="145"/>
      <c r="B20" s="145"/>
      <c r="C20" s="145"/>
      <c r="D20" s="145"/>
      <c r="E20" s="30" t="s">
        <v>94</v>
      </c>
      <c r="F20" s="30" t="s">
        <v>95</v>
      </c>
      <c r="G20" s="145"/>
      <c r="L20" s="33"/>
    </row>
    <row r="21" spans="1:12" ht="15.75">
      <c r="A21" s="136"/>
      <c r="B21" s="136"/>
      <c r="C21" s="136"/>
      <c r="D21" s="136"/>
      <c r="E21" s="31" t="s">
        <v>96</v>
      </c>
      <c r="F21" s="31" t="s">
        <v>97</v>
      </c>
      <c r="G21" s="136"/>
      <c r="L21" s="33"/>
    </row>
    <row r="22" spans="1:12" ht="15.75">
      <c r="A22" s="22">
        <v>1</v>
      </c>
      <c r="B22" s="32"/>
      <c r="C22" s="3" t="s">
        <v>168</v>
      </c>
      <c r="D22" s="40">
        <v>15</v>
      </c>
      <c r="E22" s="22"/>
      <c r="F22" s="22"/>
      <c r="G22" s="22"/>
      <c r="L22" s="33"/>
    </row>
    <row r="23" spans="1:12" ht="15.75">
      <c r="A23" s="22">
        <v>2</v>
      </c>
      <c r="B23" s="23"/>
      <c r="C23" s="3" t="s">
        <v>168</v>
      </c>
      <c r="D23" s="40">
        <v>28</v>
      </c>
      <c r="E23" s="22"/>
      <c r="F23" s="22"/>
      <c r="G23" s="22"/>
      <c r="L23" s="33"/>
    </row>
    <row r="24" spans="1:12" ht="15.75">
      <c r="A24" s="22">
        <v>3</v>
      </c>
      <c r="B24" s="32"/>
      <c r="C24" s="3" t="s">
        <v>150</v>
      </c>
      <c r="D24" s="40">
        <v>25</v>
      </c>
      <c r="E24" s="22"/>
      <c r="F24" s="22"/>
      <c r="G24" s="22"/>
      <c r="L24" s="33"/>
    </row>
    <row r="25" spans="1:12" ht="15.75">
      <c r="A25" s="22">
        <v>4</v>
      </c>
      <c r="B25" s="23"/>
      <c r="C25" s="3" t="s">
        <v>168</v>
      </c>
      <c r="D25" s="40">
        <v>7</v>
      </c>
      <c r="E25" s="22"/>
      <c r="F25" s="22"/>
      <c r="G25" s="22"/>
      <c r="L25" s="33"/>
    </row>
    <row r="26" spans="1:12" ht="15.75">
      <c r="A26" s="22">
        <v>5</v>
      </c>
      <c r="B26" s="32"/>
      <c r="C26" s="3" t="s">
        <v>173</v>
      </c>
      <c r="D26" s="40">
        <v>23</v>
      </c>
      <c r="E26" s="22"/>
      <c r="F26" s="22"/>
      <c r="G26" s="22"/>
      <c r="L26" s="33"/>
    </row>
    <row r="27" spans="1:12" ht="15.75">
      <c r="A27" s="22">
        <v>6</v>
      </c>
      <c r="B27" s="32"/>
      <c r="C27" s="3" t="s">
        <v>173</v>
      </c>
      <c r="D27" s="40">
        <v>15</v>
      </c>
      <c r="E27" s="22"/>
      <c r="F27" s="22"/>
      <c r="G27" s="22"/>
      <c r="L27" s="33"/>
    </row>
    <row r="28" spans="1:12" ht="15.75">
      <c r="A28" s="22">
        <v>7</v>
      </c>
      <c r="B28" s="32"/>
      <c r="C28" s="3" t="s">
        <v>173</v>
      </c>
      <c r="D28" s="40">
        <v>12</v>
      </c>
      <c r="E28" s="22"/>
      <c r="F28" s="22"/>
      <c r="G28" s="22"/>
      <c r="L28" s="33"/>
    </row>
    <row r="29" spans="1:12" ht="15.75">
      <c r="A29" s="85" t="s">
        <v>103</v>
      </c>
      <c r="B29" s="144"/>
      <c r="C29" s="144"/>
      <c r="D29" s="144"/>
      <c r="E29" s="144"/>
      <c r="F29" s="144"/>
      <c r="G29" s="86"/>
    </row>
    <row r="30" spans="1:12" ht="15.75">
      <c r="A30" s="22">
        <v>1</v>
      </c>
      <c r="B30" s="141" t="s">
        <v>104</v>
      </c>
      <c r="C30" s="142"/>
      <c r="D30" s="142"/>
      <c r="E30" s="142"/>
      <c r="F30" s="143"/>
      <c r="G30" s="3" t="s">
        <v>162</v>
      </c>
    </row>
    <row r="31" spans="1:12" ht="15.75">
      <c r="A31" s="22">
        <v>2</v>
      </c>
      <c r="B31" s="141" t="s">
        <v>105</v>
      </c>
      <c r="C31" s="142"/>
      <c r="D31" s="142"/>
      <c r="E31" s="142"/>
      <c r="F31" s="143"/>
      <c r="G31" s="3" t="s">
        <v>163</v>
      </c>
    </row>
    <row r="32" spans="1:12" ht="15.75">
      <c r="A32" s="22">
        <v>3</v>
      </c>
      <c r="B32" s="141" t="s">
        <v>106</v>
      </c>
      <c r="C32" s="142"/>
      <c r="D32" s="142"/>
      <c r="E32" s="142"/>
      <c r="F32" s="143"/>
      <c r="G32" s="3" t="s">
        <v>158</v>
      </c>
    </row>
    <row r="33" spans="1:7" ht="15.75">
      <c r="A33" s="22">
        <v>4</v>
      </c>
      <c r="B33" s="141" t="s">
        <v>107</v>
      </c>
      <c r="C33" s="142"/>
      <c r="D33" s="142"/>
      <c r="E33" s="142"/>
      <c r="F33" s="143"/>
      <c r="G33" s="3" t="s">
        <v>164</v>
      </c>
    </row>
  </sheetData>
  <mergeCells count="25">
    <mergeCell ref="B32:F32"/>
    <mergeCell ref="B33:F33"/>
    <mergeCell ref="A11:G11"/>
    <mergeCell ref="B12:F12"/>
    <mergeCell ref="A29:G29"/>
    <mergeCell ref="B30:F30"/>
    <mergeCell ref="B31:F31"/>
    <mergeCell ref="G19:G21"/>
    <mergeCell ref="A17:G17"/>
    <mergeCell ref="B13:F13"/>
    <mergeCell ref="B14:F14"/>
    <mergeCell ref="B15:F15"/>
    <mergeCell ref="A19:A21"/>
    <mergeCell ref="B19:B21"/>
    <mergeCell ref="C19:C21"/>
    <mergeCell ref="D19:D21"/>
    <mergeCell ref="E19:F19"/>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2024-04-11T07:27:36Z</dcterms:modified>
</cp:coreProperties>
</file>