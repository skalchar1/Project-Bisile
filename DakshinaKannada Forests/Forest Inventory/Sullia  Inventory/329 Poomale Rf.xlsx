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6" i="11"/>
  <c r="I17"/>
  <c r="I9"/>
  <c r="I2"/>
  <c r="C13" i="8"/>
  <c r="C12"/>
  <c r="C11"/>
  <c r="C10"/>
  <c r="C5" i="6" s="1"/>
  <c r="C9" i="8"/>
</calcChain>
</file>

<file path=xl/sharedStrings.xml><?xml version="1.0" encoding="utf-8"?>
<sst xmlns="http://schemas.openxmlformats.org/spreadsheetml/2006/main" count="341" uniqueCount="179">
  <si>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</si>
  <si>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</si>
  <si>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</si>
  <si>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</si>
  <si>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</si>
  <si>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</si>
  <si>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</si>
  <si>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</si>
  <si>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</si>
  <si>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</si>
  <si>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</si>
  <si>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</si>
  <si>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</si>
  <si>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</si>
  <si>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</si>
  <si>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</si>
  <si>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</si>
  <si>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</si>
  <si>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</si>
  <si>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</si>
  <si>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</si>
  <si>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</si>
  <si>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</si>
  <si>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</si>
  <si>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</si>
  <si>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</si>
  <si>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</si>
  <si>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</si>
  <si>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</si>
  <si>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</si>
  <si>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</si>
  <si>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</si>
  <si>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</si>
  <si>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</si>
  <si>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</si>
  <si>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</si>
  <si>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</si>
  <si>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</si>
  <si>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</si>
  <si>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</si>
  <si>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</si>
  <si>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</si>
  <si>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</si>
  <si>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</si>
  <si>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</si>
  <si>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</si>
  <si>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</si>
  <si>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</si>
  <si>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</si>
  <si>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</si>
  <si>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</si>
  <si>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</si>
  <si>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</si>
  <si>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</si>
  <si>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</si>
  <si>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</si>
  <si>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</si>
  <si>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</si>
  <si>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</si>
  <si>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</si>
  <si>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</si>
  <si>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</si>
  <si>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</si>
  <si>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</si>
  <si>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</si>
  <si>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</si>
  <si>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</si>
  <si>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</si>
  <si>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</si>
  <si>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</si>
  <si>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</si>
  <si>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</si>
  <si>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</si>
  <si>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</si>
  <si>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</si>
  <si>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</si>
  <si>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</si>
  <si>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</si>
  <si>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</si>
  <si>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</si>
  <si>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</si>
  <si>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</si>
  <si>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</si>
  <si>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</si>
  <si>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</si>
  <si>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</si>
  <si>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</si>
  <si>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</si>
  <si>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</si>
  <si>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</si>
  <si>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</si>
  <si>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</si>
  <si>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</si>
  <si>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</si>
  <si>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</si>
  <si>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</si>
  <si>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</si>
  <si>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</si>
  <si>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</si>
  <si>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</si>
  <si>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</si>
  <si>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</si>
  <si>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</si>
  <si>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</si>
  <si>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</si>
  <si>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</si>
  <si>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</si>
  <si>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</si>
  <si>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</si>
  <si>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</si>
  <si>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</si>
  <si>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</si>
  <si>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</si>
  <si>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</si>
  <si>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</si>
  <si>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</si>
  <si>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</si>
  <si>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1. Track - Hilly</t>
  </si>
  <si>
    <t>4. Soil- Clay soil</t>
  </si>
  <si>
    <t>8. Herbs - Curcuma aromatica (Kaadarisina), Phychotrica dalzellii (Vaatmadike), Leea indica (Nedthi), Strobilanthus sps (Gurige).</t>
  </si>
  <si>
    <t>9. Shrubs - Calycopteris floribunda(Kumsa balli), Alangium salvifolium (Ankole), Zyzipus muriantana (Parige)</t>
  </si>
  <si>
    <t>10. Underwood species - Xylea xylocarpa (Jambe), Tabernaentana montana (Maddarsa), Aparosa lindliana (Salle)</t>
  </si>
  <si>
    <t>11. Climber - Piper tioicum (Kaadu kalu menasu), Strychonos wallichiana (Balli kasaraka), Tinospora malabarica (Madari beelu)</t>
  </si>
  <si>
    <t xml:space="preserve">13. NTFP yielding sps - Cinnamomum zelanicum (Dalchinni), Senegalia rugata (Seege), </t>
  </si>
  <si>
    <t>Poomale Reserve forest</t>
  </si>
  <si>
    <t>Hilly</t>
  </si>
  <si>
    <t>Clay soil, Texture - Smooth, Depth - 30cm, Permiabilty - Good.</t>
  </si>
  <si>
    <t>Mild Erosion</t>
  </si>
  <si>
    <t>Absent</t>
  </si>
  <si>
    <t>Start from Sullya Range office to towards Sampaje road to Poomale RF for 3.2 km N-12.530135, E- 75.415431 (By Jeep). Then walked towards left for 910 mtr to reached center of the plot.</t>
  </si>
  <si>
    <t>2. Aspect - North West</t>
  </si>
  <si>
    <t xml:space="preserve">Moist Decidious Closed forest, Species like Xylea xylocarpa (Jambe), Strychnos nux-vomica (Kasarka), Aparosa lindliana (Salle), Holigarna arnottiana (Chaar), Xylea xylocarpa (Jambe), Terminalea paniculata (Marva), </t>
  </si>
  <si>
    <t>3.Canopy density - Closed forest and 80% canopy cover</t>
  </si>
  <si>
    <t>6. Weeds - Scanty - Malastoma offine</t>
  </si>
  <si>
    <t>7. Bamboo - Present - Bambussa bamboo (Hebbidiru).</t>
  </si>
  <si>
    <t>12. Rattans - Hebiscus aculeatus (Betta)</t>
  </si>
  <si>
    <t>182 m</t>
  </si>
  <si>
    <t>Closed forest and 80% canopy cover</t>
  </si>
  <si>
    <t>Upto 16 - 40</t>
  </si>
  <si>
    <t>North West</t>
  </si>
  <si>
    <t>Aparosa lindliana (Salle) - 20%, Terminalea paniculata (Marva) - 10%, Xylea xylocarpa (Jambe) - 20%.</t>
  </si>
  <si>
    <t>Stream'</t>
  </si>
  <si>
    <t>Jambe</t>
  </si>
  <si>
    <t>Salle</t>
  </si>
  <si>
    <t>Kasarka</t>
  </si>
  <si>
    <t>Marva</t>
  </si>
  <si>
    <t>Nurukalu</t>
  </si>
  <si>
    <t>Matti</t>
  </si>
  <si>
    <t>Block /Village: Aletty</t>
  </si>
  <si>
    <t>Saguvani</t>
  </si>
  <si>
    <t>Xylea xylocarpa</t>
  </si>
  <si>
    <t>Aparosa lindliana</t>
  </si>
  <si>
    <t>Terminalea paniculata</t>
  </si>
  <si>
    <t>Buchananea lanzan</t>
  </si>
  <si>
    <t>Terminalea tomantosa</t>
  </si>
  <si>
    <t>Tectona grandish</t>
  </si>
  <si>
    <t>Strychnos nux-vomica</t>
  </si>
  <si>
    <t>Nil</t>
  </si>
  <si>
    <t>635 gm</t>
  </si>
  <si>
    <t>1.9 kg</t>
  </si>
  <si>
    <t>Nill</t>
  </si>
  <si>
    <t>285 gm</t>
  </si>
  <si>
    <t>370 gm</t>
  </si>
  <si>
    <t>835 gm</t>
  </si>
  <si>
    <t>1.8 kg</t>
  </si>
  <si>
    <t>410 gm</t>
  </si>
  <si>
    <t>Vaatmadike</t>
  </si>
  <si>
    <t>Galavara</t>
  </si>
  <si>
    <t>KaanSurgi</t>
  </si>
  <si>
    <t>Agasalle</t>
  </si>
  <si>
    <t>Kaadarisina</t>
  </si>
  <si>
    <t>Maddarsa</t>
  </si>
  <si>
    <t>Phycotrea dalzelli</t>
  </si>
  <si>
    <t>Ixora brachiata</t>
  </si>
  <si>
    <t>Olea dioca</t>
  </si>
  <si>
    <t>Curcuma aromatica</t>
  </si>
  <si>
    <t>Tabarneana montana</t>
  </si>
  <si>
    <t>Actinodphne hookeri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</si>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</sst>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B30" sqref="B30"/>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109</v>
      </c>
    </row>
    <row r="4" spans="1:3">
      <c r="A4" s="1"/>
    </row>
    <row r="5" spans="1:3" ht="31.5">
      <c r="A5" s="124" t="s">
        <v>23</v>
      </c>
      <c r="B5" s="50" t="s">
        <v>24</v>
      </c>
      <c r="C5" s="50" t="s">
        <v>25</v>
      </c>
    </row>
    <row r="6" spans="1:3" ht="21" customHeight="1">
      <c r="A6" s="23">
        <v>1</v>
      </c>
      <c r="B6" s="125" t="s">
        <v>26</v>
      </c>
      <c r="C6" s="3" t="s">
        <v>116</v>
      </c>
    </row>
    <row r="7" spans="1:3" ht="21" customHeight="1">
      <c r="A7" s="23">
        <v>2</v>
      </c>
      <c r="B7" s="125" t="s">
        <v>27</v>
      </c>
      <c r="C7" s="3"/>
    </row>
    <row r="8" spans="1:3" ht="21" customHeight="1">
      <c r="A8" s="23">
        <v>3</v>
      </c>
      <c r="B8" s="125" t="s">
        <v>28</v>
      </c>
      <c r="C8" s="3">
        <v>4</v>
      </c>
    </row>
    <row r="9" spans="1:3" ht="21" customHeight="1">
      <c r="A9" s="23">
        <v>4</v>
      </c>
      <c r="B9" s="125" t="s">
        <v>29</v>
      </c>
      <c r="C9" s="3">
        <v>329</v>
      </c>
    </row>
    <row r="10" spans="1:3" ht="21" customHeight="1">
      <c r="A10" s="23">
        <v>5</v>
      </c>
      <c r="B10" s="125" t="s">
        <v>30</v>
      </c>
      <c r="C10" s="126">
        <v>12.537998</v>
      </c>
    </row>
    <row r="11" spans="1:3" ht="21" customHeight="1">
      <c r="A11" s="23">
        <v>6</v>
      </c>
      <c r="B11" s="125" t="s">
        <v>31</v>
      </c>
      <c r="C11" s="126">
        <v>75.416006999999993</v>
      </c>
    </row>
    <row r="12" spans="1:3" ht="63">
      <c r="A12" s="23">
        <v>7</v>
      </c>
      <c r="B12" s="125" t="s">
        <v>32</v>
      </c>
      <c r="C12" s="3" t="s">
        <v>129</v>
      </c>
    </row>
    <row r="13" spans="1:3" ht="63">
      <c r="A13" s="23">
        <v>8</v>
      </c>
      <c r="B13" s="125" t="s">
        <v>33</v>
      </c>
      <c r="C13" s="127" t="s">
        <v>131</v>
      </c>
    </row>
    <row r="14" spans="1:3" ht="21" customHeight="1">
      <c r="A14" s="128">
        <v>9</v>
      </c>
      <c r="B14" s="129" t="s">
        <v>34</v>
      </c>
      <c r="C14" s="127" t="s">
        <v>117</v>
      </c>
    </row>
    <row r="15" spans="1:3" ht="21" customHeight="1">
      <c r="A15" s="130"/>
      <c r="B15" s="131"/>
      <c r="C15" s="127" t="s">
        <v>130</v>
      </c>
    </row>
    <row r="16" spans="1:3" ht="21" customHeight="1">
      <c r="A16" s="130"/>
      <c r="B16" s="131"/>
      <c r="C16" s="127" t="s">
        <v>132</v>
      </c>
    </row>
    <row r="17" spans="1:3" ht="21" customHeight="1">
      <c r="A17" s="130"/>
      <c r="B17" s="131"/>
      <c r="C17" s="127" t="s">
        <v>118</v>
      </c>
    </row>
    <row r="18" spans="1:3" ht="21" customHeight="1">
      <c r="A18" s="130"/>
      <c r="B18" s="131"/>
      <c r="C18" s="132" t="s">
        <v>110</v>
      </c>
    </row>
    <row r="19" spans="1:3" ht="21" customHeight="1">
      <c r="A19" s="130"/>
      <c r="B19" s="131"/>
      <c r="C19" s="127" t="s">
        <v>133</v>
      </c>
    </row>
    <row r="20" spans="1:3" ht="21" customHeight="1">
      <c r="A20" s="130"/>
      <c r="B20" s="131"/>
      <c r="C20" s="127" t="s">
        <v>134</v>
      </c>
    </row>
    <row r="21" spans="1:3" ht="47.25">
      <c r="A21" s="130"/>
      <c r="B21" s="131"/>
      <c r="C21" s="127" t="s">
        <v>119</v>
      </c>
    </row>
    <row r="22" spans="1:3" ht="31.5">
      <c r="A22" s="130"/>
      <c r="B22" s="131"/>
      <c r="C22" s="127" t="s">
        <v>120</v>
      </c>
    </row>
    <row r="23" spans="1:3" ht="31.5">
      <c r="A23" s="130"/>
      <c r="B23" s="131"/>
      <c r="C23" s="127" t="s">
        <v>121</v>
      </c>
    </row>
    <row r="24" spans="1:3" ht="55.5" customHeight="1">
      <c r="A24" s="130"/>
      <c r="B24" s="131"/>
      <c r="C24" s="127" t="s">
        <v>122</v>
      </c>
    </row>
    <row r="25" spans="1:3" ht="21" customHeight="1">
      <c r="A25" s="130"/>
      <c r="B25" s="131"/>
      <c r="C25" s="127" t="s">
        <v>135</v>
      </c>
    </row>
    <row r="26" spans="1:3" ht="31.5">
      <c r="A26" s="130"/>
      <c r="B26" s="131"/>
      <c r="C26" s="127" t="s">
        <v>123</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6" sqref="C2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 customHeight="1">
      <c r="A8" s="23">
        <v>1</v>
      </c>
      <c r="B8" s="125" t="s">
        <v>26</v>
      </c>
      <c r="C8" s="4" t="s">
        <v>116</v>
      </c>
    </row>
    <row r="9" spans="1:3" ht="21" customHeight="1">
      <c r="A9" s="23">
        <v>2</v>
      </c>
      <c r="B9" s="125" t="s">
        <v>41</v>
      </c>
      <c r="C9" s="4">
        <f>'Form 1'!C7</f>
        <v>0</v>
      </c>
    </row>
    <row r="10" spans="1:3" ht="21" customHeight="1">
      <c r="A10" s="23">
        <v>3</v>
      </c>
      <c r="B10" s="125" t="s">
        <v>28</v>
      </c>
      <c r="C10" s="4">
        <f>'Form 1'!C8</f>
        <v>4</v>
      </c>
    </row>
    <row r="11" spans="1:3" ht="21" customHeight="1">
      <c r="A11" s="23">
        <v>4</v>
      </c>
      <c r="B11" s="125" t="s">
        <v>29</v>
      </c>
      <c r="C11" s="4">
        <f>'Form 1'!C9</f>
        <v>329</v>
      </c>
    </row>
    <row r="12" spans="1:3" ht="21" customHeight="1">
      <c r="A12" s="23">
        <v>5</v>
      </c>
      <c r="B12" s="125" t="s">
        <v>42</v>
      </c>
      <c r="C12" s="4">
        <f>'Form 1'!C10</f>
        <v>12.537998</v>
      </c>
    </row>
    <row r="13" spans="1:3" ht="21" customHeight="1">
      <c r="A13" s="23">
        <v>6</v>
      </c>
      <c r="B13" s="125" t="s">
        <v>43</v>
      </c>
      <c r="C13" s="4">
        <f>'Form 1'!C11</f>
        <v>75.416006999999993</v>
      </c>
    </row>
    <row r="14" spans="1:3" ht="21" customHeight="1">
      <c r="A14" s="23">
        <v>7</v>
      </c>
      <c r="B14" s="125" t="s">
        <v>44</v>
      </c>
      <c r="C14" s="4" t="s">
        <v>136</v>
      </c>
    </row>
    <row r="15" spans="1:3" ht="21" customHeight="1">
      <c r="A15" s="23">
        <v>8</v>
      </c>
      <c r="B15" s="125" t="s">
        <v>45</v>
      </c>
      <c r="C15" s="4" t="s">
        <v>124</v>
      </c>
    </row>
    <row r="16" spans="1:3" ht="21" customHeight="1">
      <c r="A16" s="23">
        <v>9</v>
      </c>
      <c r="B16" s="125" t="s">
        <v>46</v>
      </c>
      <c r="C16" s="4" t="s">
        <v>137</v>
      </c>
    </row>
    <row r="17" spans="1:3" ht="21" customHeight="1">
      <c r="A17" s="23">
        <v>10</v>
      </c>
      <c r="B17" s="125" t="s">
        <v>47</v>
      </c>
      <c r="C17" s="4" t="s">
        <v>125</v>
      </c>
    </row>
    <row r="18" spans="1:3" ht="21" customHeight="1">
      <c r="A18" s="23">
        <v>11</v>
      </c>
      <c r="B18" s="125" t="s">
        <v>48</v>
      </c>
      <c r="C18" s="137" t="s">
        <v>138</v>
      </c>
    </row>
    <row r="19" spans="1:3" ht="21" customHeight="1">
      <c r="A19" s="23">
        <v>12</v>
      </c>
      <c r="B19" s="125" t="s">
        <v>49</v>
      </c>
      <c r="C19" s="137" t="s">
        <v>139</v>
      </c>
    </row>
    <row r="20" spans="1:3" ht="21" customHeight="1">
      <c r="A20" s="23">
        <v>13</v>
      </c>
      <c r="B20" s="125" t="s">
        <v>50</v>
      </c>
      <c r="C20" s="137" t="s">
        <v>112</v>
      </c>
    </row>
    <row r="21" spans="1:3" ht="31.5">
      <c r="A21" s="23">
        <v>14</v>
      </c>
      <c r="B21" s="125" t="s">
        <v>51</v>
      </c>
      <c r="C21" s="137" t="s">
        <v>126</v>
      </c>
    </row>
    <row r="22" spans="1:3" ht="21" customHeight="1">
      <c r="A22" s="23">
        <v>15</v>
      </c>
      <c r="B22" s="125" t="s">
        <v>52</v>
      </c>
      <c r="C22" s="137" t="s">
        <v>127</v>
      </c>
    </row>
    <row r="23" spans="1:3" ht="31.5">
      <c r="A23" s="23">
        <v>16</v>
      </c>
      <c r="B23" s="125" t="s">
        <v>53</v>
      </c>
      <c r="C23" s="137" t="s">
        <v>140</v>
      </c>
    </row>
    <row r="24" spans="1:3" ht="21" customHeight="1">
      <c r="A24" s="23">
        <v>17</v>
      </c>
      <c r="B24" s="125" t="s">
        <v>54</v>
      </c>
      <c r="C24" s="137" t="s">
        <v>113</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128</v>
      </c>
    </row>
    <row r="28" spans="1:3" ht="21" customHeight="1">
      <c r="A28" s="23">
        <v>21</v>
      </c>
      <c r="B28" s="125" t="s">
        <v>58</v>
      </c>
      <c r="C28" s="137" t="s">
        <v>128</v>
      </c>
    </row>
    <row r="29" spans="1:3" ht="21" customHeight="1">
      <c r="A29" s="23">
        <v>22</v>
      </c>
      <c r="B29" s="125" t="s">
        <v>59</v>
      </c>
      <c r="C29" s="137" t="s">
        <v>128</v>
      </c>
    </row>
    <row r="30" spans="1:3" ht="21" customHeight="1">
      <c r="A30" s="23">
        <v>23</v>
      </c>
      <c r="B30" s="125" t="s">
        <v>60</v>
      </c>
      <c r="C30" s="137" t="s">
        <v>114</v>
      </c>
    </row>
    <row r="31" spans="1:3" ht="21" customHeight="1">
      <c r="A31" s="23">
        <v>24</v>
      </c>
      <c r="B31" s="125" t="s">
        <v>61</v>
      </c>
      <c r="C31" s="137" t="s">
        <v>141</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111</v>
      </c>
    </row>
  </sheetData>
  <mergeCells count="4">
    <mergeCell ref="A1:C1"/>
    <mergeCell ref="A2:C2"/>
    <mergeCell ref="A4:C4"/>
    <mergeCell ref="A5:B5"/>
  </mergeCells>
  <printOptions horizontalCentered="1"/>
  <pageMargins left="0.53" right="0.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710937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4</v>
      </c>
      <c r="D5" s="70"/>
      <c r="E5" s="76" t="s">
        <v>148</v>
      </c>
      <c r="F5" s="69"/>
      <c r="G5" s="69"/>
      <c r="H5" s="69"/>
      <c r="I5" s="70"/>
      <c r="J5" s="14" t="s">
        <v>4</v>
      </c>
      <c r="K5" s="68"/>
      <c r="L5" s="71"/>
    </row>
    <row r="6" spans="1:12" ht="15.6" customHeight="1">
      <c r="A6" s="72" t="s">
        <v>5</v>
      </c>
      <c r="B6" s="73"/>
      <c r="C6" s="74" t="str">
        <f>'Form 1'!C6</f>
        <v>Sulia</v>
      </c>
      <c r="D6" s="75"/>
      <c r="E6" s="38" t="s">
        <v>101</v>
      </c>
      <c r="F6" s="37"/>
      <c r="G6" s="74" t="str">
        <f>'Form 1'!C3</f>
        <v>Mangalore</v>
      </c>
      <c r="H6" s="74"/>
      <c r="I6" s="75"/>
      <c r="J6" s="15" t="s">
        <v>6</v>
      </c>
      <c r="K6" s="74" t="str">
        <f>'Form II'!C14</f>
        <v>182 m</v>
      </c>
      <c r="L6" s="81"/>
    </row>
    <row r="7" spans="1:12" ht="15.6" customHeight="1" thickBot="1">
      <c r="A7" s="77" t="s">
        <v>7</v>
      </c>
      <c r="B7" s="78"/>
      <c r="C7" s="79">
        <f>'Form 1'!C10</f>
        <v>12.537998</v>
      </c>
      <c r="D7" s="80"/>
      <c r="E7" s="16" t="s">
        <v>8</v>
      </c>
      <c r="F7" s="13"/>
      <c r="G7" s="79">
        <f>'Form 1'!C11</f>
        <v>75.416006999999993</v>
      </c>
      <c r="H7" s="79"/>
      <c r="I7" s="80"/>
      <c r="J7" s="16" t="s">
        <v>9</v>
      </c>
      <c r="K7" s="79">
        <f>'Form 1'!C9</f>
        <v>329</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150</v>
      </c>
      <c r="C11" s="64"/>
      <c r="D11" s="3" t="s">
        <v>142</v>
      </c>
      <c r="E11" s="41">
        <v>86</v>
      </c>
      <c r="F11" s="41"/>
      <c r="G11" s="41">
        <v>13</v>
      </c>
      <c r="H11" s="87"/>
      <c r="I11" s="88"/>
      <c r="J11" s="91"/>
      <c r="K11" s="92"/>
      <c r="L11" s="12"/>
    </row>
    <row r="12" spans="1:12" ht="15.6" customHeight="1">
      <c r="A12" s="11">
        <v>2</v>
      </c>
      <c r="B12" s="63" t="s">
        <v>151</v>
      </c>
      <c r="C12" s="64"/>
      <c r="D12" s="4" t="s">
        <v>143</v>
      </c>
      <c r="E12" s="41">
        <v>44</v>
      </c>
      <c r="F12" s="41"/>
      <c r="G12" s="41">
        <v>7</v>
      </c>
      <c r="H12" s="87"/>
      <c r="I12" s="88"/>
      <c r="J12" s="91"/>
      <c r="K12" s="92"/>
      <c r="L12" s="12"/>
    </row>
    <row r="13" spans="1:12" ht="15.6" customHeight="1">
      <c r="A13" s="11">
        <v>3</v>
      </c>
      <c r="B13" s="63" t="s">
        <v>151</v>
      </c>
      <c r="C13" s="64"/>
      <c r="D13" s="3" t="s">
        <v>143</v>
      </c>
      <c r="E13" s="41">
        <v>56</v>
      </c>
      <c r="F13" s="41"/>
      <c r="G13" s="41">
        <v>8</v>
      </c>
      <c r="H13" s="87"/>
      <c r="I13" s="88"/>
      <c r="J13" s="91"/>
      <c r="K13" s="92"/>
      <c r="L13" s="12"/>
    </row>
    <row r="14" spans="1:12" ht="15.6" customHeight="1">
      <c r="A14" s="11">
        <v>4</v>
      </c>
      <c r="B14" s="63" t="s">
        <v>156</v>
      </c>
      <c r="C14" s="64"/>
      <c r="D14" s="3" t="s">
        <v>144</v>
      </c>
      <c r="E14" s="41">
        <v>78</v>
      </c>
      <c r="F14" s="41"/>
      <c r="G14" s="41">
        <v>12</v>
      </c>
      <c r="H14" s="87"/>
      <c r="I14" s="88"/>
      <c r="J14" s="91"/>
      <c r="K14" s="92"/>
      <c r="L14" s="12"/>
    </row>
    <row r="15" spans="1:12" ht="15.6" customHeight="1">
      <c r="A15" s="11">
        <v>5</v>
      </c>
      <c r="B15" s="63" t="s">
        <v>151</v>
      </c>
      <c r="C15" s="64"/>
      <c r="D15" s="7" t="s">
        <v>143</v>
      </c>
      <c r="E15" s="42">
        <v>96</v>
      </c>
      <c r="F15" s="41"/>
      <c r="G15" s="41">
        <v>12</v>
      </c>
      <c r="H15" s="87"/>
      <c r="I15" s="88"/>
      <c r="J15" s="91"/>
      <c r="K15" s="92"/>
      <c r="L15" s="12"/>
    </row>
    <row r="16" spans="1:12" ht="15.6" customHeight="1">
      <c r="A16" s="11">
        <v>6</v>
      </c>
      <c r="B16" s="63" t="s">
        <v>152</v>
      </c>
      <c r="C16" s="64"/>
      <c r="D16" s="4" t="s">
        <v>145</v>
      </c>
      <c r="E16" s="41">
        <v>155</v>
      </c>
      <c r="F16" s="42"/>
      <c r="G16" s="42">
        <v>15</v>
      </c>
      <c r="H16" s="89"/>
      <c r="I16" s="90"/>
      <c r="J16" s="91"/>
      <c r="K16" s="92"/>
      <c r="L16" s="12"/>
    </row>
    <row r="17" spans="1:12" ht="15.6" customHeight="1">
      <c r="A17" s="11">
        <v>7</v>
      </c>
      <c r="B17" s="63" t="s">
        <v>151</v>
      </c>
      <c r="C17" s="64"/>
      <c r="D17" s="7" t="s">
        <v>143</v>
      </c>
      <c r="E17" s="41">
        <v>54</v>
      </c>
      <c r="F17" s="42"/>
      <c r="G17" s="42">
        <v>9</v>
      </c>
      <c r="H17" s="89"/>
      <c r="I17" s="90"/>
      <c r="J17" s="91"/>
      <c r="K17" s="92"/>
      <c r="L17" s="12"/>
    </row>
    <row r="18" spans="1:12" ht="15.6" customHeight="1">
      <c r="A18" s="11">
        <v>8</v>
      </c>
      <c r="B18" s="63" t="s">
        <v>153</v>
      </c>
      <c r="C18" s="64"/>
      <c r="D18" s="3" t="s">
        <v>146</v>
      </c>
      <c r="E18" s="41">
        <v>68</v>
      </c>
      <c r="F18" s="42"/>
      <c r="G18" s="42">
        <v>10</v>
      </c>
      <c r="H18" s="89"/>
      <c r="I18" s="90"/>
      <c r="J18" s="91"/>
      <c r="K18" s="92"/>
      <c r="L18" s="12"/>
    </row>
    <row r="19" spans="1:12" ht="15.75">
      <c r="A19" s="11">
        <v>9</v>
      </c>
      <c r="B19" s="63" t="s">
        <v>150</v>
      </c>
      <c r="C19" s="64"/>
      <c r="D19" s="19" t="s">
        <v>142</v>
      </c>
      <c r="E19" s="41">
        <v>74</v>
      </c>
      <c r="F19" s="42"/>
      <c r="G19" s="42">
        <v>13</v>
      </c>
      <c r="H19" s="89"/>
      <c r="I19" s="90"/>
      <c r="J19" s="91"/>
      <c r="K19" s="92"/>
      <c r="L19" s="12"/>
    </row>
    <row r="20" spans="1:12" ht="15.6" customHeight="1">
      <c r="A20" s="11">
        <v>10</v>
      </c>
      <c r="B20" s="63" t="s">
        <v>150</v>
      </c>
      <c r="C20" s="64"/>
      <c r="D20" s="4" t="s">
        <v>142</v>
      </c>
      <c r="E20" s="41">
        <v>89</v>
      </c>
      <c r="F20" s="42"/>
      <c r="G20" s="42">
        <v>14</v>
      </c>
      <c r="H20" s="89"/>
      <c r="I20" s="90"/>
      <c r="J20" s="91"/>
      <c r="K20" s="92"/>
      <c r="L20" s="12"/>
    </row>
    <row r="21" spans="1:12" ht="15.6" customHeight="1">
      <c r="A21" s="11">
        <v>11</v>
      </c>
      <c r="B21" s="63" t="s">
        <v>150</v>
      </c>
      <c r="C21" s="64"/>
      <c r="D21" s="7" t="s">
        <v>142</v>
      </c>
      <c r="E21" s="41">
        <v>112</v>
      </c>
      <c r="F21" s="42"/>
      <c r="G21" s="42">
        <v>15</v>
      </c>
      <c r="H21" s="89"/>
      <c r="I21" s="90"/>
      <c r="J21" s="91"/>
      <c r="K21" s="92"/>
      <c r="L21" s="12"/>
    </row>
    <row r="22" spans="1:12" ht="15.6" customHeight="1">
      <c r="A22" s="11">
        <v>12</v>
      </c>
      <c r="B22" s="63" t="s">
        <v>151</v>
      </c>
      <c r="C22" s="64"/>
      <c r="D22" s="7" t="s">
        <v>143</v>
      </c>
      <c r="E22" s="41">
        <v>62</v>
      </c>
      <c r="F22" s="42"/>
      <c r="G22" s="42">
        <v>10</v>
      </c>
      <c r="H22" s="89"/>
      <c r="I22" s="90"/>
      <c r="J22" s="91"/>
      <c r="K22" s="92"/>
      <c r="L22" s="12"/>
    </row>
    <row r="23" spans="1:12" ht="15.6" customHeight="1">
      <c r="A23" s="11">
        <v>13</v>
      </c>
      <c r="B23" s="63" t="s">
        <v>154</v>
      </c>
      <c r="C23" s="64"/>
      <c r="D23" s="3" t="s">
        <v>147</v>
      </c>
      <c r="E23" s="41">
        <v>86</v>
      </c>
      <c r="F23" s="42"/>
      <c r="G23" s="42">
        <v>14</v>
      </c>
      <c r="H23" s="89"/>
      <c r="I23" s="90"/>
      <c r="J23" s="91"/>
      <c r="K23" s="92"/>
      <c r="L23" s="12"/>
    </row>
    <row r="24" spans="1:12" ht="15.6" customHeight="1">
      <c r="A24" s="11">
        <v>14</v>
      </c>
      <c r="B24" s="63" t="s">
        <v>156</v>
      </c>
      <c r="C24" s="64"/>
      <c r="D24" s="3" t="s">
        <v>144</v>
      </c>
      <c r="E24" s="41">
        <v>74</v>
      </c>
      <c r="F24" s="42"/>
      <c r="G24" s="42">
        <v>13</v>
      </c>
      <c r="H24" s="89"/>
      <c r="I24" s="90"/>
      <c r="J24" s="91"/>
      <c r="K24" s="92"/>
      <c r="L24" s="12"/>
    </row>
    <row r="25" spans="1:12" ht="15.6" customHeight="1">
      <c r="A25" s="11">
        <v>15</v>
      </c>
      <c r="B25" s="63" t="s">
        <v>152</v>
      </c>
      <c r="C25" s="64"/>
      <c r="D25" s="4" t="s">
        <v>145</v>
      </c>
      <c r="E25" s="41">
        <v>52</v>
      </c>
      <c r="F25" s="42"/>
      <c r="G25" s="42">
        <v>10</v>
      </c>
      <c r="H25" s="89"/>
      <c r="I25" s="90"/>
      <c r="J25" s="91"/>
      <c r="K25" s="92"/>
      <c r="L25" s="12"/>
    </row>
    <row r="26" spans="1:12" ht="15.6" customHeight="1">
      <c r="A26" s="11">
        <v>16</v>
      </c>
      <c r="B26" s="63" t="s">
        <v>151</v>
      </c>
      <c r="C26" s="64"/>
      <c r="D26" s="4" t="s">
        <v>143</v>
      </c>
      <c r="E26" s="41">
        <v>60</v>
      </c>
      <c r="F26" s="42"/>
      <c r="G26" s="42">
        <v>10</v>
      </c>
      <c r="H26" s="89"/>
      <c r="I26" s="90"/>
      <c r="J26" s="91"/>
      <c r="K26" s="92"/>
      <c r="L26" s="12"/>
    </row>
    <row r="27" spans="1:12" ht="15.6" customHeight="1">
      <c r="A27" s="11">
        <v>17</v>
      </c>
      <c r="B27" s="63" t="s">
        <v>150</v>
      </c>
      <c r="C27" s="64"/>
      <c r="D27" s="4" t="s">
        <v>142</v>
      </c>
      <c r="E27" s="41">
        <v>40</v>
      </c>
      <c r="F27" s="42"/>
      <c r="G27" s="42">
        <v>8</v>
      </c>
      <c r="H27" s="89"/>
      <c r="I27" s="90"/>
      <c r="J27" s="91"/>
      <c r="K27" s="92"/>
      <c r="L27" s="12"/>
    </row>
    <row r="28" spans="1:12" ht="15.6" customHeight="1">
      <c r="A28" s="11">
        <v>18</v>
      </c>
      <c r="B28" s="63" t="s">
        <v>150</v>
      </c>
      <c r="C28" s="64"/>
      <c r="D28" s="3" t="s">
        <v>142</v>
      </c>
      <c r="E28" s="41">
        <v>82</v>
      </c>
      <c r="F28" s="42"/>
      <c r="G28" s="42">
        <v>13</v>
      </c>
      <c r="H28" s="89"/>
      <c r="I28" s="90"/>
      <c r="J28" s="91"/>
      <c r="K28" s="92"/>
      <c r="L28" s="12"/>
    </row>
    <row r="29" spans="1:12" ht="15.6" customHeight="1">
      <c r="A29" s="11">
        <v>19</v>
      </c>
      <c r="B29" s="63" t="s">
        <v>155</v>
      </c>
      <c r="C29" s="64"/>
      <c r="D29" s="8" t="s">
        <v>149</v>
      </c>
      <c r="E29" s="41">
        <v>94</v>
      </c>
      <c r="F29" s="42"/>
      <c r="G29" s="42">
        <v>14</v>
      </c>
      <c r="H29" s="89"/>
      <c r="I29" s="90"/>
      <c r="J29" s="91"/>
      <c r="K29" s="92"/>
      <c r="L29" s="12"/>
    </row>
    <row r="30" spans="1:12" ht="15.6" customHeight="1">
      <c r="A30" s="11">
        <v>20</v>
      </c>
      <c r="B30" s="63" t="s">
        <v>151</v>
      </c>
      <c r="C30" s="64"/>
      <c r="D30" s="7" t="s">
        <v>143</v>
      </c>
      <c r="E30" s="41">
        <v>52</v>
      </c>
      <c r="F30" s="42"/>
      <c r="G30" s="42">
        <v>9</v>
      </c>
      <c r="H30" s="89"/>
      <c r="I30" s="90"/>
      <c r="J30" s="91"/>
      <c r="K30" s="92"/>
      <c r="L30" s="12"/>
    </row>
    <row r="31" spans="1:12" ht="15.6" customHeight="1">
      <c r="A31" s="11">
        <v>21</v>
      </c>
      <c r="B31" s="63" t="s">
        <v>151</v>
      </c>
      <c r="C31" s="64"/>
      <c r="D31" s="8" t="s">
        <v>143</v>
      </c>
      <c r="E31" s="41">
        <v>60</v>
      </c>
      <c r="F31" s="42"/>
      <c r="G31" s="42">
        <v>10</v>
      </c>
      <c r="H31" s="89"/>
      <c r="I31" s="90"/>
      <c r="J31" s="91"/>
      <c r="K31" s="92"/>
      <c r="L31" s="12"/>
    </row>
    <row r="32" spans="1:12" ht="15.6" customHeight="1">
      <c r="A32" s="11">
        <v>22</v>
      </c>
      <c r="B32" s="63" t="s">
        <v>151</v>
      </c>
      <c r="C32" s="64"/>
      <c r="D32" s="8" t="s">
        <v>143</v>
      </c>
      <c r="E32" s="41">
        <v>78</v>
      </c>
      <c r="F32" s="42"/>
      <c r="G32" s="42">
        <v>12</v>
      </c>
      <c r="H32" s="89"/>
      <c r="I32" s="90"/>
      <c r="J32" s="91"/>
      <c r="K32" s="92"/>
      <c r="L32" s="12"/>
    </row>
    <row r="33" spans="1:12" ht="15.6" customHeight="1">
      <c r="A33" s="11">
        <v>23</v>
      </c>
      <c r="B33" s="63" t="s">
        <v>150</v>
      </c>
      <c r="C33" s="64"/>
      <c r="D33" s="4" t="s">
        <v>142</v>
      </c>
      <c r="E33" s="41">
        <v>110</v>
      </c>
      <c r="F33" s="42"/>
      <c r="G33" s="42">
        <v>15</v>
      </c>
      <c r="H33" s="89"/>
      <c r="I33" s="90"/>
      <c r="J33" s="91"/>
      <c r="K33" s="92"/>
      <c r="L33" s="12"/>
    </row>
    <row r="34" spans="1:12" ht="15.6" customHeight="1">
      <c r="A34" s="11">
        <v>24</v>
      </c>
      <c r="B34" s="63" t="s">
        <v>152</v>
      </c>
      <c r="C34" s="64"/>
      <c r="D34" s="4" t="s">
        <v>145</v>
      </c>
      <c r="E34" s="41">
        <v>79</v>
      </c>
      <c r="F34" s="42"/>
      <c r="G34" s="42">
        <v>13</v>
      </c>
      <c r="H34" s="89"/>
      <c r="I34" s="90"/>
      <c r="J34" s="91"/>
      <c r="K34" s="92"/>
      <c r="L34" s="12"/>
    </row>
    <row r="35" spans="1:12" ht="15.6" customHeight="1">
      <c r="A35" s="11">
        <v>25</v>
      </c>
      <c r="B35" s="63" t="s">
        <v>152</v>
      </c>
      <c r="C35" s="64"/>
      <c r="D35" s="4" t="s">
        <v>145</v>
      </c>
      <c r="E35" s="41">
        <v>150</v>
      </c>
      <c r="F35" s="42"/>
      <c r="G35" s="42">
        <v>15</v>
      </c>
      <c r="H35" s="89"/>
      <c r="I35" s="90"/>
      <c r="J35" s="91"/>
      <c r="K35" s="92"/>
      <c r="L35" s="12"/>
    </row>
    <row r="36" spans="1:12" ht="15.6" customHeight="1">
      <c r="A36" s="11">
        <v>26</v>
      </c>
      <c r="B36" s="63" t="s">
        <v>151</v>
      </c>
      <c r="C36" s="64"/>
      <c r="D36" s="4" t="s">
        <v>143</v>
      </c>
      <c r="E36" s="41">
        <v>36</v>
      </c>
      <c r="F36" s="42"/>
      <c r="G36" s="42">
        <v>7</v>
      </c>
      <c r="H36" s="89"/>
      <c r="I36" s="90"/>
      <c r="J36" s="91"/>
      <c r="K36" s="92"/>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178</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107" t="s">
        <v>77</v>
      </c>
      <c r="F7" s="108"/>
      <c r="G7" s="109"/>
      <c r="H7" s="107" t="s">
        <v>78</v>
      </c>
      <c r="I7" s="108"/>
      <c r="J7" s="109"/>
      <c r="K7" s="107" t="s">
        <v>77</v>
      </c>
      <c r="L7" s="108"/>
      <c r="M7" s="109"/>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9">
        <v>1</v>
      </c>
      <c r="B9" s="93" t="s">
        <v>157</v>
      </c>
      <c r="C9" s="94"/>
      <c r="D9" s="94"/>
      <c r="E9" s="94"/>
      <c r="F9" s="94"/>
      <c r="G9" s="94"/>
      <c r="H9" s="94"/>
      <c r="I9" s="94"/>
      <c r="J9" s="94"/>
      <c r="K9" s="94"/>
      <c r="L9" s="94"/>
      <c r="M9" s="94"/>
      <c r="N9" s="94"/>
      <c r="O9" s="94"/>
      <c r="P9" s="94"/>
      <c r="Q9" s="95"/>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D3" sqref="D3:D4"/>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0"/>
      <c r="B2" s="110"/>
      <c r="H2" t="s">
        <v>83</v>
      </c>
      <c r="I2" s="10">
        <f>'Form 1'!C9</f>
        <v>329</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46" t="s">
        <v>150</v>
      </c>
      <c r="C5" s="4" t="s">
        <v>142</v>
      </c>
      <c r="D5" s="4"/>
      <c r="E5" s="4">
        <v>20.100000000000001</v>
      </c>
      <c r="F5" s="42">
        <v>1.5</v>
      </c>
      <c r="G5" s="23"/>
      <c r="H5" s="23"/>
      <c r="I5" s="23"/>
    </row>
    <row r="6" spans="1:9" ht="15.6" customHeight="1">
      <c r="A6" s="23">
        <v>2</v>
      </c>
      <c r="B6" s="24" t="s">
        <v>151</v>
      </c>
      <c r="C6" s="4" t="s">
        <v>143</v>
      </c>
      <c r="D6" s="4"/>
      <c r="E6" s="4">
        <v>62.3</v>
      </c>
      <c r="F6" s="42">
        <v>4</v>
      </c>
      <c r="G6" s="23"/>
      <c r="H6" s="23"/>
      <c r="I6" s="23"/>
    </row>
    <row r="7" spans="1:9" ht="15.75">
      <c r="A7" s="25"/>
      <c r="B7" s="26"/>
      <c r="C7" s="27"/>
      <c r="D7" s="28"/>
      <c r="E7" s="28"/>
      <c r="F7" s="28"/>
      <c r="G7" s="25"/>
      <c r="H7" s="25"/>
      <c r="I7" s="25"/>
    </row>
    <row r="8" spans="1:9" ht="21">
      <c r="A8" s="96" t="s">
        <v>88</v>
      </c>
      <c r="B8" s="96"/>
      <c r="C8" s="96"/>
      <c r="D8" s="96"/>
      <c r="E8" s="96"/>
      <c r="F8" s="96"/>
      <c r="G8" s="96"/>
      <c r="H8" s="96"/>
      <c r="I8" s="96"/>
    </row>
    <row r="9" spans="1:9" ht="15.75">
      <c r="A9" s="113"/>
      <c r="B9" s="113"/>
      <c r="H9" t="s">
        <v>83</v>
      </c>
      <c r="I9" s="10">
        <f>'Form 1'!C9</f>
        <v>329</v>
      </c>
    </row>
    <row r="10" spans="1:9" ht="15.75" customHeight="1">
      <c r="A10" s="53" t="s">
        <v>10</v>
      </c>
      <c r="B10" s="53" t="s">
        <v>11</v>
      </c>
      <c r="C10" s="53" t="s">
        <v>12</v>
      </c>
      <c r="D10" s="53" t="s">
        <v>84</v>
      </c>
      <c r="E10" s="111" t="s">
        <v>108</v>
      </c>
      <c r="F10" s="53" t="s">
        <v>85</v>
      </c>
      <c r="G10" s="53" t="s">
        <v>15</v>
      </c>
      <c r="H10" s="53"/>
      <c r="I10" s="111" t="s">
        <v>86</v>
      </c>
    </row>
    <row r="11" spans="1:9" ht="63">
      <c r="A11" s="53"/>
      <c r="B11" s="53"/>
      <c r="C11" s="53"/>
      <c r="D11" s="53"/>
      <c r="E11" s="112"/>
      <c r="F11" s="53"/>
      <c r="G11" s="20" t="s">
        <v>87</v>
      </c>
      <c r="H11" s="20" t="s">
        <v>19</v>
      </c>
      <c r="I11" s="112"/>
    </row>
    <row r="12" spans="1:9" ht="15.75">
      <c r="A12" s="23">
        <v>1</v>
      </c>
      <c r="B12" s="24" t="s">
        <v>151</v>
      </c>
      <c r="C12" s="3" t="s">
        <v>143</v>
      </c>
      <c r="D12" s="41"/>
      <c r="E12" s="43">
        <v>32.700000000000003</v>
      </c>
      <c r="F12" s="41">
        <v>2</v>
      </c>
      <c r="G12" s="23"/>
      <c r="H12" s="23"/>
      <c r="I12" s="29"/>
    </row>
    <row r="13" spans="1:9" ht="15.75">
      <c r="A13" s="23">
        <v>2</v>
      </c>
      <c r="B13" s="24" t="s">
        <v>156</v>
      </c>
      <c r="C13" s="3" t="s">
        <v>144</v>
      </c>
      <c r="D13" s="41"/>
      <c r="E13" s="43">
        <v>21.5</v>
      </c>
      <c r="F13" s="41">
        <v>1</v>
      </c>
      <c r="G13" s="23"/>
      <c r="H13" s="23"/>
      <c r="I13" s="29"/>
    </row>
    <row r="14" spans="1:9" ht="15.75">
      <c r="A14" s="23">
        <v>3</v>
      </c>
      <c r="B14" s="33" t="s">
        <v>172</v>
      </c>
      <c r="C14" s="3" t="s">
        <v>166</v>
      </c>
      <c r="D14" s="41"/>
      <c r="E14" s="43">
        <v>23.1</v>
      </c>
      <c r="F14" s="41">
        <v>1</v>
      </c>
      <c r="G14" s="23"/>
      <c r="H14" s="23"/>
      <c r="I14" s="29"/>
    </row>
    <row r="16" spans="1:9" ht="21">
      <c r="A16" s="96" t="s">
        <v>89</v>
      </c>
      <c r="B16" s="96"/>
      <c r="C16" s="96"/>
      <c r="D16" s="96"/>
      <c r="E16" s="96"/>
      <c r="F16" s="96"/>
      <c r="G16" s="96"/>
      <c r="H16" s="96"/>
      <c r="I16" s="96"/>
    </row>
    <row r="17" spans="1:9" ht="15.75">
      <c r="A17" s="113"/>
      <c r="B17" s="113"/>
      <c r="H17" s="10" t="s">
        <v>83</v>
      </c>
      <c r="I17" s="10">
        <f>'Form 1'!C9</f>
        <v>329</v>
      </c>
    </row>
    <row r="18" spans="1:9" ht="15.75" customHeight="1">
      <c r="A18" s="53" t="s">
        <v>10</v>
      </c>
      <c r="B18" s="53" t="s">
        <v>11</v>
      </c>
      <c r="C18" s="53" t="s">
        <v>12</v>
      </c>
      <c r="D18" s="53" t="s">
        <v>84</v>
      </c>
      <c r="E18" s="111" t="s">
        <v>108</v>
      </c>
      <c r="F18" s="53" t="s">
        <v>85</v>
      </c>
      <c r="G18" s="53" t="s">
        <v>15</v>
      </c>
      <c r="H18" s="53"/>
      <c r="I18" s="111" t="s">
        <v>86</v>
      </c>
    </row>
    <row r="19" spans="1:9" ht="63">
      <c r="A19" s="53"/>
      <c r="B19" s="53"/>
      <c r="C19" s="53"/>
      <c r="D19" s="53"/>
      <c r="E19" s="112"/>
      <c r="F19" s="53"/>
      <c r="G19" s="20" t="s">
        <v>87</v>
      </c>
      <c r="H19" s="20" t="s">
        <v>19</v>
      </c>
      <c r="I19" s="112"/>
    </row>
    <row r="20" spans="1:9" ht="15.6" customHeight="1">
      <c r="A20" s="23">
        <v>1</v>
      </c>
      <c r="B20" s="24" t="s">
        <v>151</v>
      </c>
      <c r="C20" s="3" t="s">
        <v>143</v>
      </c>
      <c r="D20" s="41"/>
      <c r="E20" s="3">
        <v>35.700000000000003</v>
      </c>
      <c r="F20" s="41">
        <v>2</v>
      </c>
      <c r="G20" s="23"/>
      <c r="H20" s="23"/>
      <c r="I20" s="23"/>
    </row>
    <row r="21" spans="1:9" ht="15.6" customHeight="1">
      <c r="A21" s="23">
        <v>2</v>
      </c>
      <c r="B21" s="24" t="s">
        <v>151</v>
      </c>
      <c r="C21" s="3" t="s">
        <v>143</v>
      </c>
      <c r="D21" s="41"/>
      <c r="E21" s="3">
        <v>28.2</v>
      </c>
      <c r="F21" s="41">
        <v>1</v>
      </c>
      <c r="G21" s="23"/>
      <c r="H21" s="23"/>
      <c r="I21" s="23"/>
    </row>
    <row r="22" spans="1:9" ht="15.6" customHeight="1">
      <c r="A22" s="23">
        <v>3</v>
      </c>
      <c r="B22" s="24" t="s">
        <v>151</v>
      </c>
      <c r="C22" s="3" t="s">
        <v>143</v>
      </c>
      <c r="D22" s="41"/>
      <c r="E22" s="3">
        <v>35.700000000000003</v>
      </c>
      <c r="F22" s="41">
        <v>2.5</v>
      </c>
      <c r="G22" s="23"/>
      <c r="H22" s="23"/>
      <c r="I22" s="23"/>
    </row>
    <row r="23" spans="1:9" ht="15.6" customHeight="1">
      <c r="A23" s="23">
        <v>4</v>
      </c>
      <c r="B23" s="24" t="s">
        <v>152</v>
      </c>
      <c r="C23" s="3" t="s">
        <v>145</v>
      </c>
      <c r="D23" s="41"/>
      <c r="E23" s="3">
        <v>46.3</v>
      </c>
      <c r="F23" s="41">
        <v>3</v>
      </c>
      <c r="G23" s="23"/>
      <c r="H23" s="23"/>
      <c r="I23" s="23"/>
    </row>
    <row r="24" spans="1:9" ht="15.75">
      <c r="D24" s="28"/>
      <c r="F24" s="30"/>
    </row>
    <row r="25" spans="1:9" ht="21">
      <c r="A25" s="96" t="s">
        <v>90</v>
      </c>
      <c r="B25" s="96"/>
      <c r="C25" s="96"/>
      <c r="D25" s="96"/>
      <c r="E25" s="96"/>
      <c r="F25" s="96"/>
      <c r="G25" s="96"/>
      <c r="H25" s="96"/>
      <c r="I25" s="96"/>
    </row>
    <row r="26" spans="1:9">
      <c r="A26" s="114"/>
      <c r="B26" s="114"/>
      <c r="H26" t="s">
        <v>83</v>
      </c>
      <c r="I26" s="10">
        <f>'Form 1'!C9</f>
        <v>329</v>
      </c>
    </row>
    <row r="27" spans="1:9" ht="15.75" customHeight="1">
      <c r="A27" s="53" t="s">
        <v>10</v>
      </c>
      <c r="B27" s="53" t="s">
        <v>11</v>
      </c>
      <c r="C27" s="53" t="s">
        <v>12</v>
      </c>
      <c r="D27" s="53" t="s">
        <v>84</v>
      </c>
      <c r="E27" s="111" t="s">
        <v>108</v>
      </c>
      <c r="F27" s="53" t="s">
        <v>85</v>
      </c>
      <c r="G27" s="53" t="s">
        <v>15</v>
      </c>
      <c r="H27" s="53"/>
      <c r="I27" s="53" t="s">
        <v>86</v>
      </c>
    </row>
    <row r="28" spans="1:9" ht="63">
      <c r="A28" s="53"/>
      <c r="B28" s="53"/>
      <c r="C28" s="53"/>
      <c r="D28" s="53"/>
      <c r="E28" s="112"/>
      <c r="F28" s="53"/>
      <c r="G28" s="39" t="s">
        <v>87</v>
      </c>
      <c r="H28" s="39" t="s">
        <v>19</v>
      </c>
      <c r="I28" s="53"/>
    </row>
    <row r="29" spans="1:9" ht="17.25" customHeight="1">
      <c r="A29" s="23">
        <v>1</v>
      </c>
      <c r="B29" s="46" t="s">
        <v>177</v>
      </c>
      <c r="C29" s="3" t="s">
        <v>167</v>
      </c>
      <c r="D29" s="44"/>
      <c r="E29" s="45">
        <v>38.700000000000003</v>
      </c>
      <c r="F29" s="44">
        <v>2.5</v>
      </c>
      <c r="G29" s="23"/>
      <c r="H29" s="23"/>
      <c r="I29" s="23"/>
    </row>
    <row r="30" spans="1:9" ht="17.25" customHeight="1">
      <c r="A30" s="23">
        <v>2</v>
      </c>
      <c r="B30" s="24" t="s">
        <v>151</v>
      </c>
      <c r="C30" s="3" t="s">
        <v>143</v>
      </c>
      <c r="D30" s="44"/>
      <c r="E30" s="45">
        <v>24.2</v>
      </c>
      <c r="F30" s="44">
        <v>2</v>
      </c>
      <c r="G30" s="23"/>
      <c r="H30" s="23"/>
      <c r="I30" s="23"/>
    </row>
    <row r="31" spans="1:9" ht="17.25" customHeight="1">
      <c r="A31" s="23">
        <v>3</v>
      </c>
      <c r="B31" s="46" t="s">
        <v>173</v>
      </c>
      <c r="C31" s="3" t="s">
        <v>168</v>
      </c>
      <c r="D31" s="44"/>
      <c r="E31" s="45">
        <v>31.9</v>
      </c>
      <c r="F31" s="44">
        <v>2</v>
      </c>
      <c r="G31" s="23"/>
      <c r="H31" s="23"/>
      <c r="I31" s="23"/>
    </row>
    <row r="32" spans="1:9" ht="17.25" customHeight="1">
      <c r="A32" s="23">
        <v>4</v>
      </c>
      <c r="B32" s="46" t="s">
        <v>174</v>
      </c>
      <c r="C32" s="3" t="s">
        <v>169</v>
      </c>
      <c r="D32" s="44"/>
      <c r="E32" s="45">
        <v>32.700000000000003</v>
      </c>
      <c r="F32" s="44">
        <v>2</v>
      </c>
      <c r="G32" s="23"/>
      <c r="H32" s="23"/>
      <c r="I32" s="23"/>
    </row>
  </sheetData>
  <mergeCells count="40">
    <mergeCell ref="A25:I25"/>
    <mergeCell ref="A26:B26"/>
    <mergeCell ref="A27:A28"/>
    <mergeCell ref="B27:B28"/>
    <mergeCell ref="C27:C28"/>
    <mergeCell ref="D27:D28"/>
    <mergeCell ref="E27:E28"/>
    <mergeCell ref="F27:F28"/>
    <mergeCell ref="G27:H27"/>
    <mergeCell ref="I27:I28"/>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topLeftCell="A16" workbookViewId="0">
      <selection activeCell="H30" sqref="H30"/>
    </sheetView>
  </sheetViews>
  <sheetFormatPr defaultRowHeight="15"/>
  <cols>
    <col min="1" max="1" width="6.85546875" bestFit="1" customWidth="1"/>
    <col min="2" max="2" width="22.140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329</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24" t="s">
        <v>151</v>
      </c>
      <c r="C6" s="3" t="s">
        <v>143</v>
      </c>
      <c r="D6" s="41">
        <v>32</v>
      </c>
      <c r="E6" s="23"/>
      <c r="F6" s="31"/>
      <c r="G6" s="23"/>
    </row>
    <row r="7" spans="1:7" ht="15.75">
      <c r="A7" s="23">
        <v>2</v>
      </c>
      <c r="B7" s="24" t="s">
        <v>151</v>
      </c>
      <c r="C7" s="3" t="s">
        <v>143</v>
      </c>
      <c r="D7" s="41">
        <v>14</v>
      </c>
      <c r="E7" s="23"/>
      <c r="F7" s="23"/>
      <c r="G7" s="23"/>
    </row>
    <row r="8" spans="1:7" ht="15.75">
      <c r="A8" s="23">
        <v>3</v>
      </c>
      <c r="B8" s="33" t="s">
        <v>175</v>
      </c>
      <c r="C8" s="3" t="s">
        <v>170</v>
      </c>
      <c r="D8" s="41">
        <v>3</v>
      </c>
      <c r="E8" s="23"/>
      <c r="F8" s="40"/>
      <c r="G8" s="23"/>
    </row>
    <row r="9" spans="1:7" ht="15.75">
      <c r="A9" s="23">
        <v>4</v>
      </c>
      <c r="B9" s="33" t="s">
        <v>175</v>
      </c>
      <c r="C9" s="3" t="s">
        <v>170</v>
      </c>
      <c r="D9" s="41">
        <v>9</v>
      </c>
      <c r="E9" s="23"/>
      <c r="F9" s="23"/>
      <c r="G9" s="23"/>
    </row>
    <row r="10" spans="1:7" ht="15.75">
      <c r="A10" s="23">
        <v>5</v>
      </c>
      <c r="B10" s="33" t="s">
        <v>175</v>
      </c>
      <c r="C10" s="3" t="s">
        <v>170</v>
      </c>
      <c r="D10" s="41">
        <v>3</v>
      </c>
      <c r="E10" s="23"/>
      <c r="F10" s="40"/>
      <c r="G10" s="23"/>
    </row>
    <row r="11" spans="1:7" ht="15.75">
      <c r="A11" s="23">
        <v>6</v>
      </c>
      <c r="B11" s="33" t="s">
        <v>175</v>
      </c>
      <c r="C11" s="3" t="s">
        <v>170</v>
      </c>
      <c r="D11" s="41">
        <v>2</v>
      </c>
      <c r="E11" s="23"/>
      <c r="F11" s="23"/>
      <c r="G11" s="23"/>
    </row>
    <row r="12" spans="1:7" ht="15.75">
      <c r="A12" s="23">
        <v>7</v>
      </c>
      <c r="B12" s="33" t="s">
        <v>172</v>
      </c>
      <c r="C12" s="3" t="s">
        <v>166</v>
      </c>
      <c r="D12" s="41">
        <v>40</v>
      </c>
      <c r="E12" s="23"/>
      <c r="F12" s="40"/>
      <c r="G12" s="23"/>
    </row>
    <row r="13" spans="1:7" ht="15.75">
      <c r="A13" s="23">
        <v>8</v>
      </c>
      <c r="B13" s="33" t="s">
        <v>172</v>
      </c>
      <c r="C13" s="3" t="s">
        <v>166</v>
      </c>
      <c r="D13" s="41">
        <v>38</v>
      </c>
      <c r="E13" s="23"/>
      <c r="F13" s="23"/>
      <c r="G13" s="23"/>
    </row>
    <row r="14" spans="1:7" ht="15.75">
      <c r="A14" s="23">
        <v>9</v>
      </c>
      <c r="B14" s="33" t="s">
        <v>172</v>
      </c>
      <c r="C14" s="3" t="s">
        <v>166</v>
      </c>
      <c r="D14" s="41">
        <v>23</v>
      </c>
      <c r="E14" s="23"/>
      <c r="F14" s="40"/>
      <c r="G14" s="23"/>
    </row>
    <row r="15" spans="1:7" ht="15.75">
      <c r="A15" s="23">
        <v>10</v>
      </c>
      <c r="B15" s="33" t="s">
        <v>172</v>
      </c>
      <c r="C15" s="3" t="s">
        <v>166</v>
      </c>
      <c r="D15" s="41">
        <v>12</v>
      </c>
      <c r="E15" s="23"/>
      <c r="F15" s="47"/>
      <c r="G15" s="23"/>
    </row>
    <row r="16" spans="1:7" ht="15.75">
      <c r="A16" s="58" t="s">
        <v>103</v>
      </c>
      <c r="B16" s="120"/>
      <c r="C16" s="120"/>
      <c r="D16" s="120"/>
      <c r="E16" s="120"/>
      <c r="F16" s="120"/>
      <c r="G16" s="59"/>
    </row>
    <row r="17" spans="1:12" ht="15.75">
      <c r="A17" s="23">
        <v>1</v>
      </c>
      <c r="B17" s="117" t="s">
        <v>104</v>
      </c>
      <c r="C17" s="118"/>
      <c r="D17" s="118"/>
      <c r="E17" s="118"/>
      <c r="F17" s="119"/>
      <c r="G17" s="3" t="s">
        <v>158</v>
      </c>
    </row>
    <row r="18" spans="1:12" ht="15.75">
      <c r="A18" s="23">
        <v>2</v>
      </c>
      <c r="B18" s="117" t="s">
        <v>105</v>
      </c>
      <c r="C18" s="118"/>
      <c r="D18" s="118"/>
      <c r="E18" s="118"/>
      <c r="F18" s="119"/>
      <c r="G18" s="3" t="s">
        <v>159</v>
      </c>
    </row>
    <row r="19" spans="1:12" ht="15.75">
      <c r="A19" s="23">
        <v>3</v>
      </c>
      <c r="B19" s="117" t="s">
        <v>106</v>
      </c>
      <c r="C19" s="118"/>
      <c r="D19" s="118"/>
      <c r="E19" s="118"/>
      <c r="F19" s="119"/>
      <c r="G19" s="3" t="s">
        <v>160</v>
      </c>
    </row>
    <row r="20" spans="1:12" ht="15.75">
      <c r="A20" s="23">
        <v>4</v>
      </c>
      <c r="B20" s="117" t="s">
        <v>107</v>
      </c>
      <c r="C20" s="118"/>
      <c r="D20" s="118"/>
      <c r="E20" s="118"/>
      <c r="F20" s="119"/>
      <c r="G20" s="3" t="s">
        <v>161</v>
      </c>
    </row>
    <row r="21" spans="1:12" ht="15.75">
      <c r="A21" s="25"/>
      <c r="B21" s="35"/>
      <c r="C21" s="35"/>
      <c r="D21" s="25"/>
      <c r="E21" s="25"/>
      <c r="F21" s="25"/>
      <c r="G21" s="25"/>
      <c r="L21" s="34"/>
    </row>
    <row r="22" spans="1:12" s="36" customFormat="1" ht="19.899999999999999" customHeight="1">
      <c r="A22" s="122" t="s">
        <v>98</v>
      </c>
      <c r="B22" s="122"/>
      <c r="C22" s="122"/>
      <c r="D22" s="122"/>
      <c r="E22" s="122"/>
      <c r="F22" s="122"/>
      <c r="G22" s="122"/>
      <c r="L22" s="34"/>
    </row>
    <row r="23" spans="1:12" ht="15.75">
      <c r="A23" s="36"/>
      <c r="B23" s="36"/>
      <c r="C23" s="36"/>
      <c r="D23" s="36"/>
      <c r="E23" s="36"/>
      <c r="F23" t="s">
        <v>83</v>
      </c>
      <c r="G23" s="10">
        <f>'Form 1'!C9</f>
        <v>329</v>
      </c>
      <c r="L23" s="34"/>
    </row>
    <row r="24" spans="1:12" ht="15.75" customHeight="1">
      <c r="A24" s="111" t="s">
        <v>10</v>
      </c>
      <c r="B24" s="111" t="s">
        <v>11</v>
      </c>
      <c r="C24" s="111" t="s">
        <v>12</v>
      </c>
      <c r="D24" s="111" t="s">
        <v>99</v>
      </c>
      <c r="E24" s="58" t="s">
        <v>15</v>
      </c>
      <c r="F24" s="59"/>
      <c r="G24" s="111" t="s">
        <v>100</v>
      </c>
      <c r="L24" s="34"/>
    </row>
    <row r="25" spans="1:12" ht="31.5">
      <c r="A25" s="121"/>
      <c r="B25" s="121"/>
      <c r="C25" s="121"/>
      <c r="D25" s="121"/>
      <c r="E25" s="31" t="s">
        <v>94</v>
      </c>
      <c r="F25" s="31" t="s">
        <v>95</v>
      </c>
      <c r="G25" s="121"/>
      <c r="L25" s="34"/>
    </row>
    <row r="26" spans="1:12" ht="15.75">
      <c r="A26" s="112"/>
      <c r="B26" s="112"/>
      <c r="C26" s="112"/>
      <c r="D26" s="112"/>
      <c r="E26" s="32" t="s">
        <v>96</v>
      </c>
      <c r="F26" s="32" t="s">
        <v>97</v>
      </c>
      <c r="G26" s="112"/>
      <c r="L26" s="34"/>
    </row>
    <row r="27" spans="1:12" ht="15.75">
      <c r="A27" s="23">
        <v>1</v>
      </c>
      <c r="B27" s="46" t="s">
        <v>176</v>
      </c>
      <c r="C27" s="3" t="s">
        <v>171</v>
      </c>
      <c r="D27" s="41">
        <v>42</v>
      </c>
      <c r="E27" s="23"/>
      <c r="F27" s="23"/>
      <c r="G27" s="23"/>
      <c r="L27" s="34"/>
    </row>
    <row r="28" spans="1:12" ht="15.75">
      <c r="A28" s="23">
        <v>2</v>
      </c>
      <c r="B28" s="24" t="s">
        <v>151</v>
      </c>
      <c r="C28" s="3" t="s">
        <v>143</v>
      </c>
      <c r="D28" s="41">
        <v>13</v>
      </c>
      <c r="E28" s="23"/>
      <c r="F28" s="23"/>
      <c r="G28" s="23"/>
      <c r="L28" s="34"/>
    </row>
    <row r="29" spans="1:12" ht="15.75">
      <c r="A29" s="23">
        <v>3</v>
      </c>
      <c r="B29" s="33" t="s">
        <v>172</v>
      </c>
      <c r="C29" s="3" t="s">
        <v>166</v>
      </c>
      <c r="D29" s="41">
        <v>20</v>
      </c>
      <c r="E29" s="23"/>
      <c r="F29" s="23"/>
      <c r="G29" s="23"/>
      <c r="L29" s="34"/>
    </row>
    <row r="30" spans="1:12" ht="15.75">
      <c r="A30" s="23">
        <v>4</v>
      </c>
      <c r="B30" s="24" t="s">
        <v>172</v>
      </c>
      <c r="C30" s="3" t="s">
        <v>166</v>
      </c>
      <c r="D30" s="41">
        <v>15</v>
      </c>
      <c r="E30" s="23"/>
      <c r="F30" s="23"/>
      <c r="G30" s="23"/>
      <c r="L30" s="34"/>
    </row>
    <row r="31" spans="1:12" ht="15.75">
      <c r="A31" s="23">
        <v>5</v>
      </c>
      <c r="B31" s="33" t="s">
        <v>172</v>
      </c>
      <c r="C31" s="3" t="s">
        <v>166</v>
      </c>
      <c r="D31" s="41">
        <v>10</v>
      </c>
      <c r="E31" s="23"/>
      <c r="F31" s="23"/>
      <c r="G31" s="23"/>
      <c r="L31" s="34"/>
    </row>
    <row r="32" spans="1:12" ht="15.75">
      <c r="A32" s="58" t="s">
        <v>103</v>
      </c>
      <c r="B32" s="120"/>
      <c r="C32" s="120"/>
      <c r="D32" s="120"/>
      <c r="E32" s="120"/>
      <c r="F32" s="120"/>
      <c r="G32" s="59"/>
    </row>
    <row r="33" spans="1:7" ht="15.75">
      <c r="A33" s="23">
        <v>1</v>
      </c>
      <c r="B33" s="117" t="s">
        <v>104</v>
      </c>
      <c r="C33" s="118"/>
      <c r="D33" s="118"/>
      <c r="E33" s="118"/>
      <c r="F33" s="119"/>
      <c r="G33" s="3" t="s">
        <v>162</v>
      </c>
    </row>
    <row r="34" spans="1:7" ht="15.75">
      <c r="A34" s="23">
        <v>2</v>
      </c>
      <c r="B34" s="117" t="s">
        <v>105</v>
      </c>
      <c r="C34" s="118"/>
      <c r="D34" s="118"/>
      <c r="E34" s="118"/>
      <c r="F34" s="119"/>
      <c r="G34" s="3" t="s">
        <v>163</v>
      </c>
    </row>
    <row r="35" spans="1:7" ht="15.75">
      <c r="A35" s="23">
        <v>3</v>
      </c>
      <c r="B35" s="117" t="s">
        <v>106</v>
      </c>
      <c r="C35" s="118"/>
      <c r="D35" s="118"/>
      <c r="E35" s="118"/>
      <c r="F35" s="119"/>
      <c r="G35" s="3" t="s">
        <v>164</v>
      </c>
    </row>
    <row r="36" spans="1:7" ht="15.75">
      <c r="A36" s="23">
        <v>4</v>
      </c>
      <c r="B36" s="117" t="s">
        <v>107</v>
      </c>
      <c r="C36" s="118"/>
      <c r="D36" s="118"/>
      <c r="E36" s="118"/>
      <c r="F36" s="119"/>
      <c r="G36" s="3" t="s">
        <v>165</v>
      </c>
    </row>
  </sheetData>
  <mergeCells count="25">
    <mergeCell ref="B35:F35"/>
    <mergeCell ref="B36:F36"/>
    <mergeCell ref="A16:G16"/>
    <mergeCell ref="B17:F17"/>
    <mergeCell ref="A32:G32"/>
    <mergeCell ref="B33:F33"/>
    <mergeCell ref="B34:F34"/>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51" right="0.5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2024-03-14T11:06:30Z</dcterms:modified>
</cp:coreProperties>
</file>