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2" i="11"/>
  <c r="I16"/>
  <c r="I8"/>
  <c r="I2"/>
  <c r="C13" i="8"/>
  <c r="C12"/>
  <c r="C11"/>
  <c r="C10"/>
  <c r="C5" i="6" s="1"/>
  <c r="C9" i="8"/>
</calcChain>
</file>

<file path=xl/sharedStrings.xml><?xml version="1.0" encoding="utf-8"?>
<sst xmlns="http://schemas.openxmlformats.org/spreadsheetml/2006/main" count="326" uniqueCount="183">
  <si>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</si>
  <si>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</si>
  <si>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</si>
  <si>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</si>
  <si>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</si>
  <si>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</si>
  <si>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</si>
  <si>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</si>
  <si>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</si>
  <si>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</si>
  <si>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</si>
  <si>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</si>
  <si>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</si>
  <si>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</si>
  <si>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</si>
  <si>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</si>
  <si>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</si>
  <si>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</si>
  <si>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</si>
  <si>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</si>
  <si>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</si>
  <si>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</si>
  <si>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</si>
  <si>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</si>
  <si>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</si>
  <si>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</si>
  <si>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</si>
  <si>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</si>
  <si>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</si>
  <si>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</si>
  <si>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</si>
  <si>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</si>
  <si>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</si>
  <si>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</si>
  <si>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</si>
  <si>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</si>
  <si>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</si>
  <si>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</si>
  <si>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</si>
  <si>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</si>
  <si>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</si>
  <si>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</si>
  <si>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</si>
  <si>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</si>
  <si>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</si>
  <si>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</si>
  <si>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</si>
  <si>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</si>
  <si>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</si>
  <si>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</si>
  <si>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</si>
  <si>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</si>
  <si>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</si>
  <si>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</si>
  <si>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</si>
  <si>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</si>
  <si>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</si>
  <si>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</si>
  <si>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</si>
  <si>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</si>
  <si>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</si>
  <si>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</si>
  <si>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</si>
  <si>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</si>
  <si>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</si>
  <si>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</si>
  <si>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</si>
  <si>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</si>
  <si>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</si>
  <si>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</si>
  <si>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</si>
  <si>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</si>
  <si>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</si>
  <si>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</si>
  <si>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</si>
  <si>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</si>
  <si>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</si>
  <si>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</si>
  <si>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</si>
  <si>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</si>
  <si>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</si>
  <si>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</si>
  <si>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</si>
  <si>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</si>
  <si>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</si>
  <si>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</si>
  <si>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</si>
  <si>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</si>
  <si>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</si>
  <si>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</si>
  <si>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</si>
  <si>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</si>
  <si>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</si>
  <si>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</si>
  <si>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</si>
  <si>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</si>
  <si>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</si>
  <si>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</si>
  <si>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</si>
  <si>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</si>
  <si>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</si>
  <si>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</si>
  <si>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</si>
  <si>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</si>
  <si>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</si>
  <si>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</si>
  <si>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</si>
  <si>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</si>
  <si>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</si>
  <si>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</si>
  <si>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</si>
  <si>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</si>
  <si>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</si>
  <si>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</si>
  <si>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Adequate</t>
  </si>
  <si>
    <t>Not Degrated</t>
  </si>
  <si>
    <t>Sulia</t>
  </si>
  <si>
    <t>Salle</t>
  </si>
  <si>
    <t>Kasarka</t>
  </si>
  <si>
    <t>Marva</t>
  </si>
  <si>
    <t>Maddarasa</t>
  </si>
  <si>
    <t>Nandi</t>
  </si>
  <si>
    <t>Jambe</t>
  </si>
  <si>
    <t>Matti</t>
  </si>
  <si>
    <t>salle</t>
  </si>
  <si>
    <t>580grm</t>
  </si>
  <si>
    <t>1.3kg</t>
  </si>
  <si>
    <t>nill</t>
  </si>
  <si>
    <t>135grm</t>
  </si>
  <si>
    <t>kasarka</t>
  </si>
  <si>
    <t>Kodlimurka</t>
  </si>
  <si>
    <t>460grm</t>
  </si>
  <si>
    <t>710grm</t>
  </si>
  <si>
    <t>165grm</t>
  </si>
  <si>
    <t>Nedthi</t>
  </si>
  <si>
    <t>Kalmenasu</t>
  </si>
  <si>
    <t>climber</t>
  </si>
  <si>
    <t>Kaad arisina</t>
  </si>
  <si>
    <t>Vatmadike</t>
  </si>
  <si>
    <t>Seege</t>
  </si>
  <si>
    <t>Aporosa lindleyana</t>
  </si>
  <si>
    <t>Terminalea paniculata</t>
  </si>
  <si>
    <t>Strychnos nux-vomica</t>
  </si>
  <si>
    <t>Tabernaentana montana</t>
  </si>
  <si>
    <t>jambe</t>
  </si>
  <si>
    <t>Xylea xylocarpa</t>
  </si>
  <si>
    <t>Lagerstroemia lanceolata</t>
  </si>
  <si>
    <t>Schleichera oleaosa</t>
  </si>
  <si>
    <t xml:space="preserve">Lea indica </t>
  </si>
  <si>
    <t>Terminalia tomantosa</t>
  </si>
  <si>
    <t>Piper tioicum</t>
  </si>
  <si>
    <t>Curcuma aromatica</t>
  </si>
  <si>
    <t>Phychotrica dalzellii</t>
  </si>
  <si>
    <t>Senegalia rugata</t>
  </si>
  <si>
    <t>Sampaje</t>
  </si>
  <si>
    <t>1. Track - Very Hilly</t>
  </si>
  <si>
    <t>3.Canopy density - Closed forest 80 % canopy density</t>
  </si>
  <si>
    <t>5. Grass - Absent</t>
  </si>
  <si>
    <t>6. Weeds - Absent</t>
  </si>
  <si>
    <t>7. Bamboo - Present - Bambussa bamboo (Hebbdiru).</t>
  </si>
  <si>
    <t>8. Herbs - Phychotrica dalzellii (Vaatmadike), Leea indica (Nedthi), Curcuma aromatica (Kaadarisina).</t>
  </si>
  <si>
    <t>9. Shrubs - Calycopteris floribunda(Kumsa balli), Zizypus mouriantana (Parige).</t>
  </si>
  <si>
    <t>10. Underwood species - Ixora brachiata (kaanSurgi),  Aparosa lindliana (Salle), Tabariena montana (Maddarsa).</t>
  </si>
  <si>
    <t>12. Rattans - Hebiscus aculeatus (betta).</t>
  </si>
  <si>
    <t>Sampaje reserve forest</t>
  </si>
  <si>
    <t>Closed forest 80% canopy density</t>
  </si>
  <si>
    <t>Absent</t>
  </si>
  <si>
    <t>Natural forest</t>
  </si>
  <si>
    <t>Elephant trce and dung</t>
  </si>
  <si>
    <t>Start from Mavinakatte forest quarters to Elimale for 5 km N-12.60069, E-75.452292. Then left trun to Sampaje Rf for 20.3 km N-12.513665, E-75.532628 (By jeep) then walked towards Right for 485 mtr to reached center of the plot.</t>
  </si>
  <si>
    <t>Semi evergreen Densed forest, species like Terminalea tomantosa (Matti),  Xylea xylocarpa (Jambe), Lagastromea lanceolata (nandi), Terminalea paniculata (Marva).</t>
  </si>
  <si>
    <t>2. Aspect -South East</t>
  </si>
  <si>
    <t>11. Climber -  Piper tiocum (Kaalmenasu),  Tinospora malabarica (Madari balli).</t>
  </si>
  <si>
    <t>13. NTFP yielding sps - Cinnamomum zalenicum (Dalchinni), Senegalea rugta (Seege).</t>
  </si>
  <si>
    <t>192 m</t>
  </si>
  <si>
    <t>Hilly</t>
  </si>
  <si>
    <t>Upto 16 - 40</t>
  </si>
  <si>
    <t>South East</t>
  </si>
  <si>
    <t>Mild Erosion</t>
  </si>
  <si>
    <t>Aparosa lindliana (Salle) - 20%, Terminalea paniculata (Marva) - 20%, Strychnos nux-vomica (Kasarka) - 10%.</t>
  </si>
  <si>
    <t>Block /Village: Sampaje</t>
  </si>
  <si>
    <t>Bambussa bamboo</t>
  </si>
  <si>
    <t>Hebbdiru</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</si>
</sst>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5" t="s">
        <v>21</v>
      </c>
      <c r="B1" s="75"/>
      <c r="C1" s="75"/>
    </row>
    <row r="2" spans="1:3">
      <c r="A2" s="75" t="s">
        <v>22</v>
      </c>
      <c r="B2" s="75"/>
      <c r="C2" s="75"/>
    </row>
    <row r="3" spans="1:3">
      <c r="A3" s="76" t="s">
        <v>102</v>
      </c>
      <c r="B3" s="76"/>
      <c r="C3" s="59" t="s">
        <v>109</v>
      </c>
    </row>
    <row r="4" spans="1:3">
      <c r="A4" s="51"/>
    </row>
    <row r="5" spans="1:3" ht="31.5">
      <c r="A5" s="52" t="s">
        <v>23</v>
      </c>
      <c r="B5" s="54" t="s">
        <v>24</v>
      </c>
      <c r="C5" s="54" t="s">
        <v>25</v>
      </c>
    </row>
    <row r="6" spans="1:3">
      <c r="A6" s="55">
        <v>1</v>
      </c>
      <c r="B6" s="56" t="s">
        <v>26</v>
      </c>
      <c r="C6" s="60" t="s">
        <v>116</v>
      </c>
    </row>
    <row r="7" spans="1:3" ht="31.5">
      <c r="A7" s="55">
        <v>2</v>
      </c>
      <c r="B7" s="56" t="s">
        <v>27</v>
      </c>
      <c r="C7" s="60" t="s">
        <v>154</v>
      </c>
    </row>
    <row r="8" spans="1:3">
      <c r="A8" s="55">
        <v>3</v>
      </c>
      <c r="B8" s="56" t="s">
        <v>28</v>
      </c>
      <c r="C8" s="60">
        <v>25</v>
      </c>
    </row>
    <row r="9" spans="1:3">
      <c r="A9" s="55">
        <v>4</v>
      </c>
      <c r="B9" s="56" t="s">
        <v>29</v>
      </c>
      <c r="C9" s="47">
        <v>195</v>
      </c>
    </row>
    <row r="10" spans="1:3" ht="20.25" customHeight="1">
      <c r="A10" s="55">
        <v>5</v>
      </c>
      <c r="B10" s="56" t="s">
        <v>30</v>
      </c>
      <c r="C10" s="61">
        <v>12.517403</v>
      </c>
    </row>
    <row r="11" spans="1:3" ht="23.25" customHeight="1">
      <c r="A11" s="55">
        <v>6</v>
      </c>
      <c r="B11" s="56" t="s">
        <v>31</v>
      </c>
      <c r="C11" s="61">
        <v>75.554030999999995</v>
      </c>
    </row>
    <row r="12" spans="1:3" ht="81.75" customHeight="1">
      <c r="A12" s="55">
        <v>7</v>
      </c>
      <c r="B12" s="56" t="s">
        <v>32</v>
      </c>
      <c r="C12" s="47" t="s">
        <v>169</v>
      </c>
    </row>
    <row r="13" spans="1:3" ht="63" customHeight="1">
      <c r="A13" s="55">
        <v>8</v>
      </c>
      <c r="B13" s="56" t="s">
        <v>33</v>
      </c>
      <c r="C13" s="62" t="s">
        <v>170</v>
      </c>
    </row>
    <row r="14" spans="1:3" ht="15.75" customHeight="1">
      <c r="A14" s="73">
        <v>9</v>
      </c>
      <c r="B14" s="77" t="s">
        <v>34</v>
      </c>
      <c r="C14" s="62" t="s">
        <v>155</v>
      </c>
    </row>
    <row r="15" spans="1:3">
      <c r="A15" s="74"/>
      <c r="B15" s="78"/>
      <c r="C15" s="62" t="s">
        <v>171</v>
      </c>
    </row>
    <row r="16" spans="1:3">
      <c r="A16" s="74"/>
      <c r="B16" s="78"/>
      <c r="C16" s="62" t="s">
        <v>156</v>
      </c>
    </row>
    <row r="17" spans="1:3">
      <c r="A17" s="74"/>
      <c r="B17" s="78"/>
      <c r="C17" s="62" t="s">
        <v>110</v>
      </c>
    </row>
    <row r="18" spans="1:3">
      <c r="A18" s="74"/>
      <c r="B18" s="78"/>
      <c r="C18" s="64" t="s">
        <v>157</v>
      </c>
    </row>
    <row r="19" spans="1:3">
      <c r="A19" s="74"/>
      <c r="B19" s="78"/>
      <c r="C19" s="62" t="s">
        <v>158</v>
      </c>
    </row>
    <row r="20" spans="1:3">
      <c r="A20" s="74"/>
      <c r="B20" s="78"/>
      <c r="C20" s="62" t="s">
        <v>159</v>
      </c>
    </row>
    <row r="21" spans="1:3" ht="31.5">
      <c r="A21" s="74"/>
      <c r="B21" s="78"/>
      <c r="C21" s="62" t="s">
        <v>160</v>
      </c>
    </row>
    <row r="22" spans="1:3" ht="31.5">
      <c r="A22" s="74"/>
      <c r="B22" s="78"/>
      <c r="C22" s="62" t="s">
        <v>161</v>
      </c>
    </row>
    <row r="23" spans="1:3" ht="31.5">
      <c r="A23" s="74"/>
      <c r="B23" s="78"/>
      <c r="C23" s="62" t="s">
        <v>162</v>
      </c>
    </row>
    <row r="24" spans="1:3" ht="48" customHeight="1">
      <c r="A24" s="74"/>
      <c r="B24" s="78"/>
      <c r="C24" s="62" t="s">
        <v>172</v>
      </c>
    </row>
    <row r="25" spans="1:3">
      <c r="A25" s="74"/>
      <c r="B25" s="78"/>
      <c r="C25" s="62" t="s">
        <v>163</v>
      </c>
    </row>
    <row r="26" spans="1:3" ht="31.5">
      <c r="A26" s="74"/>
      <c r="B26" s="78"/>
      <c r="C26" s="62" t="s">
        <v>173</v>
      </c>
    </row>
    <row r="27" spans="1:3" ht="31.5">
      <c r="A27" s="55">
        <v>10</v>
      </c>
      <c r="B27" s="56" t="s">
        <v>35</v>
      </c>
      <c r="C27" s="56" t="s">
        <v>111</v>
      </c>
    </row>
    <row r="28" spans="1:3" ht="47.25">
      <c r="A28" s="55">
        <v>11</v>
      </c>
      <c r="B28" s="56" t="s">
        <v>36</v>
      </c>
      <c r="C28" s="56" t="s">
        <v>111</v>
      </c>
    </row>
    <row r="29" spans="1:3" ht="61.5" customHeight="1">
      <c r="A29" s="51"/>
    </row>
    <row r="30" spans="1:3" ht="15.75" customHeight="1">
      <c r="A30" s="51"/>
    </row>
    <row r="31" spans="1:3">
      <c r="A31" s="51"/>
    </row>
    <row r="32" spans="1:3">
      <c r="A32" s="72"/>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72"/>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5" t="s">
        <v>37</v>
      </c>
      <c r="B1" s="75"/>
      <c r="C1" s="75"/>
    </row>
    <row r="2" spans="1:3">
      <c r="A2" s="75" t="s">
        <v>38</v>
      </c>
      <c r="B2" s="75"/>
      <c r="C2" s="75"/>
    </row>
    <row r="3" spans="1:3">
      <c r="A3" s="49"/>
    </row>
    <row r="4" spans="1:3" ht="70.900000000000006" customHeight="1">
      <c r="A4" s="79" t="s">
        <v>39</v>
      </c>
      <c r="B4" s="79"/>
      <c r="C4" s="79"/>
    </row>
    <row r="5" spans="1:3">
      <c r="A5" s="76" t="s">
        <v>102</v>
      </c>
      <c r="B5" s="76"/>
      <c r="C5" s="50" t="str">
        <f>'Form 1'!C3</f>
        <v>Mangalore</v>
      </c>
    </row>
    <row r="6" spans="1:3">
      <c r="A6" s="51"/>
    </row>
    <row r="7" spans="1:3" ht="31.5">
      <c r="A7" s="52" t="s">
        <v>23</v>
      </c>
      <c r="B7" s="53" t="s">
        <v>25</v>
      </c>
      <c r="C7" s="54" t="s">
        <v>40</v>
      </c>
    </row>
    <row r="8" spans="1:3">
      <c r="A8" s="55">
        <v>1</v>
      </c>
      <c r="B8" s="56" t="s">
        <v>26</v>
      </c>
      <c r="C8" s="4" t="s">
        <v>116</v>
      </c>
    </row>
    <row r="9" spans="1:3" ht="31.5">
      <c r="A9" s="55">
        <v>2</v>
      </c>
      <c r="B9" s="56" t="s">
        <v>41</v>
      </c>
      <c r="C9" s="57" t="str">
        <f>'Form 1'!C7</f>
        <v>Sampaje</v>
      </c>
    </row>
    <row r="10" spans="1:3">
      <c r="A10" s="55">
        <v>3</v>
      </c>
      <c r="B10" s="56" t="s">
        <v>28</v>
      </c>
      <c r="C10" s="57">
        <f>'Form 1'!C8</f>
        <v>25</v>
      </c>
    </row>
    <row r="11" spans="1:3">
      <c r="A11" s="55">
        <v>4</v>
      </c>
      <c r="B11" s="56" t="s">
        <v>29</v>
      </c>
      <c r="C11" s="57">
        <f>'Form 1'!C9</f>
        <v>195</v>
      </c>
    </row>
    <row r="12" spans="1:3">
      <c r="A12" s="55">
        <v>5</v>
      </c>
      <c r="B12" s="56" t="s">
        <v>42</v>
      </c>
      <c r="C12" s="57">
        <f>'Form 1'!C10</f>
        <v>12.517403</v>
      </c>
    </row>
    <row r="13" spans="1:3">
      <c r="A13" s="55">
        <v>6</v>
      </c>
      <c r="B13" s="56" t="s">
        <v>43</v>
      </c>
      <c r="C13" s="57">
        <f>'Form 1'!C11</f>
        <v>75.554030999999995</v>
      </c>
    </row>
    <row r="14" spans="1:3">
      <c r="A14" s="55">
        <v>7</v>
      </c>
      <c r="B14" s="56" t="s">
        <v>44</v>
      </c>
      <c r="C14" s="57" t="s">
        <v>174</v>
      </c>
    </row>
    <row r="15" spans="1:3">
      <c r="A15" s="55">
        <v>8</v>
      </c>
      <c r="B15" s="56" t="s">
        <v>45</v>
      </c>
      <c r="C15" s="57" t="s">
        <v>164</v>
      </c>
    </row>
    <row r="16" spans="1:3">
      <c r="A16" s="55">
        <v>9</v>
      </c>
      <c r="B16" s="56" t="s">
        <v>46</v>
      </c>
      <c r="C16" s="57" t="s">
        <v>165</v>
      </c>
    </row>
    <row r="17" spans="1:3" ht="31.5">
      <c r="A17" s="55">
        <v>10</v>
      </c>
      <c r="B17" s="56" t="s">
        <v>47</v>
      </c>
      <c r="C17" s="57" t="s">
        <v>175</v>
      </c>
    </row>
    <row r="18" spans="1:3">
      <c r="A18" s="55">
        <v>11</v>
      </c>
      <c r="B18" s="56" t="s">
        <v>48</v>
      </c>
      <c r="C18" s="58" t="s">
        <v>176</v>
      </c>
    </row>
    <row r="19" spans="1:3">
      <c r="A19" s="55">
        <v>12</v>
      </c>
      <c r="B19" s="56" t="s">
        <v>49</v>
      </c>
      <c r="C19" s="58" t="s">
        <v>177</v>
      </c>
    </row>
    <row r="20" spans="1:3" ht="31.5">
      <c r="A20" s="55">
        <v>13</v>
      </c>
      <c r="B20" s="56" t="s">
        <v>50</v>
      </c>
      <c r="C20" s="58" t="s">
        <v>112</v>
      </c>
    </row>
    <row r="21" spans="1:3" ht="31.5">
      <c r="A21" s="55">
        <v>14</v>
      </c>
      <c r="B21" s="56" t="s">
        <v>51</v>
      </c>
      <c r="C21" s="58" t="s">
        <v>113</v>
      </c>
    </row>
    <row r="22" spans="1:3">
      <c r="A22" s="55">
        <v>15</v>
      </c>
      <c r="B22" s="56" t="s">
        <v>52</v>
      </c>
      <c r="C22" s="58" t="s">
        <v>178</v>
      </c>
    </row>
    <row r="23" spans="1:3" ht="31.5">
      <c r="A23" s="55">
        <v>16</v>
      </c>
      <c r="B23" s="56" t="s">
        <v>53</v>
      </c>
      <c r="C23" s="58" t="s">
        <v>179</v>
      </c>
    </row>
    <row r="24" spans="1:3" ht="31.5">
      <c r="A24" s="55">
        <v>17</v>
      </c>
      <c r="B24" s="56" t="s">
        <v>54</v>
      </c>
      <c r="C24" s="58" t="s">
        <v>114</v>
      </c>
    </row>
    <row r="25" spans="1:3" ht="31.5">
      <c r="A25" s="55">
        <v>18</v>
      </c>
      <c r="B25" s="56" t="s">
        <v>55</v>
      </c>
      <c r="C25" s="58" t="s">
        <v>111</v>
      </c>
    </row>
    <row r="26" spans="1:3" ht="31.5">
      <c r="A26" s="55">
        <v>19</v>
      </c>
      <c r="B26" s="56" t="s">
        <v>56</v>
      </c>
      <c r="C26" s="58" t="s">
        <v>111</v>
      </c>
    </row>
    <row r="27" spans="1:3" ht="31.5">
      <c r="A27" s="55">
        <v>20</v>
      </c>
      <c r="B27" s="56" t="s">
        <v>57</v>
      </c>
      <c r="C27" s="58" t="s">
        <v>166</v>
      </c>
    </row>
    <row r="28" spans="1:3" ht="31.5">
      <c r="A28" s="55">
        <v>21</v>
      </c>
      <c r="B28" s="56" t="s">
        <v>58</v>
      </c>
      <c r="C28" s="58" t="s">
        <v>166</v>
      </c>
    </row>
    <row r="29" spans="1:3" ht="31.5">
      <c r="A29" s="55">
        <v>22</v>
      </c>
      <c r="B29" s="56" t="s">
        <v>59</v>
      </c>
      <c r="C29" s="58" t="s">
        <v>166</v>
      </c>
    </row>
    <row r="30" spans="1:3" ht="31.5">
      <c r="A30" s="55">
        <v>23</v>
      </c>
      <c r="B30" s="56" t="s">
        <v>60</v>
      </c>
      <c r="C30" s="58" t="s">
        <v>167</v>
      </c>
    </row>
    <row r="31" spans="1:3">
      <c r="A31" s="55">
        <v>24</v>
      </c>
      <c r="B31" s="56" t="s">
        <v>61</v>
      </c>
      <c r="C31" s="58" t="s">
        <v>111</v>
      </c>
    </row>
    <row r="32" spans="1:3" ht="31.5">
      <c r="A32" s="55">
        <v>25</v>
      </c>
      <c r="B32" s="56" t="s">
        <v>62</v>
      </c>
      <c r="C32" s="58" t="s">
        <v>115</v>
      </c>
    </row>
    <row r="33" spans="1:3" ht="31.5">
      <c r="A33" s="55">
        <v>26</v>
      </c>
      <c r="B33" s="56" t="s">
        <v>63</v>
      </c>
      <c r="C33" s="58" t="s">
        <v>111</v>
      </c>
    </row>
    <row r="34" spans="1:3" ht="47.25">
      <c r="A34" s="55">
        <v>27</v>
      </c>
      <c r="B34" s="56" t="s">
        <v>64</v>
      </c>
      <c r="C34" s="58" t="s">
        <v>168</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E6" sqref="E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8" t="s">
        <v>0</v>
      </c>
      <c r="B1" s="88"/>
      <c r="C1" s="88"/>
      <c r="D1" s="88"/>
      <c r="E1" s="88"/>
      <c r="F1" s="88"/>
      <c r="G1" s="88"/>
      <c r="H1" s="88"/>
      <c r="I1" s="88"/>
      <c r="J1" s="88"/>
      <c r="K1" s="88"/>
      <c r="L1" s="88"/>
    </row>
    <row r="2" spans="1:12" ht="15.6" customHeight="1">
      <c r="A2" s="88" t="s">
        <v>1</v>
      </c>
      <c r="B2" s="88"/>
      <c r="C2" s="88"/>
      <c r="D2" s="88"/>
      <c r="E2" s="88"/>
      <c r="F2" s="88"/>
      <c r="G2" s="88"/>
      <c r="H2" s="88"/>
      <c r="I2" s="88"/>
      <c r="J2" s="88"/>
      <c r="K2" s="88"/>
      <c r="L2" s="88"/>
    </row>
    <row r="3" spans="1:12" ht="15.6" customHeight="1">
      <c r="A3" s="88" t="s">
        <v>2</v>
      </c>
      <c r="B3" s="88"/>
      <c r="C3" s="88"/>
      <c r="D3" s="88"/>
      <c r="E3" s="88"/>
      <c r="F3" s="88"/>
      <c r="G3" s="88"/>
      <c r="H3" s="88"/>
      <c r="I3" s="88"/>
      <c r="J3" s="88"/>
      <c r="K3" s="88"/>
      <c r="L3" s="88"/>
    </row>
    <row r="4" spans="1:12" ht="15.6" customHeight="1" thickBot="1">
      <c r="A4" s="89"/>
      <c r="B4" s="89"/>
      <c r="C4" s="89"/>
      <c r="D4" s="89"/>
      <c r="E4" s="89"/>
      <c r="F4" s="89"/>
      <c r="G4" s="89"/>
      <c r="H4" s="89"/>
      <c r="I4" s="89"/>
      <c r="J4" s="89"/>
      <c r="K4" s="89"/>
      <c r="L4" s="89"/>
    </row>
    <row r="5" spans="1:12" ht="15.6" customHeight="1">
      <c r="A5" s="90" t="s">
        <v>3</v>
      </c>
      <c r="B5" s="91"/>
      <c r="C5" s="92">
        <f>'Form II'!C10</f>
        <v>25</v>
      </c>
      <c r="D5" s="93"/>
      <c r="E5" s="99" t="s">
        <v>180</v>
      </c>
      <c r="F5" s="92"/>
      <c r="G5" s="92"/>
      <c r="H5" s="92"/>
      <c r="I5" s="93"/>
      <c r="J5" s="14" t="s">
        <v>4</v>
      </c>
      <c r="K5" s="91" t="s">
        <v>154</v>
      </c>
      <c r="L5" s="94"/>
    </row>
    <row r="6" spans="1:12" ht="15.6" customHeight="1">
      <c r="A6" s="95" t="s">
        <v>5</v>
      </c>
      <c r="B6" s="96"/>
      <c r="C6" s="97" t="str">
        <f>'Form 1'!C6</f>
        <v>Sulia</v>
      </c>
      <c r="D6" s="98"/>
      <c r="E6" s="38" t="s">
        <v>101</v>
      </c>
      <c r="F6" s="37"/>
      <c r="G6" s="97" t="str">
        <f>'Form 1'!C3</f>
        <v>Mangalore</v>
      </c>
      <c r="H6" s="97"/>
      <c r="I6" s="98"/>
      <c r="J6" s="15" t="s">
        <v>6</v>
      </c>
      <c r="K6" s="97" t="str">
        <f>'Form II'!C14</f>
        <v>192 m</v>
      </c>
      <c r="L6" s="104"/>
    </row>
    <row r="7" spans="1:12" ht="15.6" customHeight="1" thickBot="1">
      <c r="A7" s="100" t="s">
        <v>7</v>
      </c>
      <c r="B7" s="101"/>
      <c r="C7" s="102">
        <f>'Form 1'!C10</f>
        <v>12.517403</v>
      </c>
      <c r="D7" s="103"/>
      <c r="E7" s="16" t="s">
        <v>8</v>
      </c>
      <c r="F7" s="13"/>
      <c r="G7" s="102">
        <f>'Form 1'!C11</f>
        <v>75.554030999999995</v>
      </c>
      <c r="H7" s="102"/>
      <c r="I7" s="103"/>
      <c r="J7" s="16" t="s">
        <v>9</v>
      </c>
      <c r="K7" s="102">
        <f>'Form 1'!C9</f>
        <v>195</v>
      </c>
      <c r="L7" s="105"/>
    </row>
    <row r="8" spans="1:12" ht="15.6" customHeight="1" thickBot="1">
      <c r="A8" s="1"/>
      <c r="B8" s="1"/>
      <c r="C8" s="5"/>
      <c r="D8" s="6"/>
      <c r="E8" s="2"/>
      <c r="F8" s="2"/>
      <c r="G8" s="2"/>
      <c r="H8" s="2"/>
      <c r="I8" s="2"/>
      <c r="J8" s="2"/>
      <c r="K8" s="2"/>
      <c r="L8" s="2"/>
    </row>
    <row r="9" spans="1:12" ht="18.600000000000001" customHeight="1">
      <c r="A9" s="108" t="s">
        <v>10</v>
      </c>
      <c r="B9" s="112" t="s">
        <v>11</v>
      </c>
      <c r="C9" s="113"/>
      <c r="D9" s="110" t="s">
        <v>12</v>
      </c>
      <c r="E9" s="110" t="s">
        <v>13</v>
      </c>
      <c r="F9" s="17" t="s">
        <v>14</v>
      </c>
      <c r="G9" s="110" t="s">
        <v>20</v>
      </c>
      <c r="H9" s="118" t="s">
        <v>15</v>
      </c>
      <c r="I9" s="119"/>
      <c r="J9" s="119"/>
      <c r="K9" s="120"/>
      <c r="L9" s="106" t="s">
        <v>16</v>
      </c>
    </row>
    <row r="10" spans="1:12" ht="57" customHeight="1">
      <c r="A10" s="109"/>
      <c r="B10" s="114"/>
      <c r="C10" s="115"/>
      <c r="D10" s="111"/>
      <c r="E10" s="111"/>
      <c r="F10" s="18" t="s">
        <v>17</v>
      </c>
      <c r="G10" s="111"/>
      <c r="H10" s="116" t="s">
        <v>18</v>
      </c>
      <c r="I10" s="117"/>
      <c r="J10" s="116" t="s">
        <v>19</v>
      </c>
      <c r="K10" s="117"/>
      <c r="L10" s="107"/>
    </row>
    <row r="11" spans="1:12" ht="15.6" customHeight="1">
      <c r="A11" s="11">
        <v>1</v>
      </c>
      <c r="B11" s="86" t="s">
        <v>140</v>
      </c>
      <c r="C11" s="87"/>
      <c r="D11" s="3" t="s">
        <v>117</v>
      </c>
      <c r="E11" s="41">
        <v>43</v>
      </c>
      <c r="F11" s="41"/>
      <c r="G11" s="41">
        <v>7</v>
      </c>
      <c r="H11" s="80"/>
      <c r="I11" s="81"/>
      <c r="J11" s="82"/>
      <c r="K11" s="83"/>
      <c r="L11" s="12"/>
    </row>
    <row r="12" spans="1:12" ht="15.6" customHeight="1">
      <c r="A12" s="11">
        <v>2</v>
      </c>
      <c r="B12" s="86" t="s">
        <v>140</v>
      </c>
      <c r="C12" s="87"/>
      <c r="D12" s="4" t="s">
        <v>117</v>
      </c>
      <c r="E12" s="41">
        <v>52</v>
      </c>
      <c r="F12" s="41"/>
      <c r="G12" s="41">
        <v>9</v>
      </c>
      <c r="H12" s="80"/>
      <c r="I12" s="81"/>
      <c r="J12" s="82"/>
      <c r="K12" s="83"/>
      <c r="L12" s="12"/>
    </row>
    <row r="13" spans="1:12" ht="15.6" customHeight="1">
      <c r="A13" s="11">
        <v>3</v>
      </c>
      <c r="B13" s="86" t="s">
        <v>141</v>
      </c>
      <c r="C13" s="87"/>
      <c r="D13" s="3" t="s">
        <v>119</v>
      </c>
      <c r="E13" s="41">
        <v>84</v>
      </c>
      <c r="F13" s="41"/>
      <c r="G13" s="41">
        <v>13</v>
      </c>
      <c r="H13" s="80"/>
      <c r="I13" s="81"/>
      <c r="J13" s="82"/>
      <c r="K13" s="83"/>
      <c r="L13" s="12"/>
    </row>
    <row r="14" spans="1:12" ht="15.6" customHeight="1">
      <c r="A14" s="11">
        <v>4</v>
      </c>
      <c r="B14" s="86" t="s">
        <v>140</v>
      </c>
      <c r="C14" s="87"/>
      <c r="D14" s="3" t="s">
        <v>117</v>
      </c>
      <c r="E14" s="41">
        <v>36</v>
      </c>
      <c r="F14" s="41"/>
      <c r="G14" s="41">
        <v>6</v>
      </c>
      <c r="H14" s="80"/>
      <c r="I14" s="81"/>
      <c r="J14" s="82"/>
      <c r="K14" s="83"/>
      <c r="L14" s="12"/>
    </row>
    <row r="15" spans="1:12" ht="15.6" customHeight="1">
      <c r="A15" s="11">
        <v>5</v>
      </c>
      <c r="B15" s="86" t="s">
        <v>142</v>
      </c>
      <c r="C15" s="87"/>
      <c r="D15" s="7" t="s">
        <v>118</v>
      </c>
      <c r="E15" s="42">
        <v>112</v>
      </c>
      <c r="F15" s="41"/>
      <c r="G15" s="41">
        <v>13</v>
      </c>
      <c r="H15" s="80"/>
      <c r="I15" s="81"/>
      <c r="J15" s="82"/>
      <c r="K15" s="83"/>
      <c r="L15" s="12"/>
    </row>
    <row r="16" spans="1:12" ht="15.6" customHeight="1">
      <c r="A16" s="11">
        <v>6</v>
      </c>
      <c r="B16" s="86" t="s">
        <v>143</v>
      </c>
      <c r="C16" s="87"/>
      <c r="D16" s="4" t="s">
        <v>120</v>
      </c>
      <c r="E16" s="41">
        <v>51</v>
      </c>
      <c r="F16" s="42"/>
      <c r="G16" s="42">
        <v>8</v>
      </c>
      <c r="H16" s="84"/>
      <c r="I16" s="85"/>
      <c r="J16" s="82"/>
      <c r="K16" s="83"/>
      <c r="L16" s="12"/>
    </row>
    <row r="17" spans="1:12" ht="15.6" customHeight="1">
      <c r="A17" s="11">
        <v>7</v>
      </c>
      <c r="B17" s="86" t="s">
        <v>145</v>
      </c>
      <c r="C17" s="87"/>
      <c r="D17" s="7" t="s">
        <v>144</v>
      </c>
      <c r="E17" s="41">
        <v>82</v>
      </c>
      <c r="F17" s="42"/>
      <c r="G17" s="42">
        <v>13</v>
      </c>
      <c r="H17" s="84"/>
      <c r="I17" s="85"/>
      <c r="J17" s="82"/>
      <c r="K17" s="83"/>
      <c r="L17" s="12"/>
    </row>
    <row r="18" spans="1:12" ht="15.6" customHeight="1">
      <c r="A18" s="11">
        <v>8</v>
      </c>
      <c r="B18" s="86" t="s">
        <v>141</v>
      </c>
      <c r="C18" s="87"/>
      <c r="D18" s="3" t="s">
        <v>119</v>
      </c>
      <c r="E18" s="41">
        <v>41</v>
      </c>
      <c r="F18" s="42"/>
      <c r="G18" s="42">
        <v>8</v>
      </c>
      <c r="H18" s="84"/>
      <c r="I18" s="85"/>
      <c r="J18" s="82"/>
      <c r="K18" s="83"/>
      <c r="L18" s="12"/>
    </row>
    <row r="19" spans="1:12" ht="15.75">
      <c r="A19" s="11">
        <v>9</v>
      </c>
      <c r="B19" s="86" t="s">
        <v>140</v>
      </c>
      <c r="C19" s="87"/>
      <c r="D19" s="19" t="s">
        <v>117</v>
      </c>
      <c r="E19" s="41">
        <v>30</v>
      </c>
      <c r="F19" s="42"/>
      <c r="G19" s="42">
        <v>6</v>
      </c>
      <c r="H19" s="84"/>
      <c r="I19" s="85"/>
      <c r="J19" s="82"/>
      <c r="K19" s="83"/>
      <c r="L19" s="12"/>
    </row>
    <row r="20" spans="1:12" ht="15.6" customHeight="1">
      <c r="A20" s="11">
        <v>10</v>
      </c>
      <c r="B20" s="86" t="s">
        <v>146</v>
      </c>
      <c r="C20" s="87"/>
      <c r="D20" s="4" t="s">
        <v>121</v>
      </c>
      <c r="E20" s="41">
        <v>83</v>
      </c>
      <c r="F20" s="42"/>
      <c r="G20" s="42">
        <v>14</v>
      </c>
      <c r="H20" s="84"/>
      <c r="I20" s="85"/>
      <c r="J20" s="82"/>
      <c r="K20" s="83"/>
      <c r="L20" s="12"/>
    </row>
    <row r="21" spans="1:12" ht="15.6" customHeight="1">
      <c r="A21" s="11">
        <v>11</v>
      </c>
      <c r="B21" s="86" t="s">
        <v>145</v>
      </c>
      <c r="C21" s="87"/>
      <c r="D21" s="7" t="s">
        <v>122</v>
      </c>
      <c r="E21" s="41">
        <v>112</v>
      </c>
      <c r="F21" s="42"/>
      <c r="G21" s="42">
        <v>15</v>
      </c>
      <c r="H21" s="84"/>
      <c r="I21" s="85"/>
      <c r="J21" s="82"/>
      <c r="K21" s="83"/>
      <c r="L21" s="12"/>
    </row>
    <row r="22" spans="1:12" ht="15.6" customHeight="1">
      <c r="A22" s="11">
        <v>12</v>
      </c>
      <c r="B22" s="86" t="s">
        <v>140</v>
      </c>
      <c r="C22" s="87"/>
      <c r="D22" s="7" t="s">
        <v>117</v>
      </c>
      <c r="E22" s="41">
        <v>46</v>
      </c>
      <c r="F22" s="42"/>
      <c r="G22" s="42">
        <v>7</v>
      </c>
      <c r="H22" s="84"/>
      <c r="I22" s="85"/>
      <c r="J22" s="82"/>
      <c r="K22" s="83"/>
      <c r="L22" s="12"/>
    </row>
    <row r="23" spans="1:12" ht="15.6" customHeight="1">
      <c r="A23" s="11">
        <v>13</v>
      </c>
      <c r="B23" s="86" t="s">
        <v>142</v>
      </c>
      <c r="C23" s="87"/>
      <c r="D23" s="3" t="s">
        <v>118</v>
      </c>
      <c r="E23" s="41">
        <v>741</v>
      </c>
      <c r="F23" s="42"/>
      <c r="G23" s="42">
        <v>13</v>
      </c>
      <c r="H23" s="84"/>
      <c r="I23" s="85"/>
      <c r="J23" s="82"/>
      <c r="K23" s="83"/>
      <c r="L23" s="12"/>
    </row>
    <row r="24" spans="1:12" ht="15.6" customHeight="1">
      <c r="A24" s="11">
        <v>14</v>
      </c>
      <c r="B24" s="86" t="s">
        <v>140</v>
      </c>
      <c r="C24" s="87"/>
      <c r="D24" s="3" t="s">
        <v>117</v>
      </c>
      <c r="E24" s="41">
        <v>489</v>
      </c>
      <c r="F24" s="42"/>
      <c r="G24" s="42">
        <v>8</v>
      </c>
      <c r="H24" s="84"/>
      <c r="I24" s="85"/>
      <c r="J24" s="82"/>
      <c r="K24" s="83"/>
      <c r="L24" s="12"/>
    </row>
    <row r="25" spans="1:12" ht="15.6" customHeight="1">
      <c r="A25" s="11">
        <v>15</v>
      </c>
      <c r="B25" s="86" t="s">
        <v>141</v>
      </c>
      <c r="C25" s="87"/>
      <c r="D25" s="4" t="s">
        <v>119</v>
      </c>
      <c r="E25" s="41">
        <v>56</v>
      </c>
      <c r="F25" s="42"/>
      <c r="G25" s="42">
        <v>12</v>
      </c>
      <c r="H25" s="84"/>
      <c r="I25" s="85"/>
      <c r="J25" s="82"/>
      <c r="K25" s="83"/>
      <c r="L25" s="12"/>
    </row>
    <row r="26" spans="1:12" ht="15.6" customHeight="1">
      <c r="A26" s="11">
        <v>16</v>
      </c>
      <c r="B26" s="86" t="s">
        <v>143</v>
      </c>
      <c r="C26" s="87"/>
      <c r="D26" s="4" t="s">
        <v>120</v>
      </c>
      <c r="E26" s="41">
        <v>49</v>
      </c>
      <c r="F26" s="42"/>
      <c r="G26" s="42">
        <v>8</v>
      </c>
      <c r="H26" s="84"/>
      <c r="I26" s="85"/>
      <c r="J26" s="82"/>
      <c r="K26" s="83"/>
      <c r="L26" s="12"/>
    </row>
    <row r="27" spans="1:12" ht="15.6" customHeight="1">
      <c r="A27" s="11">
        <v>17</v>
      </c>
      <c r="B27" s="86" t="s">
        <v>140</v>
      </c>
      <c r="C27" s="87"/>
      <c r="D27" s="4" t="s">
        <v>117</v>
      </c>
      <c r="E27" s="41">
        <v>52</v>
      </c>
      <c r="F27" s="42"/>
      <c r="G27" s="42">
        <v>10</v>
      </c>
      <c r="H27" s="84"/>
      <c r="I27" s="85"/>
      <c r="J27" s="82"/>
      <c r="K27" s="83"/>
      <c r="L27" s="12"/>
    </row>
    <row r="28" spans="1:12" ht="15.6" customHeight="1">
      <c r="A28" s="11">
        <v>18</v>
      </c>
      <c r="B28" s="86" t="s">
        <v>149</v>
      </c>
      <c r="C28" s="87"/>
      <c r="D28" s="3" t="s">
        <v>123</v>
      </c>
      <c r="E28" s="41">
        <v>80</v>
      </c>
      <c r="F28" s="42"/>
      <c r="G28" s="42">
        <v>14</v>
      </c>
      <c r="H28" s="84"/>
      <c r="I28" s="85"/>
      <c r="J28" s="82"/>
      <c r="K28" s="83"/>
      <c r="L28" s="12"/>
    </row>
    <row r="29" spans="1:12" ht="15.6" customHeight="1">
      <c r="A29" s="11">
        <v>19</v>
      </c>
      <c r="B29" s="86" t="s">
        <v>149</v>
      </c>
      <c r="C29" s="87"/>
      <c r="D29" s="8" t="s">
        <v>123</v>
      </c>
      <c r="E29" s="41">
        <v>72</v>
      </c>
      <c r="F29" s="42"/>
      <c r="G29" s="42">
        <v>13</v>
      </c>
      <c r="H29" s="84"/>
      <c r="I29" s="85"/>
      <c r="J29" s="82"/>
      <c r="K29" s="83"/>
      <c r="L29" s="12"/>
    </row>
    <row r="30" spans="1:12" ht="15.6" customHeight="1">
      <c r="A30" s="11">
        <v>20</v>
      </c>
      <c r="B30" s="86" t="s">
        <v>141</v>
      </c>
      <c r="C30" s="87"/>
      <c r="D30" s="7" t="s">
        <v>119</v>
      </c>
      <c r="E30" s="41">
        <v>64</v>
      </c>
      <c r="F30" s="42"/>
      <c r="G30" s="42">
        <v>12</v>
      </c>
      <c r="H30" s="84"/>
      <c r="I30" s="85"/>
      <c r="J30" s="82"/>
      <c r="K30" s="83"/>
      <c r="L30" s="12"/>
    </row>
    <row r="31" spans="1:12" ht="15.6" customHeight="1">
      <c r="A31" s="11">
        <v>21</v>
      </c>
      <c r="B31" s="86" t="s">
        <v>140</v>
      </c>
      <c r="C31" s="87"/>
      <c r="D31" s="8" t="s">
        <v>124</v>
      </c>
      <c r="E31" s="41">
        <v>45</v>
      </c>
      <c r="F31" s="42"/>
      <c r="G31" s="42">
        <v>6</v>
      </c>
      <c r="H31" s="84"/>
      <c r="I31" s="85"/>
      <c r="J31" s="82"/>
      <c r="K31" s="83"/>
      <c r="L31" s="12"/>
    </row>
    <row r="32" spans="1:12" ht="15.6" customHeight="1">
      <c r="A32" s="11">
        <v>22</v>
      </c>
      <c r="B32" s="86" t="s">
        <v>142</v>
      </c>
      <c r="C32" s="87"/>
      <c r="D32" s="8" t="s">
        <v>118</v>
      </c>
      <c r="E32" s="41">
        <v>75</v>
      </c>
      <c r="F32" s="42"/>
      <c r="G32" s="42">
        <v>13</v>
      </c>
      <c r="H32" s="84"/>
      <c r="I32" s="85"/>
      <c r="J32" s="82"/>
      <c r="K32" s="83"/>
      <c r="L32" s="12"/>
    </row>
    <row r="33" spans="1:12" ht="15.6" customHeight="1">
      <c r="A33" s="11">
        <v>23</v>
      </c>
      <c r="B33" s="86" t="s">
        <v>143</v>
      </c>
      <c r="C33" s="87"/>
      <c r="D33" s="4" t="s">
        <v>120</v>
      </c>
      <c r="E33" s="41">
        <v>51</v>
      </c>
      <c r="F33" s="42"/>
      <c r="G33" s="42">
        <v>10</v>
      </c>
      <c r="H33" s="84"/>
      <c r="I33" s="85"/>
      <c r="J33" s="82"/>
      <c r="K33" s="83"/>
      <c r="L33" s="12"/>
    </row>
    <row r="34" spans="1:12" ht="15.6" customHeight="1">
      <c r="A34" s="11">
        <v>24</v>
      </c>
      <c r="B34" s="86" t="s">
        <v>140</v>
      </c>
      <c r="C34" s="87"/>
      <c r="D34" s="4" t="s">
        <v>117</v>
      </c>
      <c r="E34" s="41">
        <v>37</v>
      </c>
      <c r="F34" s="42"/>
      <c r="G34" s="42">
        <v>6</v>
      </c>
      <c r="H34" s="84"/>
      <c r="I34" s="85"/>
      <c r="J34" s="82"/>
      <c r="K34" s="83"/>
      <c r="L34" s="12"/>
    </row>
  </sheetData>
  <mergeCells count="97">
    <mergeCell ref="B11:C11"/>
    <mergeCell ref="B12:C12"/>
    <mergeCell ref="B13:C13"/>
    <mergeCell ref="H11:I11"/>
    <mergeCell ref="H12:I12"/>
    <mergeCell ref="H13:I13"/>
    <mergeCell ref="E9:E10"/>
    <mergeCell ref="G9:G10"/>
    <mergeCell ref="H10:I10"/>
    <mergeCell ref="H9:K9"/>
    <mergeCell ref="K7:L7"/>
    <mergeCell ref="G7:I7"/>
    <mergeCell ref="L9:L10"/>
    <mergeCell ref="A9:A10"/>
    <mergeCell ref="D9:D10"/>
    <mergeCell ref="B9:C10"/>
    <mergeCell ref="J10:K1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B21:C21"/>
    <mergeCell ref="B22:C22"/>
    <mergeCell ref="B23:C23"/>
    <mergeCell ref="B24:C24"/>
    <mergeCell ref="B25:C25"/>
    <mergeCell ref="B31:C31"/>
    <mergeCell ref="B32:C32"/>
    <mergeCell ref="B33:C33"/>
    <mergeCell ref="B34:C34"/>
    <mergeCell ref="B26:C26"/>
    <mergeCell ref="B27:C27"/>
    <mergeCell ref="B28:C28"/>
    <mergeCell ref="B29:C29"/>
    <mergeCell ref="B30:C30"/>
    <mergeCell ref="B16:C16"/>
    <mergeCell ref="B17:C17"/>
    <mergeCell ref="B18:C18"/>
    <mergeCell ref="B19:C19"/>
    <mergeCell ref="B20:C20"/>
    <mergeCell ref="H34:I34"/>
    <mergeCell ref="H31:I31"/>
    <mergeCell ref="H32:I32"/>
    <mergeCell ref="H33:I33"/>
    <mergeCell ref="H26:I26"/>
    <mergeCell ref="H27:I27"/>
    <mergeCell ref="H28:I28"/>
    <mergeCell ref="H29:I29"/>
    <mergeCell ref="H30:I30"/>
    <mergeCell ref="J11:K11"/>
    <mergeCell ref="J12:K12"/>
    <mergeCell ref="J13:K13"/>
    <mergeCell ref="J14:K14"/>
    <mergeCell ref="J15:K15"/>
    <mergeCell ref="J31:K31"/>
    <mergeCell ref="J32:K32"/>
    <mergeCell ref="J33:K33"/>
    <mergeCell ref="J34:K34"/>
    <mergeCell ref="J16:K16"/>
    <mergeCell ref="J17:K17"/>
    <mergeCell ref="J18:K18"/>
    <mergeCell ref="J19:K19"/>
    <mergeCell ref="J20:K20"/>
    <mergeCell ref="J29:K29"/>
    <mergeCell ref="J30:K30"/>
    <mergeCell ref="J21:K21"/>
    <mergeCell ref="J22:K22"/>
    <mergeCell ref="J23:K23"/>
    <mergeCell ref="J24:K24"/>
    <mergeCell ref="J25:K25"/>
    <mergeCell ref="H14:I14"/>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23" sqref="D23"/>
    </sheetView>
  </sheetViews>
  <sheetFormatPr defaultRowHeight="15"/>
  <cols>
    <col min="1" max="1" width="6" customWidth="1"/>
    <col min="2" max="2" width="22.5703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25" t="s">
        <v>10</v>
      </c>
      <c r="B5" s="125" t="s">
        <v>11</v>
      </c>
      <c r="C5" s="125" t="s">
        <v>12</v>
      </c>
      <c r="D5" s="125" t="s">
        <v>67</v>
      </c>
      <c r="E5" s="129" t="s">
        <v>68</v>
      </c>
      <c r="F5" s="130"/>
      <c r="G5" s="130"/>
      <c r="H5" s="130"/>
      <c r="I5" s="130"/>
      <c r="J5" s="130"/>
      <c r="K5" s="130"/>
      <c r="L5" s="130"/>
      <c r="M5" s="131"/>
      <c r="N5" s="125" t="s">
        <v>69</v>
      </c>
      <c r="O5" s="129" t="s">
        <v>70</v>
      </c>
      <c r="P5" s="131"/>
      <c r="Q5" s="125" t="s">
        <v>71</v>
      </c>
    </row>
    <row r="6" spans="1:17" ht="15.75">
      <c r="A6" s="126"/>
      <c r="B6" s="126"/>
      <c r="C6" s="126"/>
      <c r="D6" s="126"/>
      <c r="E6" s="132" t="s">
        <v>72</v>
      </c>
      <c r="F6" s="133"/>
      <c r="G6" s="134"/>
      <c r="H6" s="132" t="s">
        <v>73</v>
      </c>
      <c r="I6" s="133"/>
      <c r="J6" s="134"/>
      <c r="K6" s="132" t="s">
        <v>74</v>
      </c>
      <c r="L6" s="133"/>
      <c r="M6" s="134"/>
      <c r="N6" s="126"/>
      <c r="O6" s="125" t="s">
        <v>75</v>
      </c>
      <c r="P6" s="125" t="s">
        <v>76</v>
      </c>
      <c r="Q6" s="126"/>
    </row>
    <row r="7" spans="1:17" ht="16.5" thickBot="1">
      <c r="A7" s="126"/>
      <c r="B7" s="126"/>
      <c r="C7" s="128"/>
      <c r="D7" s="126"/>
      <c r="E7" s="121" t="s">
        <v>77</v>
      </c>
      <c r="F7" s="122"/>
      <c r="G7" s="123"/>
      <c r="H7" s="121" t="s">
        <v>78</v>
      </c>
      <c r="I7" s="122"/>
      <c r="J7" s="123"/>
      <c r="K7" s="121" t="s">
        <v>77</v>
      </c>
      <c r="L7" s="122"/>
      <c r="M7" s="123"/>
      <c r="N7" s="126"/>
      <c r="O7" s="126"/>
      <c r="P7" s="126"/>
      <c r="Q7" s="126"/>
    </row>
    <row r="8" spans="1:17" ht="16.5" thickBot="1">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c r="A9" s="65">
        <v>1</v>
      </c>
      <c r="B9" s="33" t="s">
        <v>181</v>
      </c>
      <c r="C9" s="66" t="s">
        <v>182</v>
      </c>
      <c r="D9" s="66">
        <v>48</v>
      </c>
      <c r="E9" s="67"/>
      <c r="F9" s="68">
        <v>2</v>
      </c>
      <c r="G9" s="66"/>
      <c r="H9" s="68">
        <v>1</v>
      </c>
      <c r="I9" s="66"/>
      <c r="J9" s="68">
        <v>2</v>
      </c>
      <c r="K9" s="66"/>
      <c r="L9" s="68"/>
      <c r="M9" s="66"/>
      <c r="N9" s="69"/>
      <c r="O9" s="70"/>
      <c r="P9" s="69"/>
      <c r="Q9" s="71"/>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6"/>
  <sheetViews>
    <sheetView workbookViewId="0">
      <selection activeCell="C12" sqref="C1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9"/>
      <c r="B2" s="139"/>
      <c r="H2" t="s">
        <v>83</v>
      </c>
      <c r="I2" s="10">
        <f>'Form 1'!C9</f>
        <v>195</v>
      </c>
    </row>
    <row r="3" spans="1:9" ht="24" customHeight="1">
      <c r="A3" s="136" t="s">
        <v>10</v>
      </c>
      <c r="B3" s="136" t="s">
        <v>11</v>
      </c>
      <c r="C3" s="136" t="s">
        <v>12</v>
      </c>
      <c r="D3" s="136" t="s">
        <v>84</v>
      </c>
      <c r="E3" s="136" t="s">
        <v>108</v>
      </c>
      <c r="F3" s="136" t="s">
        <v>85</v>
      </c>
      <c r="G3" s="116" t="s">
        <v>15</v>
      </c>
      <c r="H3" s="117"/>
      <c r="I3" s="136" t="s">
        <v>86</v>
      </c>
    </row>
    <row r="4" spans="1:9" ht="63">
      <c r="A4" s="137"/>
      <c r="B4" s="137"/>
      <c r="C4" s="137"/>
      <c r="D4" s="137"/>
      <c r="E4" s="137"/>
      <c r="F4" s="137"/>
      <c r="G4" s="20" t="s">
        <v>87</v>
      </c>
      <c r="H4" s="20" t="s">
        <v>19</v>
      </c>
      <c r="I4" s="137"/>
    </row>
    <row r="5" spans="1:9" ht="15.6" customHeight="1">
      <c r="A5" s="23">
        <v>1</v>
      </c>
      <c r="B5" s="46" t="s">
        <v>141</v>
      </c>
      <c r="C5" s="4" t="s">
        <v>119</v>
      </c>
      <c r="D5" s="4"/>
      <c r="E5" s="4">
        <v>32.6</v>
      </c>
      <c r="F5" s="42">
        <v>2</v>
      </c>
      <c r="G5" s="23"/>
      <c r="H5" s="23"/>
      <c r="I5" s="23"/>
    </row>
    <row r="6" spans="1:9" ht="15.75">
      <c r="A6" s="25"/>
      <c r="B6" s="26"/>
      <c r="C6" s="27"/>
      <c r="D6" s="28"/>
      <c r="E6" s="28"/>
      <c r="F6" s="28"/>
      <c r="G6" s="25"/>
      <c r="H6" s="25"/>
      <c r="I6" s="25"/>
    </row>
    <row r="7" spans="1:9" ht="21">
      <c r="A7" s="124" t="s">
        <v>88</v>
      </c>
      <c r="B7" s="124"/>
      <c r="C7" s="124"/>
      <c r="D7" s="124"/>
      <c r="E7" s="124"/>
      <c r="F7" s="124"/>
      <c r="G7" s="124"/>
      <c r="H7" s="124"/>
      <c r="I7" s="124"/>
    </row>
    <row r="8" spans="1:9" ht="15.75">
      <c r="A8" s="138"/>
      <c r="B8" s="138"/>
      <c r="H8" t="s">
        <v>83</v>
      </c>
      <c r="I8" s="10">
        <f>'Form 1'!C9</f>
        <v>195</v>
      </c>
    </row>
    <row r="9" spans="1:9" ht="15.75" customHeight="1">
      <c r="A9" s="111" t="s">
        <v>10</v>
      </c>
      <c r="B9" s="111" t="s">
        <v>11</v>
      </c>
      <c r="C9" s="111" t="s">
        <v>12</v>
      </c>
      <c r="D9" s="111" t="s">
        <v>84</v>
      </c>
      <c r="E9" s="136" t="s">
        <v>108</v>
      </c>
      <c r="F9" s="111" t="s">
        <v>85</v>
      </c>
      <c r="G9" s="111" t="s">
        <v>15</v>
      </c>
      <c r="H9" s="111"/>
      <c r="I9" s="136" t="s">
        <v>86</v>
      </c>
    </row>
    <row r="10" spans="1:9" ht="63">
      <c r="A10" s="111"/>
      <c r="B10" s="111"/>
      <c r="C10" s="111"/>
      <c r="D10" s="111"/>
      <c r="E10" s="137"/>
      <c r="F10" s="111"/>
      <c r="G10" s="20" t="s">
        <v>87</v>
      </c>
      <c r="H10" s="20" t="s">
        <v>19</v>
      </c>
      <c r="I10" s="137"/>
    </row>
    <row r="11" spans="1:9" ht="15.75">
      <c r="A11" s="23">
        <v>1</v>
      </c>
      <c r="B11" s="46" t="s">
        <v>142</v>
      </c>
      <c r="C11" s="3" t="s">
        <v>129</v>
      </c>
      <c r="D11" s="41"/>
      <c r="E11" s="43">
        <v>28.7</v>
      </c>
      <c r="F11" s="41">
        <v>2</v>
      </c>
      <c r="G11" s="23"/>
      <c r="H11" s="23"/>
      <c r="I11" s="29"/>
    </row>
    <row r="12" spans="1:9" ht="15.75">
      <c r="A12" s="23">
        <v>2</v>
      </c>
      <c r="B12" s="46" t="s">
        <v>145</v>
      </c>
      <c r="C12" s="3" t="s">
        <v>122</v>
      </c>
      <c r="D12" s="41"/>
      <c r="E12" s="43">
        <v>32.6</v>
      </c>
      <c r="F12" s="41">
        <v>2.1</v>
      </c>
      <c r="G12" s="23"/>
      <c r="H12" s="23"/>
      <c r="I12" s="29"/>
    </row>
    <row r="13" spans="1:9" ht="15.75">
      <c r="A13" s="23">
        <v>3</v>
      </c>
      <c r="B13" s="46" t="s">
        <v>147</v>
      </c>
      <c r="C13" s="3" t="s">
        <v>130</v>
      </c>
      <c r="D13" s="41"/>
      <c r="E13" s="43">
        <v>21.5</v>
      </c>
      <c r="F13" s="41">
        <v>1</v>
      </c>
      <c r="G13" s="23"/>
      <c r="H13" s="23"/>
      <c r="I13" s="29"/>
    </row>
    <row r="15" spans="1:9" ht="21">
      <c r="A15" s="124" t="s">
        <v>89</v>
      </c>
      <c r="B15" s="124"/>
      <c r="C15" s="124"/>
      <c r="D15" s="124"/>
      <c r="E15" s="124"/>
      <c r="F15" s="124"/>
      <c r="G15" s="124"/>
      <c r="H15" s="124"/>
      <c r="I15" s="124"/>
    </row>
    <row r="16" spans="1:9" ht="15.75">
      <c r="A16" s="138"/>
      <c r="B16" s="138"/>
      <c r="H16" s="10" t="s">
        <v>83</v>
      </c>
      <c r="I16" s="10">
        <f>'Form 1'!C9</f>
        <v>195</v>
      </c>
    </row>
    <row r="17" spans="1:9" ht="15.75" customHeight="1">
      <c r="A17" s="111" t="s">
        <v>10</v>
      </c>
      <c r="B17" s="111" t="s">
        <v>11</v>
      </c>
      <c r="C17" s="111" t="s">
        <v>12</v>
      </c>
      <c r="D17" s="111" t="s">
        <v>84</v>
      </c>
      <c r="E17" s="136" t="s">
        <v>108</v>
      </c>
      <c r="F17" s="111" t="s">
        <v>85</v>
      </c>
      <c r="G17" s="111" t="s">
        <v>15</v>
      </c>
      <c r="H17" s="111"/>
      <c r="I17" s="136" t="s">
        <v>86</v>
      </c>
    </row>
    <row r="18" spans="1:9" ht="63">
      <c r="A18" s="111"/>
      <c r="B18" s="111"/>
      <c r="C18" s="111"/>
      <c r="D18" s="111"/>
      <c r="E18" s="137"/>
      <c r="F18" s="111"/>
      <c r="G18" s="20" t="s">
        <v>87</v>
      </c>
      <c r="H18" s="20" t="s">
        <v>19</v>
      </c>
      <c r="I18" s="137"/>
    </row>
    <row r="19" spans="1:9" ht="15.6" customHeight="1">
      <c r="A19" s="23">
        <v>1</v>
      </c>
      <c r="B19" s="46" t="s">
        <v>140</v>
      </c>
      <c r="C19" s="3" t="s">
        <v>117</v>
      </c>
      <c r="D19" s="41"/>
      <c r="E19" s="3">
        <v>25.7</v>
      </c>
      <c r="F19" s="41">
        <v>1.5</v>
      </c>
      <c r="G19" s="23"/>
      <c r="H19" s="23"/>
      <c r="I19" s="23"/>
    </row>
    <row r="20" spans="1:9" ht="15.75">
      <c r="D20" s="28"/>
      <c r="F20" s="30"/>
    </row>
    <row r="21" spans="1:9" ht="21">
      <c r="A21" s="124" t="s">
        <v>90</v>
      </c>
      <c r="B21" s="124"/>
      <c r="C21" s="124"/>
      <c r="D21" s="124"/>
      <c r="E21" s="124"/>
      <c r="F21" s="124"/>
      <c r="G21" s="124"/>
      <c r="H21" s="124"/>
      <c r="I21" s="124"/>
    </row>
    <row r="22" spans="1:9">
      <c r="A22" s="135"/>
      <c r="B22" s="135"/>
      <c r="H22" t="s">
        <v>83</v>
      </c>
      <c r="I22" s="10">
        <f>'Form 1'!C9</f>
        <v>195</v>
      </c>
    </row>
    <row r="23" spans="1:9" ht="15.75" customHeight="1">
      <c r="A23" s="111" t="s">
        <v>10</v>
      </c>
      <c r="B23" s="111" t="s">
        <v>11</v>
      </c>
      <c r="C23" s="111" t="s">
        <v>12</v>
      </c>
      <c r="D23" s="111" t="s">
        <v>84</v>
      </c>
      <c r="E23" s="136" t="s">
        <v>108</v>
      </c>
      <c r="F23" s="111" t="s">
        <v>85</v>
      </c>
      <c r="G23" s="111" t="s">
        <v>15</v>
      </c>
      <c r="H23" s="111"/>
      <c r="I23" s="111" t="s">
        <v>86</v>
      </c>
    </row>
    <row r="24" spans="1:9" ht="63">
      <c r="A24" s="111"/>
      <c r="B24" s="111"/>
      <c r="C24" s="111"/>
      <c r="D24" s="111"/>
      <c r="E24" s="137"/>
      <c r="F24" s="111"/>
      <c r="G24" s="39" t="s">
        <v>87</v>
      </c>
      <c r="H24" s="39" t="s">
        <v>19</v>
      </c>
      <c r="I24" s="111"/>
    </row>
    <row r="25" spans="1:9" ht="17.25" customHeight="1">
      <c r="A25" s="23">
        <v>1</v>
      </c>
      <c r="B25" s="46" t="s">
        <v>140</v>
      </c>
      <c r="C25" s="3" t="s">
        <v>117</v>
      </c>
      <c r="D25" s="44"/>
      <c r="E25" s="45">
        <v>23.6</v>
      </c>
      <c r="F25" s="44">
        <v>2</v>
      </c>
      <c r="G25" s="23"/>
      <c r="H25" s="23"/>
      <c r="I25" s="23"/>
    </row>
    <row r="26" spans="1:9" ht="17.25" customHeight="1">
      <c r="A26" s="23">
        <v>2</v>
      </c>
      <c r="B26" s="46" t="s">
        <v>143</v>
      </c>
      <c r="C26" s="3" t="s">
        <v>120</v>
      </c>
      <c r="D26" s="44"/>
      <c r="E26" s="45">
        <v>32.299999999999997</v>
      </c>
      <c r="F26" s="44">
        <v>2</v>
      </c>
      <c r="G26" s="23"/>
      <c r="H26" s="23"/>
      <c r="I26" s="23"/>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5:I15"/>
    <mergeCell ref="A16:B16"/>
    <mergeCell ref="A17:A18"/>
    <mergeCell ref="B17:B18"/>
    <mergeCell ref="C17:C18"/>
    <mergeCell ref="D17:D18"/>
    <mergeCell ref="E17:E18"/>
    <mergeCell ref="F17:F18"/>
    <mergeCell ref="G17:H17"/>
    <mergeCell ref="I17:I18"/>
    <mergeCell ref="A21:I21"/>
    <mergeCell ref="A22:B22"/>
    <mergeCell ref="A23:A24"/>
    <mergeCell ref="B23:B24"/>
    <mergeCell ref="C23:C24"/>
    <mergeCell ref="D23:D24"/>
    <mergeCell ref="E23:E24"/>
    <mergeCell ref="F23:F24"/>
    <mergeCell ref="G23:H23"/>
    <mergeCell ref="I23:I2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D40" sqref="D40"/>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6" t="s">
        <v>91</v>
      </c>
      <c r="B1" s="146"/>
      <c r="C1" s="146"/>
      <c r="D1" s="146"/>
      <c r="E1" s="146"/>
      <c r="F1" s="146"/>
      <c r="G1" s="146"/>
    </row>
    <row r="2" spans="1:7" ht="15.75">
      <c r="A2" s="147"/>
      <c r="B2" s="147"/>
      <c r="C2" s="2"/>
      <c r="D2" s="2"/>
      <c r="E2" s="2"/>
      <c r="F2" t="s">
        <v>83</v>
      </c>
      <c r="G2" s="10">
        <f>'Form 1'!C9</f>
        <v>195</v>
      </c>
    </row>
    <row r="3" spans="1:7" ht="15.75">
      <c r="A3" s="111" t="s">
        <v>10</v>
      </c>
      <c r="B3" s="111" t="s">
        <v>11</v>
      </c>
      <c r="C3" s="111" t="s">
        <v>12</v>
      </c>
      <c r="D3" s="111" t="s">
        <v>92</v>
      </c>
      <c r="E3" s="111" t="s">
        <v>15</v>
      </c>
      <c r="F3" s="111"/>
      <c r="G3" s="111" t="s">
        <v>93</v>
      </c>
    </row>
    <row r="4" spans="1:7" ht="31.5">
      <c r="A4" s="111"/>
      <c r="B4" s="111"/>
      <c r="C4" s="111"/>
      <c r="D4" s="111"/>
      <c r="E4" s="31" t="s">
        <v>94</v>
      </c>
      <c r="F4" s="31" t="s">
        <v>95</v>
      </c>
      <c r="G4" s="111"/>
    </row>
    <row r="5" spans="1:7" ht="15.75">
      <c r="A5" s="111"/>
      <c r="B5" s="111"/>
      <c r="C5" s="111"/>
      <c r="D5" s="111"/>
      <c r="E5" s="32" t="s">
        <v>96</v>
      </c>
      <c r="F5" s="32" t="s">
        <v>97</v>
      </c>
      <c r="G5" s="111"/>
    </row>
    <row r="6" spans="1:7" ht="15.75">
      <c r="A6" s="23">
        <v>1</v>
      </c>
      <c r="B6" s="46" t="s">
        <v>140</v>
      </c>
      <c r="C6" s="3" t="s">
        <v>117</v>
      </c>
      <c r="D6" s="41">
        <v>28</v>
      </c>
      <c r="E6" s="23"/>
      <c r="F6" s="31"/>
      <c r="G6" s="23"/>
    </row>
    <row r="7" spans="1:7" ht="15.75">
      <c r="A7" s="23">
        <v>2</v>
      </c>
      <c r="B7" s="46" t="s">
        <v>142</v>
      </c>
      <c r="C7" s="3" t="s">
        <v>118</v>
      </c>
      <c r="D7" s="41">
        <v>17</v>
      </c>
      <c r="E7" s="23"/>
      <c r="F7" s="23"/>
      <c r="G7" s="23"/>
    </row>
    <row r="8" spans="1:7" ht="15.75">
      <c r="A8" s="23">
        <v>3</v>
      </c>
      <c r="B8" s="46" t="s">
        <v>148</v>
      </c>
      <c r="C8" s="3" t="s">
        <v>134</v>
      </c>
      <c r="D8" s="41">
        <v>15</v>
      </c>
      <c r="E8" s="23"/>
      <c r="F8" s="40"/>
      <c r="G8" s="23"/>
    </row>
    <row r="9" spans="1:7" ht="15.75">
      <c r="A9" s="23">
        <v>4</v>
      </c>
      <c r="B9" s="46" t="s">
        <v>140</v>
      </c>
      <c r="C9" s="3" t="s">
        <v>117</v>
      </c>
      <c r="D9" s="41">
        <v>10</v>
      </c>
      <c r="E9" s="23"/>
      <c r="F9" s="23"/>
      <c r="G9" s="23"/>
    </row>
    <row r="10" spans="1:7" ht="15.75">
      <c r="A10" s="23">
        <v>5</v>
      </c>
      <c r="B10" s="46" t="s">
        <v>150</v>
      </c>
      <c r="C10" s="3" t="s">
        <v>135</v>
      </c>
      <c r="D10" s="41" t="s">
        <v>136</v>
      </c>
      <c r="E10" s="23"/>
      <c r="F10" s="40"/>
      <c r="G10" s="23"/>
    </row>
    <row r="11" spans="1:7" ht="15.75">
      <c r="A11" s="23">
        <v>6</v>
      </c>
      <c r="B11" s="24"/>
      <c r="C11" s="3"/>
      <c r="D11" s="41">
        <v>10</v>
      </c>
      <c r="E11" s="23"/>
      <c r="F11" s="23"/>
      <c r="G11" s="23"/>
    </row>
    <row r="12" spans="1:7" ht="15.75">
      <c r="A12" s="116" t="s">
        <v>103</v>
      </c>
      <c r="B12" s="143"/>
      <c r="C12" s="143"/>
      <c r="D12" s="143"/>
      <c r="E12" s="143"/>
      <c r="F12" s="143"/>
      <c r="G12" s="117"/>
    </row>
    <row r="13" spans="1:7" ht="15.75">
      <c r="A13" s="23">
        <v>1</v>
      </c>
      <c r="B13" s="140" t="s">
        <v>104</v>
      </c>
      <c r="C13" s="141"/>
      <c r="D13" s="141"/>
      <c r="E13" s="141"/>
      <c r="F13" s="142"/>
      <c r="G13" s="3" t="s">
        <v>125</v>
      </c>
    </row>
    <row r="14" spans="1:7" ht="15.75">
      <c r="A14" s="23">
        <v>2</v>
      </c>
      <c r="B14" s="140" t="s">
        <v>105</v>
      </c>
      <c r="C14" s="141"/>
      <c r="D14" s="141"/>
      <c r="E14" s="141"/>
      <c r="F14" s="142"/>
      <c r="G14" s="3" t="s">
        <v>126</v>
      </c>
    </row>
    <row r="15" spans="1:7" ht="15.75">
      <c r="A15" s="23">
        <v>3</v>
      </c>
      <c r="B15" s="140" t="s">
        <v>106</v>
      </c>
      <c r="C15" s="141"/>
      <c r="D15" s="141"/>
      <c r="E15" s="141"/>
      <c r="F15" s="142"/>
      <c r="G15" s="3" t="s">
        <v>127</v>
      </c>
    </row>
    <row r="16" spans="1:7" ht="15.75">
      <c r="A16" s="23">
        <v>4</v>
      </c>
      <c r="B16" s="140" t="s">
        <v>107</v>
      </c>
      <c r="C16" s="141"/>
      <c r="D16" s="141"/>
      <c r="E16" s="141"/>
      <c r="F16" s="142"/>
      <c r="G16" s="3" t="s">
        <v>128</v>
      </c>
    </row>
    <row r="17" spans="1:12" ht="15.75">
      <c r="A17" s="25"/>
      <c r="B17" s="35"/>
      <c r="C17" s="35"/>
      <c r="D17" s="25"/>
      <c r="E17" s="25"/>
      <c r="F17" s="25"/>
      <c r="G17" s="25"/>
      <c r="L17" s="34"/>
    </row>
    <row r="18" spans="1:12" s="36" customFormat="1" ht="19.899999999999999" customHeight="1">
      <c r="A18" s="145" t="s">
        <v>98</v>
      </c>
      <c r="B18" s="145"/>
      <c r="C18" s="145"/>
      <c r="D18" s="145"/>
      <c r="E18" s="145"/>
      <c r="F18" s="145"/>
      <c r="G18" s="145"/>
      <c r="L18" s="34"/>
    </row>
    <row r="19" spans="1:12" ht="15.75">
      <c r="A19" s="36"/>
      <c r="B19" s="36"/>
      <c r="C19" s="36"/>
      <c r="D19" s="36"/>
      <c r="E19" s="36"/>
      <c r="F19" t="s">
        <v>83</v>
      </c>
      <c r="G19" s="10">
        <f>'Form 1'!C9</f>
        <v>195</v>
      </c>
      <c r="L19" s="34"/>
    </row>
    <row r="20" spans="1:12" ht="15.75" customHeight="1">
      <c r="A20" s="136" t="s">
        <v>10</v>
      </c>
      <c r="B20" s="136" t="s">
        <v>11</v>
      </c>
      <c r="C20" s="136" t="s">
        <v>12</v>
      </c>
      <c r="D20" s="136" t="s">
        <v>99</v>
      </c>
      <c r="E20" s="116" t="s">
        <v>15</v>
      </c>
      <c r="F20" s="117"/>
      <c r="G20" s="136" t="s">
        <v>100</v>
      </c>
      <c r="L20" s="34"/>
    </row>
    <row r="21" spans="1:12" ht="31.5">
      <c r="A21" s="144"/>
      <c r="B21" s="144"/>
      <c r="C21" s="144"/>
      <c r="D21" s="144"/>
      <c r="E21" s="31" t="s">
        <v>94</v>
      </c>
      <c r="F21" s="31" t="s">
        <v>95</v>
      </c>
      <c r="G21" s="144"/>
      <c r="L21" s="34"/>
    </row>
    <row r="22" spans="1:12" ht="15.75">
      <c r="A22" s="137"/>
      <c r="B22" s="137"/>
      <c r="C22" s="137"/>
      <c r="D22" s="137"/>
      <c r="E22" s="32" t="s">
        <v>96</v>
      </c>
      <c r="F22" s="32" t="s">
        <v>97</v>
      </c>
      <c r="G22" s="137"/>
      <c r="L22" s="34"/>
    </row>
    <row r="23" spans="1:12" ht="15.75">
      <c r="A23" s="23">
        <v>1</v>
      </c>
      <c r="B23" s="46" t="s">
        <v>150</v>
      </c>
      <c r="C23" s="3" t="s">
        <v>135</v>
      </c>
      <c r="D23" s="41" t="s">
        <v>136</v>
      </c>
      <c r="E23" s="23"/>
      <c r="F23" s="23"/>
      <c r="G23" s="23"/>
      <c r="L23" s="34"/>
    </row>
    <row r="24" spans="1:12" ht="15.75">
      <c r="A24" s="23">
        <v>2</v>
      </c>
      <c r="B24" s="46" t="s">
        <v>151</v>
      </c>
      <c r="C24" s="3" t="s">
        <v>137</v>
      </c>
      <c r="D24" s="41">
        <v>7</v>
      </c>
      <c r="E24" s="23"/>
      <c r="F24" s="23"/>
      <c r="G24" s="23"/>
      <c r="L24" s="34"/>
    </row>
    <row r="25" spans="1:12" ht="15.75">
      <c r="A25" s="23">
        <v>3</v>
      </c>
      <c r="B25" s="46" t="s">
        <v>151</v>
      </c>
      <c r="C25" s="3" t="s">
        <v>137</v>
      </c>
      <c r="D25" s="41">
        <v>3</v>
      </c>
      <c r="E25" s="23"/>
      <c r="F25" s="23"/>
      <c r="G25" s="23"/>
      <c r="L25" s="34"/>
    </row>
    <row r="26" spans="1:12" ht="15.75">
      <c r="A26" s="23">
        <v>4</v>
      </c>
      <c r="B26" s="46" t="s">
        <v>151</v>
      </c>
      <c r="C26" s="3" t="s">
        <v>137</v>
      </c>
      <c r="D26" s="41">
        <v>5</v>
      </c>
      <c r="E26" s="23"/>
      <c r="F26" s="23"/>
      <c r="G26" s="23"/>
      <c r="L26" s="34"/>
    </row>
    <row r="27" spans="1:12" ht="15.75">
      <c r="A27" s="23">
        <v>5</v>
      </c>
      <c r="B27" s="46" t="s">
        <v>152</v>
      </c>
      <c r="C27" s="3" t="s">
        <v>138</v>
      </c>
      <c r="D27" s="41">
        <v>20</v>
      </c>
      <c r="E27" s="23"/>
      <c r="F27" s="23"/>
      <c r="G27" s="23"/>
      <c r="L27" s="34"/>
    </row>
    <row r="28" spans="1:12" ht="15.75">
      <c r="A28" s="23">
        <v>6</v>
      </c>
      <c r="B28" s="46" t="s">
        <v>152</v>
      </c>
      <c r="C28" s="3" t="s">
        <v>138</v>
      </c>
      <c r="D28" s="41">
        <v>15</v>
      </c>
      <c r="E28" s="23"/>
      <c r="F28" s="23"/>
      <c r="G28" s="23"/>
      <c r="L28" s="34"/>
    </row>
    <row r="29" spans="1:12" ht="15.75">
      <c r="A29" s="23">
        <v>7</v>
      </c>
      <c r="B29" s="46" t="s">
        <v>152</v>
      </c>
      <c r="C29" s="3" t="s">
        <v>138</v>
      </c>
      <c r="D29" s="41">
        <v>7</v>
      </c>
      <c r="E29" s="23"/>
      <c r="F29" s="23"/>
      <c r="G29" s="23"/>
      <c r="L29" s="34"/>
    </row>
    <row r="30" spans="1:12" ht="15.75">
      <c r="A30" s="23">
        <v>8</v>
      </c>
      <c r="B30" s="46" t="s">
        <v>153</v>
      </c>
      <c r="C30" s="3" t="s">
        <v>139</v>
      </c>
      <c r="D30" s="41">
        <v>8</v>
      </c>
      <c r="E30" s="23"/>
      <c r="F30" s="23"/>
      <c r="G30" s="23"/>
      <c r="L30" s="34"/>
    </row>
    <row r="31" spans="1:12" ht="15.75">
      <c r="A31" s="116" t="s">
        <v>103</v>
      </c>
      <c r="B31" s="143"/>
      <c r="C31" s="143"/>
      <c r="D31" s="143"/>
      <c r="E31" s="143"/>
      <c r="F31" s="143"/>
      <c r="G31" s="117"/>
    </row>
    <row r="32" spans="1:12" ht="15.75">
      <c r="A32" s="23">
        <v>1</v>
      </c>
      <c r="B32" s="140" t="s">
        <v>104</v>
      </c>
      <c r="C32" s="141"/>
      <c r="D32" s="141"/>
      <c r="E32" s="141"/>
      <c r="F32" s="142"/>
      <c r="G32" s="3" t="s">
        <v>131</v>
      </c>
    </row>
    <row r="33" spans="1:7" ht="15.75">
      <c r="A33" s="23">
        <v>2</v>
      </c>
      <c r="B33" s="140" t="s">
        <v>105</v>
      </c>
      <c r="C33" s="141"/>
      <c r="D33" s="141"/>
      <c r="E33" s="141"/>
      <c r="F33" s="142"/>
      <c r="G33" s="3" t="s">
        <v>132</v>
      </c>
    </row>
    <row r="34" spans="1:7" ht="15.75">
      <c r="A34" s="23">
        <v>3</v>
      </c>
      <c r="B34" s="140" t="s">
        <v>106</v>
      </c>
      <c r="C34" s="141"/>
      <c r="D34" s="141"/>
      <c r="E34" s="141"/>
      <c r="F34" s="142"/>
      <c r="G34" s="3" t="s">
        <v>127</v>
      </c>
    </row>
    <row r="35" spans="1:7" ht="15.75">
      <c r="A35" s="23">
        <v>4</v>
      </c>
      <c r="B35" s="140" t="s">
        <v>107</v>
      </c>
      <c r="C35" s="141"/>
      <c r="D35" s="141"/>
      <c r="E35" s="141"/>
      <c r="F35" s="142"/>
      <c r="G35" s="3" t="s">
        <v>133</v>
      </c>
    </row>
  </sheetData>
  <mergeCells count="25">
    <mergeCell ref="E20:F20"/>
    <mergeCell ref="A1:G1"/>
    <mergeCell ref="A2:B2"/>
    <mergeCell ref="A3:A5"/>
    <mergeCell ref="B3:B5"/>
    <mergeCell ref="C3:C5"/>
    <mergeCell ref="D3:D5"/>
    <mergeCell ref="E3:F3"/>
    <mergeCell ref="G3:G5"/>
    <mergeCell ref="B34:F34"/>
    <mergeCell ref="B35:F35"/>
    <mergeCell ref="A12:G12"/>
    <mergeCell ref="B13:F13"/>
    <mergeCell ref="A31:G31"/>
    <mergeCell ref="B32:F32"/>
    <mergeCell ref="B33:F33"/>
    <mergeCell ref="G20:G22"/>
    <mergeCell ref="A18:G18"/>
    <mergeCell ref="B14:F14"/>
    <mergeCell ref="B15:F15"/>
    <mergeCell ref="B16:F16"/>
    <mergeCell ref="A20:A22"/>
    <mergeCell ref="B20:B22"/>
    <mergeCell ref="C20:C22"/>
    <mergeCell ref="D20:D2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2023-12-30T17:23:38Z</dcterms:modified>
</cp:coreProperties>
</file>