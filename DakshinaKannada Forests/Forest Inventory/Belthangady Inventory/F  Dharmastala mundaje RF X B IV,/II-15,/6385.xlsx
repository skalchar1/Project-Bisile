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B2619239-A235-4DF8-908B-EBE9BB265B7F}" xr6:coauthVersionLast="47" xr6:coauthVersionMax="47" xr10:uidLastSave="{00000000-0000-0000-0000-000000000000}"/>
  <bookViews>
    <workbookView xWindow="3075" yWindow="307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2" i="8"/>
  <c r="G71" i="8"/>
  <c r="G70" i="8"/>
  <c r="G69" i="8"/>
  <c r="G39" i="8"/>
  <c r="G38" i="8"/>
  <c r="G7" i="8"/>
  <c r="G6" i="8"/>
  <c r="G5" i="8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<sst xmlns="http://schemas.openxmlformats.org/spreadsheetml/2006/main" count="457" uniqueCount="317">
  <si>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</si>
  <si>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</si>
  <si>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</si>
  <si>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</si>
  <si>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</si>
  <si>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</si>
  <si>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</si>
  <si>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</si>
  <si>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</si>
  <si>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</si>
  <si>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</si>
  <si>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</si>
  <si>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</si>
  <si>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</si>
  <si>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</si>
  <si>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</si>
  <si>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</si>
  <si>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</si>
  <si>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</si>
  <si>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</si>
  <si>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</si>
  <si>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</si>
  <si>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</si>
  <si>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</si>
  <si>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</si>
  <si>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</si>
  <si>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</si>
  <si>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</si>
  <si>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</si>
  <si>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</si>
  <si>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</si>
  <si>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</si>
  <si>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</si>
  <si>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</si>
  <si>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</si>
  <si>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</si>
  <si>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</si>
  <si>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</si>
  <si>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</si>
  <si>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</si>
  <si>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</si>
  <si>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</si>
  <si>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</si>
  <si>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</si>
  <si>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</si>
  <si>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</si>
  <si>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</si>
  <si>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</si>
  <si>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</si>
  <si>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</si>
  <si>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</si>
  <si>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</si>
  <si>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</si>
  <si>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</si>
  <si>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</si>
  <si>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</si>
  <si>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</si>
  <si>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</si>
  <si>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</si>
  <si>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</si>
  <si>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</si>
  <si>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</si>
  <si>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</si>
  <si>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</si>
  <si>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</si>
  <si>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</si>
  <si>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</si>
  <si>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</si>
  <si>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</si>
  <si>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</si>
  <si>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</si>
  <si>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</si>
  <si>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</si>
  <si>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</si>
  <si>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</si>
  <si>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</si>
  <si>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</si>
  <si>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</si>
  <si>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</si>
  <si>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</si>
  <si>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</si>
  <si>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</si>
  <si>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</si>
  <si>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</si>
  <si>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</si>
  <si>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</si>
  <si>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</si>
  <si>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</si>
  <si>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</si>
  <si>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</si>
  <si>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</si>
  <si>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</si>
  <si>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</si>
  <si>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</si>
  <si>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</si>
  <si>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</si>
  <si>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</si>
  <si>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</si>
  <si>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</si>
  <si>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</si>
  <si>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</si>
  <si>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</si>
  <si>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</si>
  <si>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</si>
  <si>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</si>
  <si>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</si>
  <si>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</si>
  <si>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</si>
  <si>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</si>
  <si>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</si>
  <si>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</si>
  <si>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</si>
  <si>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</si>
  <si>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</si>
  <si>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</si>
  <si>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</si>
  <si>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</si>
  <si>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</si>
  <si>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</si>
  <si>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</si>
  <si>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</si>
  <si>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</si>
  <si>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</si>
  <si>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</si>
  <si>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</si>
  <si>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</si>
  <si>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</si>
  <si>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</si>
  <si>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</si>
  <si>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</si>
  <si>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</si>
  <si>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</si>
  <si>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</si>
  <si>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</si>
  <si>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</si>
  <si>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</si>
  <si>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</si>
  <si>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</si>
  <si>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</si>
  <si>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</si>
  <si>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</si>
  <si>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</si>
  <si>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</si>
  <si>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</si>
  <si>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</si>
  <si>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</si>
  <si>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</si>
  <si>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</si>
  <si>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</si>
  <si>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</si>
  <si>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</si>
  <si>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</si>
  <si>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</si>
  <si>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</si>
  <si>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</si>
  <si>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</si>
  <si>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</si>
  <si>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</si>
  <si>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</si>
  <si>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</si>
  <si>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</si>
  <si>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</si>
  <si>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</si>
  <si>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</si>
  <si>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</si>
  <si>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</si>
  <si>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</si>
  <si>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</si>
  <si>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</si>
  <si>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</si>
  <si>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</si>
  <si>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</si>
  <si>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</si>
  <si>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</si>
  <si>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</si>
  <si>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</si>
  <si>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</si>
  <si>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</si>
  <si>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</si>
  <si>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</si>
  <si>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</si>
  <si>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</si>
  <si>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</si>
  <si>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</si>
  <si>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</si>
  <si>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</si>
  <si>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</si>
  <si>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</si>
  <si>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</si>
  <si>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</si>
  <si>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</si>
  <si>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</si>
  <si>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</si>
  <si>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</si>
  <si>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</si>
  <si>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</si>
  <si>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</si>
  <si>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</si>
  <si>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</si>
  <si>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</si>
  <si>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</si>
  <si>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</si>
  <si>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</si>
  <si>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</si>
  <si>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</si>
  <si>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</si>
  <si>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</si>
  <si>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</si>
  <si>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</si>
  <si>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</si>
  <si>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</si>
  <si>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</si>
  <si>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</si>
  <si>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</si>
  <si>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</si>
  <si>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</si>
  <si>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</si>
  <si>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</si>
  <si>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</si>
  <si>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</si>
  <si>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</si>
  <si>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</si>
  <si>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</si>
  <si>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</si>
  <si>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</si>
  <si>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</si>
  <si>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</si>
  <si>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</si>
  <si>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</si>
  <si>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</si>
  <si>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</si>
  <si>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</si>
  <si>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</si>
  <si>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</si>
  <si>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</si>
  <si>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</si>
  <si>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</si>
  <si>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</si>
  <si>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</si>
  <si>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</si>
  <si>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</si>
  <si>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</si>
  <si>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</si>
  <si>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</si>
  <si>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</si>
  <si>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Flat / Gently rolling / Ravines / Gullies / Hilly /Very Hilly</t>
  </si>
  <si>
    <t>Upto 3° /4°-15°/ 16°-40° /41° and Above</t>
  </si>
  <si>
    <t>length of the log (m)</t>
  </si>
  <si>
    <t>Northern / NE/Eastern / SE /Southern /SW /Western/ NW /No aspect</t>
  </si>
  <si>
    <t>NIL</t>
  </si>
  <si>
    <t>Mangalore</t>
  </si>
  <si>
    <t>Soil -   Humus rich loamy soil</t>
  </si>
  <si>
    <t xml:space="preserve">Aporosa lindleyana , Hopea ponga , Diospyros montona , Tabernamontana heyneana </t>
  </si>
  <si>
    <t xml:space="preserve">Grasses -  Themeda quadrivalvis , Opplessima sp </t>
  </si>
  <si>
    <t>Weeds -  Parthenium sp</t>
  </si>
  <si>
    <t>Bamboos -  Nil</t>
  </si>
  <si>
    <t>Herbs -  Zingiber sp, Curcuma sp</t>
  </si>
  <si>
    <t xml:space="preserve">Shrubs - Psychotria flavida </t>
  </si>
  <si>
    <t xml:space="preserve">Underwood species –  Ixora brachiata </t>
  </si>
  <si>
    <t xml:space="preserve">Climbers - Pothos scandens , Cyclea peltata </t>
  </si>
  <si>
    <t>Rattans –NIL</t>
  </si>
  <si>
    <t xml:space="preserve">NTFP yieding sps –Artocarpus lakoocha </t>
  </si>
  <si>
    <t>1.2m</t>
  </si>
  <si>
    <t>Texture- Loamy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</si>
  <si>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</si>
  <si>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</si>
  <si>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</si>
  <si>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</si>
  <si>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t xml:space="preserve">Terminalia paniculata , Hopea ponga , Diospyros montona 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</si>
  <si>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</si>
  <si>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</si>
  <si>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</si>
  <si>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</si>
  <si>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</si>
  <si>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Terminalia paniculata </t>
  </si>
  <si>
    <t xml:space="preserve">Hopea ponga </t>
  </si>
  <si>
    <t xml:space="preserve">Aporosa lindleyana </t>
  </si>
  <si>
    <t>Ixora brachiata</t>
  </si>
  <si>
    <t xml:space="preserve">Buchanania lanzan </t>
  </si>
  <si>
    <t>Diospyros montona</t>
  </si>
  <si>
    <t xml:space="preserve">Tabernamontana heyneana </t>
  </si>
  <si>
    <t>Psychotria flavida</t>
  </si>
  <si>
    <t>Kaadu coffee</t>
  </si>
  <si>
    <t>Nurukalu</t>
  </si>
  <si>
    <t>Gorbale</t>
  </si>
  <si>
    <t>Buchanania lanzan</t>
  </si>
  <si>
    <t>Haiga</t>
  </si>
  <si>
    <t>116g</t>
  </si>
  <si>
    <t>556g</t>
  </si>
  <si>
    <t>58g</t>
  </si>
  <si>
    <t>4.1Kg</t>
  </si>
  <si>
    <t xml:space="preserve">Diospyros montona </t>
  </si>
  <si>
    <t>Matti</t>
  </si>
  <si>
    <t>95g</t>
  </si>
  <si>
    <t>462g</t>
  </si>
  <si>
    <t>73g</t>
  </si>
  <si>
    <t>3.6Kg</t>
  </si>
  <si>
    <t xml:space="preserve">Psychotria dalzelli </t>
  </si>
  <si>
    <t>Salle</t>
  </si>
  <si>
    <t>Konanakivi</t>
  </si>
  <si>
    <t>Maddarasa</t>
  </si>
  <si>
    <t>Travel from Ujire towards Gumkallu Neriya  up to N  12.978731°  E  75.430993° by vehicle and then walk   47 m in the bearing of  283  degree to reach the grid.</t>
  </si>
  <si>
    <t>Tract -  Flat</t>
  </si>
  <si>
    <t>Aspect -  No aspect</t>
  </si>
  <si>
    <t>Canopy Dencity -  0.46</t>
  </si>
  <si>
    <t>Moderately</t>
  </si>
  <si>
    <t>523 ft</t>
  </si>
  <si>
    <t>Belthangady</t>
  </si>
  <si>
    <t>Dharmastala Mundaje RF X B IV</t>
  </si>
  <si>
    <t>II-15</t>
  </si>
  <si>
    <t>Flowers and leaves</t>
  </si>
  <si>
    <t>bark</t>
  </si>
  <si>
    <t>leaves</t>
  </si>
  <si>
    <t>seeds</t>
  </si>
  <si>
    <t xml:space="preserve">Bark , seeds </t>
  </si>
  <si>
    <t>leaves, beedi</t>
  </si>
  <si>
    <t>fruit pulp,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</si>
</sst>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8" zoomScaleSheetLayoutView="100" workbookViewId="0">
      <selection activeCell="C11" sqref="C11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250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307</v>
      </c>
    </row>
    <row r="6" spans="1:3" ht="39" customHeight="1" x14ac:dyDescent="0.25">
      <c r="A6" s="4">
        <v>2</v>
      </c>
      <c r="B6" s="51" t="s">
        <v>7</v>
      </c>
      <c r="C6" s="8" t="s">
        <v>308</v>
      </c>
    </row>
    <row r="7" spans="1:3" ht="39" customHeight="1" x14ac:dyDescent="0.25">
      <c r="A7" s="4">
        <v>3</v>
      </c>
      <c r="B7" s="51" t="s">
        <v>8</v>
      </c>
      <c r="C7" s="8" t="s">
        <v>309</v>
      </c>
    </row>
    <row r="8" spans="1:3" ht="39" customHeight="1" x14ac:dyDescent="0.25">
      <c r="A8" s="4">
        <v>4</v>
      </c>
      <c r="B8" s="51" t="s">
        <v>9</v>
      </c>
      <c r="C8" s="8">
        <v>6385</v>
      </c>
    </row>
    <row r="9" spans="1:3" ht="39" customHeight="1" x14ac:dyDescent="0.25">
      <c r="A9" s="4">
        <v>5</v>
      </c>
      <c r="B9" s="51" t="s">
        <v>10</v>
      </c>
      <c r="C9" s="9">
        <v>12.978804999999999</v>
      </c>
    </row>
    <row r="10" spans="1:3" ht="39" customHeight="1" x14ac:dyDescent="0.25">
      <c r="A10" s="4">
        <v>6</v>
      </c>
      <c r="B10" s="51" t="s">
        <v>11</v>
      </c>
      <c r="C10" s="9">
        <v>75.430559000000002</v>
      </c>
    </row>
    <row r="11" spans="1:3" ht="141.75" customHeight="1" x14ac:dyDescent="0.25">
      <c r="A11" s="4">
        <v>7</v>
      </c>
      <c r="B11" s="51" t="s">
        <v>12</v>
      </c>
      <c r="C11" s="53" t="s">
        <v>301</v>
      </c>
    </row>
    <row r="12" spans="1:3" ht="98.25" customHeight="1" x14ac:dyDescent="0.25">
      <c r="A12" s="4">
        <v>8</v>
      </c>
      <c r="B12" s="51" t="s">
        <v>13</v>
      </c>
      <c r="C12" s="10" t="s">
        <v>252</v>
      </c>
    </row>
    <row r="13" spans="1:3" ht="32.25" customHeight="1" x14ac:dyDescent="0.25">
      <c r="A13" s="55">
        <v>9</v>
      </c>
      <c r="B13" s="56" t="s">
        <v>14</v>
      </c>
      <c r="C13" s="6" t="s">
        <v>302</v>
      </c>
    </row>
    <row r="14" spans="1:3" ht="32.25" customHeight="1" x14ac:dyDescent="0.25">
      <c r="A14" s="55"/>
      <c r="B14" s="56"/>
      <c r="C14" s="6" t="s">
        <v>303</v>
      </c>
    </row>
    <row r="15" spans="1:3" ht="32.25" customHeight="1" x14ac:dyDescent="0.25">
      <c r="A15" s="55"/>
      <c r="B15" s="56"/>
      <c r="C15" s="6" t="s">
        <v>304</v>
      </c>
    </row>
    <row r="16" spans="1:3" ht="32.25" customHeight="1" x14ac:dyDescent="0.25">
      <c r="A16" s="55"/>
      <c r="B16" s="56"/>
      <c r="C16" s="6" t="s">
        <v>251</v>
      </c>
    </row>
    <row r="17" spans="1:3" ht="32.25" customHeight="1" x14ac:dyDescent="0.25">
      <c r="A17" s="55"/>
      <c r="B17" s="56"/>
      <c r="C17" s="6" t="s">
        <v>253</v>
      </c>
    </row>
    <row r="18" spans="1:3" ht="32.25" customHeight="1" x14ac:dyDescent="0.25">
      <c r="A18" s="55"/>
      <c r="B18" s="56"/>
      <c r="C18" s="6" t="s">
        <v>254</v>
      </c>
    </row>
    <row r="19" spans="1:3" ht="32.25" customHeight="1" x14ac:dyDescent="0.25">
      <c r="A19" s="55"/>
      <c r="B19" s="56"/>
      <c r="C19" s="6" t="s">
        <v>255</v>
      </c>
    </row>
    <row r="20" spans="1:3" ht="57.75" customHeight="1" x14ac:dyDescent="0.25">
      <c r="A20" s="55"/>
      <c r="B20" s="56"/>
      <c r="C20" s="6" t="s">
        <v>256</v>
      </c>
    </row>
    <row r="21" spans="1:3" ht="63" customHeight="1" x14ac:dyDescent="0.25">
      <c r="A21" s="55"/>
      <c r="B21" s="56"/>
      <c r="C21" s="6" t="s">
        <v>257</v>
      </c>
    </row>
    <row r="22" spans="1:3" ht="63" customHeight="1" x14ac:dyDescent="0.25">
      <c r="A22" s="55"/>
      <c r="B22" s="56"/>
      <c r="C22" s="6" t="s">
        <v>258</v>
      </c>
    </row>
    <row r="23" spans="1:3" ht="63" customHeight="1" x14ac:dyDescent="0.25">
      <c r="A23" s="55"/>
      <c r="B23" s="56"/>
      <c r="C23" s="6" t="s">
        <v>259</v>
      </c>
    </row>
    <row r="24" spans="1:3" ht="63" customHeight="1" x14ac:dyDescent="0.25">
      <c r="A24" s="55"/>
      <c r="B24" s="56"/>
      <c r="C24" s="6" t="s">
        <v>260</v>
      </c>
    </row>
    <row r="25" spans="1:3" ht="63" customHeight="1" x14ac:dyDescent="0.25">
      <c r="A25" s="55"/>
      <c r="B25" s="56"/>
      <c r="C25" s="6" t="s">
        <v>261</v>
      </c>
    </row>
    <row r="26" spans="1:3" ht="49.5" customHeight="1" x14ac:dyDescent="0.25">
      <c r="A26" s="4">
        <v>10</v>
      </c>
      <c r="B26" s="51" t="s">
        <v>15</v>
      </c>
      <c r="C26" s="6" t="s">
        <v>249</v>
      </c>
    </row>
    <row r="27" spans="1:3" ht="53.25" customHeight="1" x14ac:dyDescent="0.25">
      <c r="A27" s="4">
        <v>11</v>
      </c>
      <c r="B27" s="51" t="s">
        <v>16</v>
      </c>
      <c r="C27" s="6" t="s">
        <v>305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6" zoomScaleSheetLayoutView="100" workbookViewId="0">
      <selection activeCell="C11" sqref="C11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Mundaje RF X B IV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6385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12.978804999999999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75.430559000000002</v>
      </c>
    </row>
    <row r="11" spans="1:3" ht="32.25" customHeight="1" x14ac:dyDescent="0.25">
      <c r="A11" s="11">
        <v>7</v>
      </c>
      <c r="B11" s="52" t="s">
        <v>22</v>
      </c>
      <c r="C11" s="20" t="s">
        <v>306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245</v>
      </c>
    </row>
    <row r="15" spans="1:3" ht="25.5" customHeight="1" x14ac:dyDescent="0.25">
      <c r="A15" s="11">
        <v>11</v>
      </c>
      <c r="B15" s="52" t="s">
        <v>26</v>
      </c>
      <c r="C15" s="22" t="s">
        <v>246</v>
      </c>
    </row>
    <row r="16" spans="1:3" ht="37.5" customHeight="1" x14ac:dyDescent="0.25">
      <c r="A16" s="11">
        <v>12</v>
      </c>
      <c r="B16" s="52" t="s">
        <v>27</v>
      </c>
      <c r="C16" s="22" t="s">
        <v>248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263</v>
      </c>
    </row>
    <row r="19" spans="1:3" ht="30.75" customHeight="1" x14ac:dyDescent="0.25">
      <c r="A19" s="58"/>
      <c r="B19" s="59"/>
      <c r="C19" s="22" t="s">
        <v>264</v>
      </c>
    </row>
    <row r="20" spans="1:3" ht="30.75" customHeight="1" x14ac:dyDescent="0.25">
      <c r="A20" s="58"/>
      <c r="B20" s="59"/>
      <c r="C20" s="23" t="s">
        <v>265</v>
      </c>
    </row>
    <row r="21" spans="1:3" ht="36" customHeight="1" x14ac:dyDescent="0.25">
      <c r="A21" s="11">
        <v>15</v>
      </c>
      <c r="B21" s="52" t="s">
        <v>31</v>
      </c>
      <c r="C21" s="22" t="s">
        <v>266</v>
      </c>
    </row>
    <row r="22" spans="1:3" ht="54.75" customHeight="1" x14ac:dyDescent="0.25">
      <c r="A22" s="11">
        <v>16</v>
      </c>
      <c r="B22" s="52" t="s">
        <v>32</v>
      </c>
      <c r="C22" s="22" t="s">
        <v>268</v>
      </c>
    </row>
    <row r="23" spans="1:3" ht="15.75" x14ac:dyDescent="0.25">
      <c r="A23" s="11">
        <v>17</v>
      </c>
      <c r="B23" s="52" t="s">
        <v>220</v>
      </c>
      <c r="C23" s="22" t="s">
        <v>267</v>
      </c>
    </row>
    <row r="24" spans="1:3" ht="35.25" customHeight="1" x14ac:dyDescent="0.25">
      <c r="A24" s="11">
        <v>18</v>
      </c>
      <c r="B24" s="52" t="s">
        <v>33</v>
      </c>
      <c r="C24" s="22" t="s">
        <v>269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270</v>
      </c>
    </row>
    <row r="27" spans="1:3" ht="30" customHeight="1" x14ac:dyDescent="0.25">
      <c r="A27" s="11">
        <v>21</v>
      </c>
      <c r="B27" s="52" t="s">
        <v>36</v>
      </c>
      <c r="C27" s="22" t="s">
        <v>271</v>
      </c>
    </row>
    <row r="28" spans="1:3" ht="30" customHeight="1" x14ac:dyDescent="0.25">
      <c r="A28" s="11">
        <v>22</v>
      </c>
      <c r="B28" s="52" t="s">
        <v>37</v>
      </c>
      <c r="C28" s="22" t="s">
        <v>272</v>
      </c>
    </row>
    <row r="29" spans="1:3" ht="32.25" customHeight="1" x14ac:dyDescent="0.25">
      <c r="A29" s="11">
        <v>23</v>
      </c>
      <c r="B29" s="52" t="s">
        <v>38</v>
      </c>
      <c r="C29" s="22" t="s">
        <v>272</v>
      </c>
    </row>
    <row r="30" spans="1:3" ht="62.25" customHeight="1" x14ac:dyDescent="0.25">
      <c r="A30" s="11">
        <v>24</v>
      </c>
      <c r="B30" s="52" t="s">
        <v>39</v>
      </c>
      <c r="C30" s="22" t="s">
        <v>249</v>
      </c>
    </row>
    <row r="31" spans="1:3" ht="72.75" customHeight="1" x14ac:dyDescent="0.25">
      <c r="A31" s="11">
        <v>25</v>
      </c>
      <c r="B31" s="52" t="s">
        <v>40</v>
      </c>
      <c r="C31" s="22" t="s">
        <v>249</v>
      </c>
    </row>
    <row r="32" spans="1:3" ht="60" customHeight="1" x14ac:dyDescent="0.25">
      <c r="A32" s="11">
        <v>26</v>
      </c>
      <c r="B32" s="52" t="s">
        <v>41</v>
      </c>
      <c r="C32" s="22" t="s">
        <v>249</v>
      </c>
    </row>
    <row r="33" spans="1:3" ht="60" customHeight="1" x14ac:dyDescent="0.25">
      <c r="A33" s="11">
        <v>27</v>
      </c>
      <c r="B33" s="52" t="s">
        <v>42</v>
      </c>
      <c r="C33" s="20" t="s">
        <v>273</v>
      </c>
    </row>
    <row r="34" spans="1:3" ht="57.75" customHeight="1" x14ac:dyDescent="0.25">
      <c r="A34" s="11">
        <v>28</v>
      </c>
      <c r="B34" s="52" t="s">
        <v>43</v>
      </c>
      <c r="C34" s="22" t="s">
        <v>249</v>
      </c>
    </row>
    <row r="35" spans="1:3" ht="59.25" customHeight="1" x14ac:dyDescent="0.25">
      <c r="A35" s="11">
        <v>29</v>
      </c>
      <c r="B35" s="52" t="s">
        <v>44</v>
      </c>
      <c r="C35" s="22" t="s">
        <v>249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9" zoomScale="60" zoomScaleNormal="70" workbookViewId="0">
      <selection activeCell="G34" sqref="G3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274</v>
      </c>
      <c r="C12" s="24"/>
      <c r="D12" s="24">
        <v>121</v>
      </c>
      <c r="E12" s="24"/>
      <c r="F12" s="24"/>
      <c r="G12" s="24"/>
      <c r="H12" s="24"/>
      <c r="I12" s="24">
        <v>6</v>
      </c>
      <c r="J12" s="24">
        <v>7.5</v>
      </c>
      <c r="K12" s="24">
        <f>L12+M12+R12</f>
        <v>12</v>
      </c>
      <c r="L12" s="24">
        <v>3</v>
      </c>
      <c r="M12" s="24">
        <v>4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27" si="0">ROW()-11</f>
        <v>2</v>
      </c>
      <c r="B13" s="24" t="s">
        <v>275</v>
      </c>
      <c r="C13" s="24"/>
      <c r="D13" s="24">
        <v>67</v>
      </c>
      <c r="E13" s="24"/>
      <c r="F13" s="24"/>
      <c r="G13" s="24"/>
      <c r="H13" s="24"/>
      <c r="I13" s="24">
        <v>6.5</v>
      </c>
      <c r="J13" s="24">
        <v>5.5</v>
      </c>
      <c r="K13" s="24">
        <f t="shared" ref="K13:K27" si="1">L13+M13+R13</f>
        <v>13</v>
      </c>
      <c r="L13" s="24">
        <v>3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276</v>
      </c>
      <c r="C14" s="24"/>
      <c r="D14" s="24">
        <v>96</v>
      </c>
      <c r="E14" s="24"/>
      <c r="F14" s="24"/>
      <c r="G14" s="24"/>
      <c r="H14" s="24"/>
      <c r="I14" s="24">
        <v>5.5</v>
      </c>
      <c r="J14" s="24">
        <v>7.5</v>
      </c>
      <c r="K14" s="24">
        <f t="shared" si="1"/>
        <v>11</v>
      </c>
      <c r="L14" s="24">
        <v>4</v>
      </c>
      <c r="M14" s="24">
        <v>3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275</v>
      </c>
      <c r="C15" s="24"/>
      <c r="D15" s="24">
        <v>81</v>
      </c>
      <c r="E15" s="24"/>
      <c r="F15" s="24"/>
      <c r="G15" s="24"/>
      <c r="H15" s="24"/>
      <c r="I15" s="24">
        <v>6.5</v>
      </c>
      <c r="J15" s="24">
        <v>5.5</v>
      </c>
      <c r="K15" s="24">
        <f t="shared" si="1"/>
        <v>12</v>
      </c>
      <c r="L15" s="24">
        <v>3</v>
      </c>
      <c r="M15" s="24">
        <v>2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275</v>
      </c>
      <c r="C16" s="24"/>
      <c r="D16" s="24">
        <v>75</v>
      </c>
      <c r="E16" s="24"/>
      <c r="F16" s="24"/>
      <c r="G16" s="24"/>
      <c r="H16" s="24"/>
      <c r="I16" s="24">
        <v>4.5</v>
      </c>
      <c r="J16" s="24">
        <v>6.5</v>
      </c>
      <c r="K16" s="24">
        <f t="shared" si="1"/>
        <v>13</v>
      </c>
      <c r="L16" s="24">
        <v>3</v>
      </c>
      <c r="M16" s="24">
        <v>4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274</v>
      </c>
      <c r="C17" s="24"/>
      <c r="D17" s="24">
        <v>69</v>
      </c>
      <c r="E17" s="24"/>
      <c r="F17" s="24"/>
      <c r="G17" s="24"/>
      <c r="H17" s="24"/>
      <c r="I17" s="24">
        <v>6.5</v>
      </c>
      <c r="J17" s="24">
        <v>5.5</v>
      </c>
      <c r="K17" s="24">
        <f t="shared" si="1"/>
        <v>12</v>
      </c>
      <c r="L17" s="24">
        <v>3</v>
      </c>
      <c r="M17" s="24">
        <v>3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274</v>
      </c>
      <c r="C18" s="24"/>
      <c r="D18" s="24">
        <v>56</v>
      </c>
      <c r="E18" s="24"/>
      <c r="F18" s="24"/>
      <c r="G18" s="24"/>
      <c r="H18" s="24"/>
      <c r="I18" s="24">
        <v>4.5</v>
      </c>
      <c r="J18" s="24">
        <v>5.5</v>
      </c>
      <c r="K18" s="24">
        <f t="shared" si="1"/>
        <v>12</v>
      </c>
      <c r="L18" s="24">
        <v>3</v>
      </c>
      <c r="M18" s="24">
        <v>4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276</v>
      </c>
      <c r="C19" s="24"/>
      <c r="D19" s="24">
        <v>161</v>
      </c>
      <c r="E19" s="24"/>
      <c r="F19" s="24"/>
      <c r="G19" s="24"/>
      <c r="H19" s="24"/>
      <c r="I19" s="24">
        <v>6.5</v>
      </c>
      <c r="J19" s="24">
        <v>6.8</v>
      </c>
      <c r="K19" s="24">
        <f t="shared" si="1"/>
        <v>13</v>
      </c>
      <c r="L19" s="24">
        <v>5</v>
      </c>
      <c r="M19" s="24">
        <v>3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277</v>
      </c>
      <c r="C20" s="24"/>
      <c r="D20" s="24">
        <v>36</v>
      </c>
      <c r="E20" s="24"/>
      <c r="F20" s="24"/>
      <c r="G20" s="24"/>
      <c r="H20" s="24"/>
      <c r="I20" s="24">
        <v>4.5</v>
      </c>
      <c r="J20" s="24">
        <v>3.5</v>
      </c>
      <c r="K20" s="24">
        <f t="shared" si="1"/>
        <v>7</v>
      </c>
      <c r="L20" s="24">
        <v>3</v>
      </c>
      <c r="M20" s="24">
        <v>2</v>
      </c>
      <c r="N20" s="24"/>
      <c r="O20" s="24"/>
      <c r="P20" s="24"/>
      <c r="Q20" s="24"/>
      <c r="R20" s="24">
        <v>2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278</v>
      </c>
      <c r="C21" s="24"/>
      <c r="D21" s="24">
        <v>38</v>
      </c>
      <c r="E21" s="24"/>
      <c r="F21" s="24"/>
      <c r="G21" s="24"/>
      <c r="H21" s="24"/>
      <c r="I21" s="24">
        <v>4.2</v>
      </c>
      <c r="J21" s="24">
        <v>3.8</v>
      </c>
      <c r="K21" s="24">
        <f t="shared" si="1"/>
        <v>9</v>
      </c>
      <c r="L21" s="24">
        <v>3</v>
      </c>
      <c r="M21" s="24">
        <v>2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279</v>
      </c>
      <c r="C22" s="24"/>
      <c r="D22" s="24">
        <v>92</v>
      </c>
      <c r="E22" s="24"/>
      <c r="F22" s="24"/>
      <c r="G22" s="24"/>
      <c r="H22" s="24"/>
      <c r="I22" s="24">
        <v>6</v>
      </c>
      <c r="J22" s="24">
        <v>7</v>
      </c>
      <c r="K22" s="24">
        <f t="shared" si="1"/>
        <v>14</v>
      </c>
      <c r="L22" s="24">
        <v>3</v>
      </c>
      <c r="M22" s="24">
        <v>4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111</v>
      </c>
      <c r="E23" s="24"/>
      <c r="F23" s="24"/>
      <c r="G23" s="24"/>
      <c r="H23" s="24"/>
      <c r="I23" s="24">
        <v>7.5</v>
      </c>
      <c r="J23" s="24">
        <v>8</v>
      </c>
      <c r="K23" s="24">
        <f t="shared" si="1"/>
        <v>14.5</v>
      </c>
      <c r="L23" s="24">
        <v>4</v>
      </c>
      <c r="M23" s="24">
        <v>5</v>
      </c>
      <c r="N23" s="24"/>
      <c r="O23" s="24"/>
      <c r="P23" s="24"/>
      <c r="Q23" s="24"/>
      <c r="R23" s="24">
        <v>5.5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276</v>
      </c>
      <c r="C24" s="24"/>
      <c r="D24" s="24">
        <v>91</v>
      </c>
      <c r="E24" s="24"/>
      <c r="F24" s="24"/>
      <c r="G24" s="24"/>
      <c r="H24" s="24"/>
      <c r="I24" s="24">
        <v>6</v>
      </c>
      <c r="J24" s="24">
        <v>7</v>
      </c>
      <c r="K24" s="24">
        <f t="shared" si="1"/>
        <v>12</v>
      </c>
      <c r="L24" s="24">
        <v>3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107</v>
      </c>
      <c r="E25" s="24"/>
      <c r="F25" s="24"/>
      <c r="G25" s="24"/>
      <c r="H25" s="24"/>
      <c r="I25" s="24">
        <v>7</v>
      </c>
      <c r="J25" s="24">
        <v>5</v>
      </c>
      <c r="K25" s="24">
        <f t="shared" si="1"/>
        <v>12</v>
      </c>
      <c r="L25" s="24">
        <v>5</v>
      </c>
      <c r="M25" s="24">
        <v>4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39</v>
      </c>
      <c r="E26" s="24"/>
      <c r="F26" s="24"/>
      <c r="G26" s="24"/>
      <c r="H26" s="24"/>
      <c r="I26" s="24">
        <v>2.5</v>
      </c>
      <c r="J26" s="24">
        <v>3</v>
      </c>
      <c r="K26" s="24">
        <f t="shared" si="1"/>
        <v>8</v>
      </c>
      <c r="L26" s="24">
        <v>2</v>
      </c>
      <c r="M26" s="24">
        <v>3</v>
      </c>
      <c r="N26" s="24"/>
      <c r="O26" s="24"/>
      <c r="P26" s="24"/>
      <c r="Q26" s="24"/>
      <c r="R26" s="24">
        <v>3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280</v>
      </c>
      <c r="C27" s="24"/>
      <c r="D27" s="24">
        <v>43</v>
      </c>
      <c r="E27" s="24"/>
      <c r="F27" s="24"/>
      <c r="G27" s="24"/>
      <c r="H27" s="24"/>
      <c r="I27" s="24">
        <v>3.5</v>
      </c>
      <c r="J27" s="24">
        <v>3</v>
      </c>
      <c r="K27" s="24">
        <f t="shared" si="1"/>
        <v>8.5</v>
      </c>
      <c r="L27" s="24">
        <v>3</v>
      </c>
      <c r="M27" s="24">
        <v>3</v>
      </c>
      <c r="N27" s="24"/>
      <c r="O27" s="24"/>
      <c r="P27" s="24"/>
      <c r="Q27" s="24"/>
      <c r="R27" s="24">
        <v>2.5</v>
      </c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G9" sqref="G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285</v>
      </c>
      <c r="C5" s="12" t="s">
        <v>283</v>
      </c>
      <c r="D5" s="12">
        <v>6.6</v>
      </c>
      <c r="E5" s="12">
        <v>4.5</v>
      </c>
      <c r="F5" s="12" t="s">
        <v>311</v>
      </c>
      <c r="G5" s="12">
        <f>D5*E5</f>
        <v>29.7</v>
      </c>
      <c r="H5" s="12"/>
    </row>
    <row r="6" spans="1:8" ht="29.25" customHeight="1" x14ac:dyDescent="0.25">
      <c r="A6" s="11">
        <v>2</v>
      </c>
      <c r="B6" s="12" t="s">
        <v>275</v>
      </c>
      <c r="C6" s="12" t="s">
        <v>286</v>
      </c>
      <c r="D6" s="12">
        <v>4.8</v>
      </c>
      <c r="E6" s="12">
        <v>4</v>
      </c>
      <c r="F6" s="12" t="s">
        <v>313</v>
      </c>
      <c r="G6" s="12">
        <f t="shared" ref="G6:G7" si="0">D6*E6</f>
        <v>19.2</v>
      </c>
      <c r="H6" s="12"/>
    </row>
    <row r="7" spans="1:8" ht="29.25" customHeight="1" x14ac:dyDescent="0.25">
      <c r="A7" s="11">
        <v>3</v>
      </c>
      <c r="B7" s="12" t="s">
        <v>275</v>
      </c>
      <c r="C7" s="12" t="s">
        <v>286</v>
      </c>
      <c r="D7" s="12">
        <v>5.5</v>
      </c>
      <c r="E7" s="12">
        <v>3.8</v>
      </c>
      <c r="F7" s="12"/>
      <c r="G7" s="12">
        <f t="shared" si="0"/>
        <v>20.9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287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288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289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291</v>
      </c>
      <c r="C38" s="18"/>
      <c r="D38" s="18">
        <v>7.7</v>
      </c>
      <c r="E38" s="18">
        <v>5</v>
      </c>
      <c r="F38" s="18" t="s">
        <v>315</v>
      </c>
      <c r="G38" s="12">
        <f t="shared" ref="G38:G39" si="1">D38*E38</f>
        <v>38.5</v>
      </c>
      <c r="H38" s="18"/>
    </row>
    <row r="39" spans="1:8" ht="36" customHeight="1" x14ac:dyDescent="0.25">
      <c r="A39" s="11">
        <v>2</v>
      </c>
      <c r="B39" s="18" t="s">
        <v>274</v>
      </c>
      <c r="C39" s="18" t="s">
        <v>292</v>
      </c>
      <c r="D39" s="18">
        <v>5.8</v>
      </c>
      <c r="E39" s="18">
        <v>4</v>
      </c>
      <c r="F39" s="18" t="s">
        <v>316</v>
      </c>
      <c r="G39" s="12">
        <f t="shared" si="1"/>
        <v>23.2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293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294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295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296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276</v>
      </c>
      <c r="C69" s="11" t="s">
        <v>298</v>
      </c>
      <c r="D69" s="11">
        <v>7.1</v>
      </c>
      <c r="E69" s="11">
        <v>5.5</v>
      </c>
      <c r="F69" s="11" t="s">
        <v>313</v>
      </c>
      <c r="G69" s="12">
        <f t="shared" ref="G69:G72" si="2">D69*E69</f>
        <v>39.049999999999997</v>
      </c>
      <c r="H69" s="11"/>
    </row>
    <row r="70" spans="1:8" s="28" customFormat="1" ht="41.25" customHeight="1" x14ac:dyDescent="0.25">
      <c r="A70" s="11">
        <v>2</v>
      </c>
      <c r="B70" s="40" t="s">
        <v>297</v>
      </c>
      <c r="C70" s="11" t="s">
        <v>299</v>
      </c>
      <c r="D70" s="11">
        <v>6.4</v>
      </c>
      <c r="E70" s="11">
        <v>4.5</v>
      </c>
      <c r="F70" s="11" t="s">
        <v>312</v>
      </c>
      <c r="G70" s="12">
        <f t="shared" si="2"/>
        <v>28.8</v>
      </c>
      <c r="H70" s="11"/>
    </row>
    <row r="71" spans="1:8" s="28" customFormat="1" ht="41.25" customHeight="1" x14ac:dyDescent="0.25">
      <c r="A71" s="11">
        <v>3</v>
      </c>
      <c r="B71" s="40" t="s">
        <v>297</v>
      </c>
      <c r="C71" s="11" t="s">
        <v>299</v>
      </c>
      <c r="D71" s="11">
        <v>5.9</v>
      </c>
      <c r="E71" s="11">
        <v>4.5</v>
      </c>
      <c r="F71" s="11" t="s">
        <v>313</v>
      </c>
      <c r="G71" s="12">
        <f t="shared" si="2"/>
        <v>26.55</v>
      </c>
      <c r="H71" s="11"/>
    </row>
    <row r="72" spans="1:8" s="28" customFormat="1" ht="41.25" customHeight="1" x14ac:dyDescent="0.25">
      <c r="A72" s="11">
        <v>4</v>
      </c>
      <c r="B72" s="40" t="s">
        <v>297</v>
      </c>
      <c r="C72" s="11" t="s">
        <v>299</v>
      </c>
      <c r="D72" s="11">
        <v>4.2</v>
      </c>
      <c r="E72" s="11">
        <v>3.8</v>
      </c>
      <c r="F72" s="11"/>
      <c r="G72" s="12">
        <f t="shared" si="2"/>
        <v>15.959999999999999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280</v>
      </c>
      <c r="C96" s="11" t="s">
        <v>300</v>
      </c>
      <c r="D96" s="41">
        <v>6.2</v>
      </c>
      <c r="E96" s="42">
        <v>3.5</v>
      </c>
      <c r="F96" s="89" t="s">
        <v>314</v>
      </c>
      <c r="G96" s="12">
        <f>D96*E96</f>
        <v>21.7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281</v>
      </c>
      <c r="C6" s="45" t="s">
        <v>282</v>
      </c>
      <c r="D6" s="18">
        <v>25</v>
      </c>
      <c r="E6" s="18" t="s">
        <v>312</v>
      </c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281</v>
      </c>
      <c r="C7" s="45" t="s">
        <v>282</v>
      </c>
      <c r="D7" s="18">
        <v>34</v>
      </c>
      <c r="E7" s="18" t="s">
        <v>313</v>
      </c>
      <c r="F7" s="18">
        <f t="shared" ref="F7:F9" si="0">0.05*(D7)*(D7)</f>
        <v>57.800000000000004</v>
      </c>
      <c r="G7" s="18"/>
    </row>
    <row r="8" spans="1:7" ht="45.6" customHeight="1" x14ac:dyDescent="0.25">
      <c r="A8" s="11">
        <v>3</v>
      </c>
      <c r="B8" s="18" t="s">
        <v>281</v>
      </c>
      <c r="C8" s="45" t="s">
        <v>282</v>
      </c>
      <c r="D8" s="18">
        <v>31</v>
      </c>
      <c r="E8" s="18"/>
      <c r="F8" s="18">
        <f t="shared" si="0"/>
        <v>48.050000000000004</v>
      </c>
      <c r="G8" s="18"/>
    </row>
    <row r="9" spans="1:7" ht="45.6" customHeight="1" x14ac:dyDescent="0.25">
      <c r="A9" s="11">
        <v>4</v>
      </c>
      <c r="B9" s="18" t="s">
        <v>278</v>
      </c>
      <c r="C9" s="45" t="s">
        <v>283</v>
      </c>
      <c r="D9" s="18">
        <v>38</v>
      </c>
      <c r="E9" s="18" t="s">
        <v>311</v>
      </c>
      <c r="F9" s="18">
        <f t="shared" si="0"/>
        <v>72.2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277</v>
      </c>
      <c r="C39" s="48" t="s">
        <v>284</v>
      </c>
      <c r="D39" s="41">
        <v>17</v>
      </c>
      <c r="E39" s="89" t="s">
        <v>310</v>
      </c>
      <c r="F39" s="18">
        <f t="shared" ref="F39:F40" si="1">0.05*(D39)*(D39)</f>
        <v>14.450000000000001</v>
      </c>
      <c r="G39" s="23"/>
    </row>
    <row r="40" spans="1:7" s="28" customFormat="1" ht="45.6" customHeight="1" x14ac:dyDescent="0.25">
      <c r="A40" s="41">
        <v>2</v>
      </c>
      <c r="B40" s="23" t="s">
        <v>277</v>
      </c>
      <c r="C40" s="48" t="s">
        <v>284</v>
      </c>
      <c r="D40" s="41">
        <v>21</v>
      </c>
      <c r="E40" s="89" t="s">
        <v>310</v>
      </c>
      <c r="F40" s="18">
        <f t="shared" si="1"/>
        <v>22.05</v>
      </c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247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2024-06-17T08:29:16Z</dcterms:modified>
</cp:coreProperties>
</file>