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\II-13\"/>
    </mc:Choice>
  </mc:AlternateContent>
  <xr:revisionPtr revIDLastSave="0" documentId="13_ncr:1_{1E9F8386-B80D-420E-BBF4-3EEA342AF8BB}" xr6:coauthVersionLast="47" xr6:coauthVersionMax="47" xr10:uidLastSave="{00000000-0000-0000-0000-000000000000}"/>
  <bookViews>
    <workbookView xWindow="390" yWindow="210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3" i="8" l="1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" i="8"/>
  <c r="G5" i="8"/>
  <c r="F9" i="9"/>
  <c r="F8" i="9"/>
  <c r="F7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<sst xmlns="http://schemas.openxmlformats.org/spreadsheetml/2006/main" count="468" uniqueCount="333">
  <si>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</si>
  <si>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</si>
  <si>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</si>
  <si>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</si>
  <si>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</si>
  <si>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</si>
  <si>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</si>
  <si>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</si>
  <si>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</si>
  <si>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</si>
  <si>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</si>
  <si>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</si>
  <si>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</si>
  <si>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</si>
  <si>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</si>
  <si>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</si>
  <si>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</si>
  <si>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</si>
  <si>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</si>
  <si>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</si>
  <si>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</si>
  <si>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</si>
  <si>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</si>
  <si>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</si>
  <si>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</si>
  <si>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</si>
  <si>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</si>
  <si>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</si>
  <si>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</si>
  <si>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</si>
  <si>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</si>
  <si>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</si>
  <si>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</si>
  <si>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</si>
  <si>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</si>
  <si>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</si>
  <si>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</si>
  <si>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</si>
  <si>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</si>
  <si>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</si>
  <si>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</si>
  <si>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</si>
  <si>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</si>
  <si>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</si>
  <si>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</si>
  <si>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</si>
  <si>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</si>
  <si>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</si>
  <si>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</si>
  <si>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</si>
  <si>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</si>
  <si>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</si>
  <si>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</si>
  <si>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</si>
  <si>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</si>
  <si>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</si>
  <si>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</si>
  <si>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</si>
  <si>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</si>
  <si>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</si>
  <si>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</si>
  <si>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</si>
  <si>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</si>
  <si>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</si>
  <si>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</si>
  <si>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</si>
  <si>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</si>
  <si>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</si>
  <si>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</si>
  <si>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</si>
  <si>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</si>
  <si>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</si>
  <si>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</si>
  <si>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</si>
  <si>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</si>
  <si>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</si>
  <si>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</si>
  <si>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</si>
  <si>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</si>
  <si>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</si>
  <si>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</si>
  <si>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</si>
  <si>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</si>
  <si>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</si>
  <si>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</si>
  <si>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</si>
  <si>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</si>
  <si>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</si>
  <si>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</si>
  <si>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</si>
  <si>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</si>
  <si>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</si>
  <si>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</si>
  <si>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</si>
  <si>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</si>
  <si>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</si>
  <si>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</si>
  <si>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</si>
  <si>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</si>
  <si>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</si>
  <si>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</si>
  <si>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</si>
  <si>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</si>
  <si>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</si>
  <si>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</si>
  <si>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</si>
  <si>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</si>
  <si>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</si>
  <si>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</si>
  <si>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</si>
  <si>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</si>
  <si>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</si>
  <si>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</si>
  <si>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</si>
  <si>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</si>
  <si>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</si>
  <si>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</si>
  <si>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</si>
  <si>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</si>
  <si>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</si>
  <si>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</si>
  <si>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</si>
  <si>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</si>
  <si>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</si>
  <si>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</si>
  <si>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</si>
  <si>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</si>
  <si>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</si>
  <si>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</si>
  <si>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</si>
  <si>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</si>
  <si>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</si>
  <si>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</si>
  <si>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</si>
  <si>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</si>
  <si>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</si>
  <si>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</si>
  <si>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</si>
  <si>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</si>
  <si>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</si>
  <si>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</si>
  <si>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</si>
  <si>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</si>
  <si>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</si>
  <si>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</si>
  <si>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</si>
  <si>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</si>
  <si>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</si>
  <si>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</si>
  <si>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</si>
  <si>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</si>
  <si>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</si>
  <si>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</si>
  <si>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</si>
  <si>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</si>
  <si>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</si>
  <si>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</si>
  <si>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</si>
  <si>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</si>
  <si>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</si>
  <si>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</si>
  <si>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</si>
  <si>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</si>
  <si>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</si>
  <si>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</si>
  <si>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</si>
  <si>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</si>
  <si>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</si>
  <si>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</si>
  <si>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</si>
  <si>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</si>
  <si>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</si>
  <si>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</si>
  <si>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</si>
  <si>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</si>
  <si>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</si>
  <si>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</si>
  <si>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</si>
  <si>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</si>
  <si>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</si>
  <si>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</si>
  <si>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</si>
  <si>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</si>
  <si>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</si>
  <si>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</si>
  <si>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</si>
  <si>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</si>
  <si>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</si>
  <si>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</si>
  <si>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</si>
  <si>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</si>
  <si>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</si>
  <si>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</si>
  <si>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</si>
  <si>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</si>
  <si>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</si>
  <si>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</si>
  <si>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</si>
  <si>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</si>
  <si>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</si>
  <si>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</si>
  <si>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</si>
  <si>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</si>
  <si>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</si>
  <si>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</si>
  <si>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</si>
  <si>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</si>
  <si>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</si>
  <si>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</si>
  <si>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</si>
  <si>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</si>
  <si>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</si>
  <si>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</si>
  <si>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</si>
  <si>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</si>
  <si>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</si>
  <si>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</si>
  <si>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</si>
  <si>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</si>
  <si>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</si>
  <si>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</si>
  <si>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</si>
  <si>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</si>
  <si>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</si>
  <si>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</si>
  <si>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</si>
  <si>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</si>
  <si>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</si>
  <si>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</si>
  <si>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</si>
  <si>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</si>
  <si>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</si>
  <si>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</si>
  <si>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</si>
  <si>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</si>
  <si>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</si>
  <si>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</si>
  <si>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</si>
  <si>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</si>
  <si>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</si>
  <si>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</si>
  <si>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</si>
  <si>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</si>
  <si>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Travel from dharmasthala to Boltiyar by vehicle upto N.12.931159 E.75.389498 in the bearing of 298 degree </t>
  </si>
  <si>
    <t>Tract - Undulating</t>
  </si>
  <si>
    <t>Aspect - No fixed</t>
  </si>
  <si>
    <t>Canopy Dencity - 0.6</t>
  </si>
  <si>
    <t>Soil - Clayey loam</t>
  </si>
  <si>
    <t xml:space="preserve">Weeds - Hiptis saulvensis, Alternaria sp, Ziziphus oenoplia </t>
  </si>
  <si>
    <t xml:space="preserve">Alseodaphne semicarpifolia, Lopophotalum whitianu, Terminalia bellarica Macaranga peltata </t>
  </si>
  <si>
    <t>Shrubs - Alseodaphne semicarpifolia , Lopophotalum whitianu, Ficus spp</t>
  </si>
  <si>
    <t xml:space="preserve">Underwood species – Leea indica Xylia xylocarpa Tabernamontana heyneana </t>
  </si>
  <si>
    <t xml:space="preserve">Climbers -Jasminum malabaricum Piper nigrum </t>
  </si>
  <si>
    <t xml:space="preserve">NTFP yieding sps –  Garcinia indica </t>
  </si>
  <si>
    <t>Rubber plantation</t>
  </si>
  <si>
    <t>Heavy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</si>
  <si>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</si>
  <si>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</si>
  <si>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</si>
  <si>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</t>
    </r>
    <r>
      <rPr>
        <b/>
        <sz val="12"/>
        <rFont val="Times New Roman"/>
        <family val="1"/>
      </rPr>
      <t>/4°-15°</t>
    </r>
    <r>
      <rPr>
        <sz val="12"/>
        <rFont val="Times New Roman"/>
        <family val="1"/>
      </rPr>
      <t>/ 16°-40°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</si>
  <si>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</si>
  <si>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Texture- Silty loam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</si>
  <si>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</si>
  <si>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</si>
  <si>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</si>
  <si>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</si>
  <si>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</si>
  <si>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 xml:space="preserve">Buchanania lanzan Terminalia bellarica Terminalia paniculata 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</si>
  <si>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</si>
  <si>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</si>
  <si>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</si>
  <si>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</si>
  <si>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0.5-0.75</t>
  </si>
  <si>
    <t xml:space="preserve">Catunaregam spinosa </t>
  </si>
  <si>
    <t xml:space="preserve">Terminalia paniculata </t>
  </si>
  <si>
    <t>Limnonia ascedissima</t>
  </si>
  <si>
    <t xml:space="preserve">Macaranga peltata </t>
  </si>
  <si>
    <t xml:space="preserve"> Garcinia indica </t>
  </si>
  <si>
    <t>Swetenia mahogany</t>
  </si>
  <si>
    <t xml:space="preserve">Terminalia bellarica </t>
  </si>
  <si>
    <t xml:space="preserve">Aporosa lindleyana </t>
  </si>
  <si>
    <t xml:space="preserve">Holigarna arnattiana </t>
  </si>
  <si>
    <t xml:space="preserve">Xylia xylocarpa </t>
  </si>
  <si>
    <t>Terminalia paniculata</t>
  </si>
  <si>
    <t xml:space="preserve">Carallia brachiata </t>
  </si>
  <si>
    <t xml:space="preserve">Callicarpa tomentosa </t>
  </si>
  <si>
    <t>120g</t>
  </si>
  <si>
    <t>1.1kg</t>
  </si>
  <si>
    <t>Nil</t>
  </si>
  <si>
    <t>800g</t>
  </si>
  <si>
    <t>1.3kg</t>
  </si>
  <si>
    <t xml:space="preserve">Tabernamontana heyneana </t>
  </si>
  <si>
    <t xml:space="preserve">Olea dioca </t>
  </si>
  <si>
    <t>Swetenia mahoganhy</t>
  </si>
  <si>
    <t xml:space="preserve">Buchanania lanzan </t>
  </si>
  <si>
    <t xml:space="preserve">Alseodaphne semicarpifolia </t>
  </si>
  <si>
    <t>Ptercarpus marsupium</t>
  </si>
  <si>
    <t xml:space="preserve">Psychotria flavida </t>
  </si>
  <si>
    <t>Koliballi</t>
  </si>
  <si>
    <t>koliballi</t>
  </si>
  <si>
    <t xml:space="preserve">Rubber plantation </t>
  </si>
  <si>
    <t>Belthangady</t>
  </si>
  <si>
    <t>Dharmastala mundaje RF X B</t>
  </si>
  <si>
    <t>II-13</t>
  </si>
  <si>
    <t>1.3m</t>
  </si>
  <si>
    <t>Rattans –NIL</t>
  </si>
  <si>
    <t>Herbs -NIL</t>
  </si>
  <si>
    <t>Bamboos -NIL</t>
  </si>
  <si>
    <t>Grasses -NIL</t>
  </si>
  <si>
    <t>347 ft</t>
  </si>
  <si>
    <t>NIL</t>
  </si>
  <si>
    <t>Microbes and Insects</t>
  </si>
  <si>
    <t>Mangalore</t>
  </si>
  <si>
    <t xml:space="preserve">Ficus hispida </t>
  </si>
  <si>
    <t>Pandavara Batti</t>
  </si>
  <si>
    <t>Salle</t>
  </si>
  <si>
    <t>Maddarasa</t>
  </si>
  <si>
    <t>Jambe</t>
  </si>
  <si>
    <t>Akkerakalu</t>
  </si>
  <si>
    <t>Mahogony</t>
  </si>
  <si>
    <t>Nurukalu</t>
  </si>
  <si>
    <t>Neltare</t>
  </si>
  <si>
    <t>Honne</t>
  </si>
  <si>
    <t>Kaadu coffee</t>
  </si>
  <si>
    <t xml:space="preserve">Allophylus cobbe </t>
  </si>
  <si>
    <t>Kasa Balli</t>
  </si>
  <si>
    <t>1.5kg</t>
  </si>
  <si>
    <t>leaves</t>
  </si>
  <si>
    <t xml:space="preserve">Fruits, Fiber </t>
  </si>
  <si>
    <t>seeds</t>
  </si>
  <si>
    <t xml:space="preserve">Bark , seeds </t>
  </si>
  <si>
    <t xml:space="preserve">Fruits, Leaves  </t>
  </si>
  <si>
    <t xml:space="preserve">fruit pulp, seed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</si>
</sst>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301</v>
      </c>
    </row>
    <row r="6" spans="1:3" ht="39" customHeight="1" x14ac:dyDescent="0.25">
      <c r="A6" s="4">
        <v>2</v>
      </c>
      <c r="B6" s="51" t="s">
        <v>7</v>
      </c>
      <c r="C6" s="8" t="s">
        <v>302</v>
      </c>
    </row>
    <row r="7" spans="1:3" ht="39" customHeight="1" x14ac:dyDescent="0.25">
      <c r="A7" s="4">
        <v>3</v>
      </c>
      <c r="B7" s="51" t="s">
        <v>8</v>
      </c>
      <c r="C7" s="8" t="s">
        <v>303</v>
      </c>
    </row>
    <row r="8" spans="1:3" ht="39" customHeight="1" x14ac:dyDescent="0.25">
      <c r="A8" s="4">
        <v>4</v>
      </c>
      <c r="B8" s="51" t="s">
        <v>9</v>
      </c>
      <c r="C8" s="8">
        <v>5658</v>
      </c>
    </row>
    <row r="9" spans="1:3" ht="39" customHeight="1" x14ac:dyDescent="0.25">
      <c r="A9" s="4">
        <v>5</v>
      </c>
      <c r="B9" s="51" t="s">
        <v>10</v>
      </c>
      <c r="C9" s="9">
        <v>12.931397</v>
      </c>
    </row>
    <row r="10" spans="1:3" ht="39" customHeight="1" x14ac:dyDescent="0.25">
      <c r="A10" s="4">
        <v>6</v>
      </c>
      <c r="B10" s="51" t="s">
        <v>11</v>
      </c>
      <c r="C10" s="9">
        <v>75.388992999999999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249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245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308</v>
      </c>
    </row>
    <row r="18" spans="1:3" ht="32.25" customHeight="1" x14ac:dyDescent="0.25">
      <c r="A18" s="54"/>
      <c r="B18" s="55"/>
      <c r="C18" s="6" t="s">
        <v>248</v>
      </c>
    </row>
    <row r="19" spans="1:3" ht="32.25" customHeight="1" x14ac:dyDescent="0.25">
      <c r="A19" s="54"/>
      <c r="B19" s="55"/>
      <c r="C19" s="6" t="s">
        <v>307</v>
      </c>
    </row>
    <row r="20" spans="1:3" ht="57.75" customHeight="1" x14ac:dyDescent="0.25">
      <c r="A20" s="54"/>
      <c r="B20" s="55"/>
      <c r="C20" s="6" t="s">
        <v>306</v>
      </c>
    </row>
    <row r="21" spans="1:3" ht="63" customHeight="1" x14ac:dyDescent="0.25">
      <c r="A21" s="54"/>
      <c r="B21" s="55"/>
      <c r="C21" s="6" t="s">
        <v>250</v>
      </c>
    </row>
    <row r="22" spans="1:3" ht="63" customHeight="1" x14ac:dyDescent="0.25">
      <c r="A22" s="54"/>
      <c r="B22" s="55"/>
      <c r="C22" s="6" t="s">
        <v>251</v>
      </c>
    </row>
    <row r="23" spans="1:3" ht="63" customHeight="1" x14ac:dyDescent="0.25">
      <c r="A23" s="54"/>
      <c r="B23" s="55"/>
      <c r="C23" s="6" t="s">
        <v>252</v>
      </c>
    </row>
    <row r="24" spans="1:3" ht="63" customHeight="1" x14ac:dyDescent="0.25">
      <c r="A24" s="54"/>
      <c r="B24" s="55"/>
      <c r="C24" s="6" t="s">
        <v>305</v>
      </c>
    </row>
    <row r="25" spans="1:3" ht="63" customHeight="1" x14ac:dyDescent="0.25">
      <c r="A25" s="54"/>
      <c r="B25" s="55"/>
      <c r="C25" s="6" t="s">
        <v>253</v>
      </c>
    </row>
    <row r="26" spans="1:3" ht="49.5" customHeight="1" x14ac:dyDescent="0.25">
      <c r="A26" s="4">
        <v>10</v>
      </c>
      <c r="B26" s="51" t="s">
        <v>15</v>
      </c>
      <c r="C26" s="6" t="s">
        <v>254</v>
      </c>
    </row>
    <row r="27" spans="1:3" ht="53.25" customHeight="1" x14ac:dyDescent="0.25">
      <c r="A27" s="4">
        <v>11</v>
      </c>
      <c r="B27" s="51" t="s">
        <v>16</v>
      </c>
      <c r="C27" s="6" t="s">
        <v>255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304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</v>
      </c>
    </row>
    <row r="8" spans="1:3" ht="32.25" customHeight="1" x14ac:dyDescent="0.25">
      <c r="A8" s="11">
        <v>4</v>
      </c>
      <c r="B8" s="52" t="s">
        <v>9</v>
      </c>
      <c r="C8" s="20">
        <f>'Form 1'!C8</f>
        <v>5658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12.931397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75.388992999999999</v>
      </c>
    </row>
    <row r="11" spans="1:3" ht="32.25" customHeight="1" x14ac:dyDescent="0.25">
      <c r="A11" s="11">
        <v>7</v>
      </c>
      <c r="B11" s="52" t="s">
        <v>22</v>
      </c>
      <c r="C11" s="20" t="s">
        <v>309</v>
      </c>
    </row>
    <row r="12" spans="1:3" ht="43.5" customHeight="1" x14ac:dyDescent="0.25">
      <c r="A12" s="11">
        <v>8</v>
      </c>
      <c r="B12" s="52" t="s">
        <v>23</v>
      </c>
      <c r="C12" s="20" t="s">
        <v>256</v>
      </c>
    </row>
    <row r="13" spans="1:3" ht="43.5" customHeight="1" x14ac:dyDescent="0.25">
      <c r="A13" s="11">
        <v>9</v>
      </c>
      <c r="B13" s="52" t="s">
        <v>24</v>
      </c>
      <c r="C13" s="20" t="s">
        <v>257</v>
      </c>
    </row>
    <row r="14" spans="1:3" ht="38.25" customHeight="1" x14ac:dyDescent="0.25">
      <c r="A14" s="11">
        <v>10</v>
      </c>
      <c r="B14" s="52" t="s">
        <v>25</v>
      </c>
      <c r="C14" s="20" t="s">
        <v>258</v>
      </c>
    </row>
    <row r="15" spans="1:3" ht="25.5" customHeight="1" x14ac:dyDescent="0.25">
      <c r="A15" s="11">
        <v>11</v>
      </c>
      <c r="B15" s="52" t="s">
        <v>26</v>
      </c>
      <c r="C15" s="22" t="s">
        <v>259</v>
      </c>
    </row>
    <row r="16" spans="1:3" ht="37.5" customHeight="1" x14ac:dyDescent="0.25">
      <c r="A16" s="11">
        <v>12</v>
      </c>
      <c r="B16" s="52" t="s">
        <v>27</v>
      </c>
      <c r="C16" s="22" t="s">
        <v>260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261</v>
      </c>
    </row>
    <row r="19" spans="1:3" ht="30.75" customHeight="1" x14ac:dyDescent="0.25">
      <c r="A19" s="57"/>
      <c r="B19" s="58"/>
      <c r="C19" s="22" t="s">
        <v>262</v>
      </c>
    </row>
    <row r="20" spans="1:3" ht="30.75" customHeight="1" x14ac:dyDescent="0.25">
      <c r="A20" s="57"/>
      <c r="B20" s="58"/>
      <c r="C20" s="23" t="s">
        <v>263</v>
      </c>
    </row>
    <row r="21" spans="1:3" ht="36" customHeight="1" x14ac:dyDescent="0.25">
      <c r="A21" s="11">
        <v>15</v>
      </c>
      <c r="B21" s="52" t="s">
        <v>31</v>
      </c>
      <c r="C21" s="22" t="s">
        <v>264</v>
      </c>
    </row>
    <row r="22" spans="1:3" ht="54.75" customHeight="1" x14ac:dyDescent="0.25">
      <c r="A22" s="11">
        <v>16</v>
      </c>
      <c r="B22" s="52" t="s">
        <v>32</v>
      </c>
      <c r="C22" s="22" t="s">
        <v>267</v>
      </c>
    </row>
    <row r="23" spans="1:3" ht="15.75" x14ac:dyDescent="0.25">
      <c r="A23" s="11">
        <v>17</v>
      </c>
      <c r="B23" s="52" t="s">
        <v>221</v>
      </c>
      <c r="C23" s="22" t="s">
        <v>265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311</v>
      </c>
    </row>
    <row r="26" spans="1:3" ht="30" customHeight="1" x14ac:dyDescent="0.25">
      <c r="A26" s="11">
        <v>20</v>
      </c>
      <c r="B26" s="52" t="s">
        <v>35</v>
      </c>
      <c r="C26" s="23" t="s">
        <v>268</v>
      </c>
    </row>
    <row r="27" spans="1:3" ht="30" customHeight="1" x14ac:dyDescent="0.25">
      <c r="A27" s="11">
        <v>21</v>
      </c>
      <c r="B27" s="52" t="s">
        <v>36</v>
      </c>
      <c r="C27" s="22" t="s">
        <v>269</v>
      </c>
    </row>
    <row r="28" spans="1:3" ht="30" customHeight="1" x14ac:dyDescent="0.25">
      <c r="A28" s="11">
        <v>22</v>
      </c>
      <c r="B28" s="52" t="s">
        <v>37</v>
      </c>
      <c r="C28" s="22" t="s">
        <v>270</v>
      </c>
    </row>
    <row r="29" spans="1:3" ht="32.25" customHeight="1" x14ac:dyDescent="0.25">
      <c r="A29" s="11">
        <v>23</v>
      </c>
      <c r="B29" s="52" t="s">
        <v>38</v>
      </c>
      <c r="C29" s="22" t="s">
        <v>270</v>
      </c>
    </row>
    <row r="30" spans="1:3" ht="62.25" customHeight="1" x14ac:dyDescent="0.25">
      <c r="A30" s="11">
        <v>24</v>
      </c>
      <c r="B30" s="52" t="s">
        <v>39</v>
      </c>
      <c r="C30" s="22" t="s">
        <v>310</v>
      </c>
    </row>
    <row r="31" spans="1:3" ht="72.75" customHeight="1" x14ac:dyDescent="0.25">
      <c r="A31" s="11">
        <v>25</v>
      </c>
      <c r="B31" s="52" t="s">
        <v>40</v>
      </c>
      <c r="C31" s="22" t="s">
        <v>310</v>
      </c>
    </row>
    <row r="32" spans="1:3" ht="60" customHeight="1" x14ac:dyDescent="0.25">
      <c r="A32" s="11">
        <v>26</v>
      </c>
      <c r="B32" s="52" t="s">
        <v>41</v>
      </c>
      <c r="C32" s="22" t="s">
        <v>310</v>
      </c>
    </row>
    <row r="33" spans="1:3" ht="60" customHeight="1" x14ac:dyDescent="0.25">
      <c r="A33" s="11">
        <v>27</v>
      </c>
      <c r="B33" s="52" t="s">
        <v>42</v>
      </c>
      <c r="C33" s="20" t="s">
        <v>271</v>
      </c>
    </row>
    <row r="34" spans="1:3" ht="57.75" customHeight="1" x14ac:dyDescent="0.25">
      <c r="A34" s="11">
        <v>28</v>
      </c>
      <c r="B34" s="52" t="s">
        <v>43</v>
      </c>
      <c r="C34" s="22" t="s">
        <v>310</v>
      </c>
    </row>
    <row r="35" spans="1:3" ht="59.25" customHeight="1" x14ac:dyDescent="0.25">
      <c r="A35" s="11">
        <v>29</v>
      </c>
      <c r="B35" s="52" t="s">
        <v>44</v>
      </c>
      <c r="C35" s="22" t="s">
        <v>310</v>
      </c>
    </row>
    <row r="36" spans="1:3" ht="66" customHeight="1" x14ac:dyDescent="0.25">
      <c r="A36" s="11">
        <v>30</v>
      </c>
      <c r="B36" s="52" t="s">
        <v>225</v>
      </c>
      <c r="C36" s="22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8" zoomScale="60" zoomScaleNormal="70" workbookViewId="0">
      <selection activeCell="N18" sqref="N18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273</v>
      </c>
      <c r="C12" s="24"/>
      <c r="D12" s="24">
        <v>42</v>
      </c>
      <c r="E12" s="24"/>
      <c r="F12" s="24"/>
      <c r="G12" s="24"/>
      <c r="H12" s="24"/>
      <c r="I12" s="24">
        <v>4</v>
      </c>
      <c r="J12" s="24">
        <v>4</v>
      </c>
      <c r="K12" s="24">
        <f>L12+M12+R12</f>
        <v>6.7</v>
      </c>
      <c r="L12" s="24">
        <v>3</v>
      </c>
      <c r="M12" s="24">
        <v>1.2</v>
      </c>
      <c r="N12" s="24"/>
      <c r="O12" s="24"/>
      <c r="P12" s="24"/>
      <c r="Q12" s="24"/>
      <c r="R12" s="19">
        <v>2.5</v>
      </c>
      <c r="S12" s="24"/>
      <c r="T12" s="24"/>
    </row>
    <row r="13" spans="1:20" ht="40.5" customHeight="1" x14ac:dyDescent="0.25">
      <c r="A13" s="24">
        <v>2</v>
      </c>
      <c r="B13" s="24" t="s">
        <v>274</v>
      </c>
      <c r="C13" s="24"/>
      <c r="D13" s="24">
        <v>287</v>
      </c>
      <c r="E13" s="24"/>
      <c r="F13" s="24"/>
      <c r="G13" s="24"/>
      <c r="H13" s="24"/>
      <c r="I13" s="24">
        <v>8</v>
      </c>
      <c r="J13" s="24">
        <v>7</v>
      </c>
      <c r="K13" s="24">
        <f t="shared" ref="K13:K27" si="0">L13+M13+R13</f>
        <v>16</v>
      </c>
      <c r="L13" s="24">
        <v>6</v>
      </c>
      <c r="M13" s="24">
        <v>5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v>3</v>
      </c>
      <c r="B14" s="24" t="s">
        <v>275</v>
      </c>
      <c r="C14" s="24"/>
      <c r="D14" s="24">
        <v>47</v>
      </c>
      <c r="E14" s="24"/>
      <c r="F14" s="24"/>
      <c r="G14" s="24"/>
      <c r="H14" s="24"/>
      <c r="I14" s="24">
        <v>6</v>
      </c>
      <c r="J14" s="24">
        <v>7</v>
      </c>
      <c r="K14" s="24">
        <f t="shared" si="0"/>
        <v>13.5</v>
      </c>
      <c r="L14" s="24">
        <v>7</v>
      </c>
      <c r="M14" s="24">
        <v>4</v>
      </c>
      <c r="N14" s="24"/>
      <c r="O14" s="24"/>
      <c r="P14" s="24"/>
      <c r="Q14" s="24"/>
      <c r="R14" s="24">
        <v>2.5</v>
      </c>
      <c r="S14" s="24"/>
      <c r="T14" s="24"/>
    </row>
    <row r="15" spans="1:20" ht="40.5" customHeight="1" x14ac:dyDescent="0.25">
      <c r="A15" s="24">
        <v>4</v>
      </c>
      <c r="B15" s="24" t="s">
        <v>276</v>
      </c>
      <c r="C15" s="24"/>
      <c r="D15" s="24">
        <v>117</v>
      </c>
      <c r="E15" s="24"/>
      <c r="F15" s="24"/>
      <c r="G15" s="24"/>
      <c r="H15" s="24"/>
      <c r="I15" s="24">
        <v>6</v>
      </c>
      <c r="J15" s="24">
        <v>5.5</v>
      </c>
      <c r="K15" s="24">
        <f t="shared" si="0"/>
        <v>14</v>
      </c>
      <c r="L15" s="24">
        <v>5</v>
      </c>
      <c r="M15" s="24">
        <v>2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25">
      <c r="A16" s="24">
        <v>5</v>
      </c>
      <c r="B16" s="24" t="s">
        <v>277</v>
      </c>
      <c r="C16" s="24"/>
      <c r="D16" s="24">
        <v>58</v>
      </c>
      <c r="E16" s="24"/>
      <c r="F16" s="24"/>
      <c r="G16" s="24"/>
      <c r="H16" s="24"/>
      <c r="I16" s="24">
        <v>6</v>
      </c>
      <c r="J16" s="24">
        <v>7</v>
      </c>
      <c r="K16" s="24">
        <f t="shared" si="0"/>
        <v>11</v>
      </c>
      <c r="L16" s="24">
        <v>5</v>
      </c>
      <c r="M16" s="24">
        <v>2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v>6</v>
      </c>
      <c r="B17" s="24" t="s">
        <v>278</v>
      </c>
      <c r="C17" s="24"/>
      <c r="D17" s="24">
        <v>65</v>
      </c>
      <c r="E17" s="24"/>
      <c r="F17" s="24"/>
      <c r="G17" s="24"/>
      <c r="H17" s="24"/>
      <c r="I17" s="24">
        <v>5</v>
      </c>
      <c r="J17" s="24">
        <v>6</v>
      </c>
      <c r="K17" s="24">
        <f t="shared" si="0"/>
        <v>14</v>
      </c>
      <c r="L17" s="24">
        <v>5</v>
      </c>
      <c r="M17" s="24">
        <v>3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v>7</v>
      </c>
      <c r="B18" s="24" t="s">
        <v>279</v>
      </c>
      <c r="C18" s="24"/>
      <c r="D18" s="24">
        <v>261</v>
      </c>
      <c r="E18" s="24"/>
      <c r="F18" s="24"/>
      <c r="G18" s="24"/>
      <c r="H18" s="24"/>
      <c r="I18" s="24">
        <v>11</v>
      </c>
      <c r="J18" s="24">
        <v>13</v>
      </c>
      <c r="K18" s="24">
        <f t="shared" si="0"/>
        <v>19</v>
      </c>
      <c r="L18" s="24">
        <v>5</v>
      </c>
      <c r="M18" s="24">
        <v>5</v>
      </c>
      <c r="N18" s="24"/>
      <c r="O18" s="24"/>
      <c r="P18" s="24"/>
      <c r="Q18" s="24"/>
      <c r="R18" s="24">
        <v>9</v>
      </c>
      <c r="S18" s="24"/>
      <c r="T18" s="24"/>
    </row>
    <row r="19" spans="1:20" ht="40.5" customHeight="1" x14ac:dyDescent="0.25">
      <c r="A19" s="24">
        <v>8</v>
      </c>
      <c r="B19" s="24" t="s">
        <v>278</v>
      </c>
      <c r="C19" s="24"/>
      <c r="D19" s="24">
        <v>67</v>
      </c>
      <c r="E19" s="24"/>
      <c r="F19" s="24"/>
      <c r="G19" s="24"/>
      <c r="H19" s="24"/>
      <c r="I19" s="24">
        <v>5</v>
      </c>
      <c r="J19" s="24">
        <v>7</v>
      </c>
      <c r="K19" s="24">
        <f t="shared" si="0"/>
        <v>16</v>
      </c>
      <c r="L19" s="24">
        <v>5</v>
      </c>
      <c r="M19" s="24">
        <v>4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v>9</v>
      </c>
      <c r="B20" s="24" t="s">
        <v>280</v>
      </c>
      <c r="C20" s="24"/>
      <c r="D20" s="24">
        <v>48</v>
      </c>
      <c r="E20" s="24"/>
      <c r="F20" s="24"/>
      <c r="G20" s="24"/>
      <c r="H20" s="24"/>
      <c r="I20" s="24">
        <v>6</v>
      </c>
      <c r="J20" s="24">
        <v>7</v>
      </c>
      <c r="K20" s="24">
        <f t="shared" si="0"/>
        <v>10.5</v>
      </c>
      <c r="L20" s="24">
        <v>4</v>
      </c>
      <c r="M20" s="24">
        <v>3</v>
      </c>
      <c r="N20" s="24"/>
      <c r="O20" s="24"/>
      <c r="P20" s="24"/>
      <c r="Q20" s="24"/>
      <c r="R20" s="24">
        <v>3.5</v>
      </c>
      <c r="S20" s="24"/>
      <c r="T20" s="24"/>
    </row>
    <row r="21" spans="1:20" ht="40.5" customHeight="1" x14ac:dyDescent="0.25">
      <c r="A21" s="24">
        <v>10</v>
      </c>
      <c r="B21" s="24" t="s">
        <v>281</v>
      </c>
      <c r="C21" s="24"/>
      <c r="D21" s="24">
        <v>33</v>
      </c>
      <c r="E21" s="24"/>
      <c r="F21" s="24"/>
      <c r="G21" s="24"/>
      <c r="H21" s="24"/>
      <c r="I21" s="24">
        <v>5</v>
      </c>
      <c r="J21" s="24">
        <v>5.5</v>
      </c>
      <c r="K21" s="24">
        <f t="shared" si="0"/>
        <v>13.5</v>
      </c>
      <c r="L21" s="24">
        <v>3.5</v>
      </c>
      <c r="M21" s="24">
        <v>3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>
        <v>11</v>
      </c>
      <c r="B22" s="24" t="s">
        <v>274</v>
      </c>
      <c r="C22" s="24"/>
      <c r="D22" s="24">
        <v>97</v>
      </c>
      <c r="E22" s="24"/>
      <c r="F22" s="24"/>
      <c r="G22" s="24"/>
      <c r="H22" s="24"/>
      <c r="I22" s="24">
        <v>6</v>
      </c>
      <c r="J22" s="24">
        <v>5</v>
      </c>
      <c r="K22" s="24">
        <f t="shared" si="0"/>
        <v>15</v>
      </c>
      <c r="L22" s="24">
        <v>5</v>
      </c>
      <c r="M22" s="24">
        <v>3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v>12</v>
      </c>
      <c r="B23" s="24" t="s">
        <v>277</v>
      </c>
      <c r="C23" s="24"/>
      <c r="D23" s="24">
        <v>54</v>
      </c>
      <c r="E23" s="24"/>
      <c r="F23" s="24"/>
      <c r="G23" s="24"/>
      <c r="H23" s="24"/>
      <c r="I23" s="24">
        <v>8</v>
      </c>
      <c r="J23" s="24">
        <v>7</v>
      </c>
      <c r="K23" s="24">
        <f t="shared" si="0"/>
        <v>12</v>
      </c>
      <c r="L23" s="24">
        <v>5</v>
      </c>
      <c r="M23" s="24">
        <v>4</v>
      </c>
      <c r="N23" s="24"/>
      <c r="O23" s="24"/>
      <c r="P23" s="24"/>
      <c r="Q23" s="24"/>
      <c r="R23" s="24">
        <v>3</v>
      </c>
      <c r="S23" s="24"/>
      <c r="T23" s="24"/>
    </row>
    <row r="24" spans="1:20" ht="40.5" customHeight="1" x14ac:dyDescent="0.25">
      <c r="A24" s="24">
        <v>13</v>
      </c>
      <c r="B24" s="24" t="s">
        <v>282</v>
      </c>
      <c r="C24" s="24"/>
      <c r="D24" s="24">
        <v>81</v>
      </c>
      <c r="E24" s="24"/>
      <c r="F24" s="24"/>
      <c r="G24" s="24"/>
      <c r="H24" s="24"/>
      <c r="I24" s="24">
        <v>5</v>
      </c>
      <c r="J24" s="24">
        <v>4</v>
      </c>
      <c r="K24" s="24">
        <f t="shared" si="0"/>
        <v>12.5</v>
      </c>
      <c r="L24" s="24">
        <v>4</v>
      </c>
      <c r="M24" s="24">
        <v>3.5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v>14</v>
      </c>
      <c r="B25" s="24" t="s">
        <v>283</v>
      </c>
      <c r="C25" s="24"/>
      <c r="D25" s="24">
        <v>107</v>
      </c>
      <c r="E25" s="24"/>
      <c r="F25" s="24"/>
      <c r="G25" s="24"/>
      <c r="H25" s="24"/>
      <c r="I25" s="24">
        <v>6</v>
      </c>
      <c r="J25" s="24">
        <v>6.5</v>
      </c>
      <c r="K25" s="24">
        <f t="shared" si="0"/>
        <v>16.5</v>
      </c>
      <c r="L25" s="24">
        <v>5</v>
      </c>
      <c r="M25" s="24">
        <v>4.5</v>
      </c>
      <c r="N25" s="24"/>
      <c r="O25" s="24"/>
      <c r="P25" s="24"/>
      <c r="Q25" s="24"/>
      <c r="R25" s="24">
        <v>7</v>
      </c>
      <c r="S25" s="24"/>
      <c r="T25" s="24"/>
    </row>
    <row r="26" spans="1:20" ht="40.5" customHeight="1" x14ac:dyDescent="0.25">
      <c r="A26" s="24">
        <v>15</v>
      </c>
      <c r="B26" s="24" t="s">
        <v>284</v>
      </c>
      <c r="C26" s="24"/>
      <c r="D26" s="24">
        <v>53</v>
      </c>
      <c r="E26" s="24"/>
      <c r="F26" s="24"/>
      <c r="G26" s="24"/>
      <c r="H26" s="24"/>
      <c r="I26" s="24">
        <v>6</v>
      </c>
      <c r="J26" s="24">
        <v>5.5</v>
      </c>
      <c r="K26" s="24">
        <f t="shared" si="0"/>
        <v>14</v>
      </c>
      <c r="L26" s="24">
        <v>3</v>
      </c>
      <c r="M26" s="24">
        <v>3</v>
      </c>
      <c r="N26" s="24"/>
      <c r="O26" s="24"/>
      <c r="P26" s="24"/>
      <c r="Q26" s="24"/>
      <c r="R26" s="24">
        <v>8</v>
      </c>
      <c r="S26" s="24"/>
      <c r="T26" s="24"/>
    </row>
    <row r="27" spans="1:20" ht="40.5" customHeight="1" x14ac:dyDescent="0.25">
      <c r="A27" s="24">
        <v>16</v>
      </c>
      <c r="B27" s="24"/>
      <c r="C27" s="24"/>
      <c r="D27" s="24"/>
      <c r="E27" s="24"/>
      <c r="F27" s="24"/>
      <c r="G27" s="24"/>
      <c r="H27" s="24"/>
      <c r="I27" s="24"/>
      <c r="J27" s="24"/>
      <c r="K27" s="24">
        <f t="shared" si="0"/>
        <v>0</v>
      </c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67" zoomScaleSheetLayoutView="100" workbookViewId="0">
      <selection activeCell="F7" sqref="F7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313</v>
      </c>
      <c r="C5" s="12"/>
      <c r="D5" s="12">
        <v>3</v>
      </c>
      <c r="E5" s="12">
        <v>4</v>
      </c>
      <c r="F5" s="12" t="s">
        <v>327</v>
      </c>
      <c r="G5" s="12">
        <f>D5*E5</f>
        <v>12</v>
      </c>
      <c r="H5" s="12"/>
    </row>
    <row r="6" spans="1:8" ht="29.25" customHeight="1" x14ac:dyDescent="0.25">
      <c r="A6" s="11">
        <v>2</v>
      </c>
      <c r="B6" s="12" t="s">
        <v>285</v>
      </c>
      <c r="C6" s="12" t="s">
        <v>314</v>
      </c>
      <c r="D6" s="12">
        <v>3</v>
      </c>
      <c r="E6" s="12">
        <v>2</v>
      </c>
      <c r="F6" s="12" t="s">
        <v>327</v>
      </c>
      <c r="G6" s="12">
        <f>D6*E6</f>
        <v>6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286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287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288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289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254</v>
      </c>
      <c r="C38" s="18"/>
      <c r="D38" s="18"/>
      <c r="E38" s="18"/>
      <c r="F38" s="18"/>
      <c r="G38" s="18"/>
      <c r="H38" s="18"/>
    </row>
    <row r="39" spans="1:8" ht="36" customHeight="1" x14ac:dyDescent="0.25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>
        <v>0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>
        <v>0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>
        <v>0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>
        <v>0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280</v>
      </c>
      <c r="C69" s="11" t="s">
        <v>315</v>
      </c>
      <c r="D69" s="11">
        <v>4</v>
      </c>
      <c r="E69" s="11">
        <v>2.2999999999999998</v>
      </c>
      <c r="F69" s="11" t="s">
        <v>329</v>
      </c>
      <c r="G69" s="12">
        <f t="shared" ref="G69:G83" si="0">D69*E69</f>
        <v>9.1999999999999993</v>
      </c>
      <c r="H69" s="11"/>
    </row>
    <row r="70" spans="1:8" s="28" customFormat="1" ht="41.25" customHeight="1" x14ac:dyDescent="0.25">
      <c r="A70" s="11">
        <v>2</v>
      </c>
      <c r="B70" s="40" t="s">
        <v>280</v>
      </c>
      <c r="C70" s="11" t="s">
        <v>315</v>
      </c>
      <c r="D70" s="11">
        <v>6</v>
      </c>
      <c r="E70" s="11">
        <v>2.2999999999999998</v>
      </c>
      <c r="F70" s="11"/>
      <c r="G70" s="12">
        <f t="shared" si="0"/>
        <v>13.799999999999999</v>
      </c>
      <c r="H70" s="11"/>
    </row>
    <row r="71" spans="1:8" s="28" customFormat="1" ht="41.25" customHeight="1" x14ac:dyDescent="0.25">
      <c r="A71" s="11">
        <v>3</v>
      </c>
      <c r="B71" s="40" t="s">
        <v>291</v>
      </c>
      <c r="C71" s="11" t="s">
        <v>316</v>
      </c>
      <c r="D71" s="11">
        <v>4</v>
      </c>
      <c r="E71" s="11">
        <v>3.5</v>
      </c>
      <c r="F71" s="88" t="s">
        <v>330</v>
      </c>
      <c r="G71" s="12">
        <f t="shared" si="0"/>
        <v>14</v>
      </c>
      <c r="H71" s="11"/>
    </row>
    <row r="72" spans="1:8" s="28" customFormat="1" ht="41.25" customHeight="1" x14ac:dyDescent="0.25">
      <c r="A72" s="11">
        <v>4</v>
      </c>
      <c r="B72" s="40" t="s">
        <v>282</v>
      </c>
      <c r="C72" s="11" t="s">
        <v>317</v>
      </c>
      <c r="D72" s="11">
        <v>4.5</v>
      </c>
      <c r="E72" s="11">
        <v>2.5</v>
      </c>
      <c r="F72" s="11" t="s">
        <v>329</v>
      </c>
      <c r="G72" s="12">
        <f t="shared" si="0"/>
        <v>11.25</v>
      </c>
      <c r="H72" s="11"/>
    </row>
    <row r="73" spans="1:8" s="28" customFormat="1" ht="41.25" customHeight="1" x14ac:dyDescent="0.25">
      <c r="A73" s="11">
        <v>5</v>
      </c>
      <c r="B73" s="40" t="s">
        <v>282</v>
      </c>
      <c r="C73" s="11" t="s">
        <v>317</v>
      </c>
      <c r="D73" s="11">
        <v>2.5</v>
      </c>
      <c r="E73" s="11">
        <v>2.6</v>
      </c>
      <c r="F73" s="11"/>
      <c r="G73" s="12">
        <f t="shared" si="0"/>
        <v>6.5</v>
      </c>
      <c r="H73" s="11"/>
    </row>
    <row r="74" spans="1:8" s="28" customFormat="1" ht="41.25" customHeight="1" x14ac:dyDescent="0.25">
      <c r="A74" s="11">
        <v>6</v>
      </c>
      <c r="B74" s="40" t="s">
        <v>280</v>
      </c>
      <c r="C74" s="11" t="s">
        <v>315</v>
      </c>
      <c r="D74" s="11">
        <v>5</v>
      </c>
      <c r="E74" s="11">
        <v>1.6</v>
      </c>
      <c r="F74" s="11" t="s">
        <v>329</v>
      </c>
      <c r="G74" s="12">
        <f t="shared" si="0"/>
        <v>8</v>
      </c>
      <c r="H74" s="11"/>
    </row>
    <row r="75" spans="1:8" s="28" customFormat="1" ht="41.25" customHeight="1" x14ac:dyDescent="0.25">
      <c r="A75" s="11">
        <v>7</v>
      </c>
      <c r="B75" s="40" t="s">
        <v>282</v>
      </c>
      <c r="C75" s="11" t="s">
        <v>317</v>
      </c>
      <c r="D75" s="11">
        <v>5</v>
      </c>
      <c r="E75" s="11">
        <v>4</v>
      </c>
      <c r="F75" s="11"/>
      <c r="G75" s="12">
        <f t="shared" si="0"/>
        <v>20</v>
      </c>
      <c r="H75" s="11"/>
    </row>
    <row r="76" spans="1:8" s="28" customFormat="1" ht="41.25" customHeight="1" x14ac:dyDescent="0.25">
      <c r="A76" s="11">
        <v>8</v>
      </c>
      <c r="B76" s="40" t="s">
        <v>292</v>
      </c>
      <c r="C76" s="11" t="s">
        <v>318</v>
      </c>
      <c r="D76" s="11">
        <v>3.5</v>
      </c>
      <c r="E76" s="11">
        <v>3</v>
      </c>
      <c r="F76" s="88" t="s">
        <v>331</v>
      </c>
      <c r="G76" s="12">
        <f t="shared" si="0"/>
        <v>10.5</v>
      </c>
      <c r="H76" s="11"/>
    </row>
    <row r="77" spans="1:8" s="28" customFormat="1" ht="41.25" customHeight="1" x14ac:dyDescent="0.25">
      <c r="A77" s="11">
        <v>9</v>
      </c>
      <c r="B77" s="40" t="s">
        <v>293</v>
      </c>
      <c r="C77" s="11" t="s">
        <v>319</v>
      </c>
      <c r="D77" s="11">
        <v>7</v>
      </c>
      <c r="E77" s="11">
        <v>3.4</v>
      </c>
      <c r="F77" s="88" t="s">
        <v>332</v>
      </c>
      <c r="G77" s="12">
        <f t="shared" si="0"/>
        <v>23.8</v>
      </c>
      <c r="H77" s="11"/>
    </row>
    <row r="78" spans="1:8" s="28" customFormat="1" ht="41.25" customHeight="1" x14ac:dyDescent="0.25">
      <c r="A78" s="11">
        <v>10</v>
      </c>
      <c r="B78" s="28" t="s">
        <v>282</v>
      </c>
      <c r="C78" s="11" t="s">
        <v>317</v>
      </c>
      <c r="D78" s="11">
        <v>5</v>
      </c>
      <c r="E78" s="11">
        <v>6</v>
      </c>
      <c r="F78" s="11"/>
      <c r="G78" s="12">
        <f t="shared" si="0"/>
        <v>30</v>
      </c>
      <c r="H78" s="11"/>
    </row>
    <row r="79" spans="1:8" s="28" customFormat="1" ht="41.25" customHeight="1" x14ac:dyDescent="0.25">
      <c r="A79" s="11">
        <v>11</v>
      </c>
      <c r="B79" s="40" t="s">
        <v>280</v>
      </c>
      <c r="C79" s="11" t="s">
        <v>315</v>
      </c>
      <c r="D79" s="11">
        <v>6.5</v>
      </c>
      <c r="E79" s="11">
        <v>3.5</v>
      </c>
      <c r="F79" s="11" t="s">
        <v>329</v>
      </c>
      <c r="G79" s="12">
        <f t="shared" si="0"/>
        <v>22.75</v>
      </c>
      <c r="H79" s="11"/>
    </row>
    <row r="80" spans="1:8" s="28" customFormat="1" ht="41.25" customHeight="1" x14ac:dyDescent="0.25">
      <c r="A80" s="11">
        <v>12</v>
      </c>
      <c r="B80" s="40" t="s">
        <v>294</v>
      </c>
      <c r="C80" s="11" t="s">
        <v>320</v>
      </c>
      <c r="D80" s="11">
        <v>9</v>
      </c>
      <c r="E80" s="11">
        <v>4</v>
      </c>
      <c r="F80" s="11" t="s">
        <v>327</v>
      </c>
      <c r="G80" s="12">
        <f t="shared" si="0"/>
        <v>36</v>
      </c>
      <c r="H80" s="11"/>
    </row>
    <row r="81" spans="1:8" s="28" customFormat="1" ht="41.25" customHeight="1" x14ac:dyDescent="0.25">
      <c r="A81" s="11">
        <v>13</v>
      </c>
      <c r="B81" s="40" t="s">
        <v>295</v>
      </c>
      <c r="C81" s="11" t="s">
        <v>321</v>
      </c>
      <c r="D81" s="11">
        <v>5</v>
      </c>
      <c r="E81" s="11">
        <v>5.5</v>
      </c>
      <c r="F81" s="11" t="s">
        <v>327</v>
      </c>
      <c r="G81" s="12">
        <f t="shared" si="0"/>
        <v>27.5</v>
      </c>
      <c r="H81" s="11"/>
    </row>
    <row r="82" spans="1:8" s="28" customFormat="1" ht="41.25" customHeight="1" x14ac:dyDescent="0.25">
      <c r="A82" s="11">
        <v>14</v>
      </c>
      <c r="B82" s="40" t="s">
        <v>296</v>
      </c>
      <c r="C82" s="11" t="s">
        <v>322</v>
      </c>
      <c r="D82" s="11">
        <v>9.5</v>
      </c>
      <c r="E82" s="11">
        <v>6</v>
      </c>
      <c r="F82" s="11" t="s">
        <v>331</v>
      </c>
      <c r="G82" s="12">
        <f t="shared" si="0"/>
        <v>57</v>
      </c>
      <c r="H82" s="11"/>
    </row>
    <row r="83" spans="1:8" s="28" customFormat="1" ht="41.25" customHeight="1" x14ac:dyDescent="0.25">
      <c r="A83" s="11">
        <v>15</v>
      </c>
      <c r="B83" s="40" t="s">
        <v>297</v>
      </c>
      <c r="C83" s="11" t="s">
        <v>323</v>
      </c>
      <c r="D83" s="11">
        <v>6</v>
      </c>
      <c r="E83" s="11">
        <v>3</v>
      </c>
      <c r="F83" s="11" t="s">
        <v>329</v>
      </c>
      <c r="G83" s="12">
        <f t="shared" si="0"/>
        <v>18</v>
      </c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324</v>
      </c>
      <c r="C96" s="11" t="s">
        <v>325</v>
      </c>
      <c r="D96" s="41">
        <v>2.2000000000000002</v>
      </c>
      <c r="E96" s="42">
        <v>1.2</v>
      </c>
      <c r="F96" s="23"/>
      <c r="G96" s="23"/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" zoomScale="85" zoomScaleNormal="85" zoomScaleSheetLayoutView="85" workbookViewId="0">
      <selection activeCell="E9" sqref="E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298</v>
      </c>
      <c r="C6" s="45"/>
      <c r="D6" s="18">
        <v>200</v>
      </c>
      <c r="E6" s="18"/>
      <c r="F6" s="18" t="s">
        <v>326</v>
      </c>
      <c r="G6" s="18"/>
    </row>
    <row r="7" spans="1:7" ht="45.6" customHeight="1" x14ac:dyDescent="0.25">
      <c r="A7" s="11">
        <v>2</v>
      </c>
      <c r="B7" s="18" t="s">
        <v>295</v>
      </c>
      <c r="C7" s="45" t="s">
        <v>321</v>
      </c>
      <c r="D7" s="18">
        <v>50</v>
      </c>
      <c r="E7" s="18" t="s">
        <v>327</v>
      </c>
      <c r="F7" s="18">
        <f t="shared" ref="F7:F9" si="0">0.05*(D7)*(D7)</f>
        <v>125</v>
      </c>
      <c r="G7" s="18"/>
    </row>
    <row r="8" spans="1:7" ht="45.6" customHeight="1" x14ac:dyDescent="0.25">
      <c r="A8" s="11">
        <v>3</v>
      </c>
      <c r="B8" s="18" t="s">
        <v>299</v>
      </c>
      <c r="C8" s="45"/>
      <c r="D8" s="18">
        <v>25</v>
      </c>
      <c r="E8" s="18"/>
      <c r="F8" s="18">
        <f t="shared" si="0"/>
        <v>31.25</v>
      </c>
      <c r="G8" s="18"/>
    </row>
    <row r="9" spans="1:7" ht="45.6" customHeight="1" x14ac:dyDescent="0.25">
      <c r="A9" s="11">
        <v>4</v>
      </c>
      <c r="B9" s="18" t="s">
        <v>299</v>
      </c>
      <c r="C9" s="45"/>
      <c r="D9" s="18">
        <v>23</v>
      </c>
      <c r="E9" s="88" t="s">
        <v>328</v>
      </c>
      <c r="F9" s="18">
        <f t="shared" si="0"/>
        <v>26.450000000000003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300</v>
      </c>
      <c r="C39" s="48"/>
      <c r="D39" s="41"/>
      <c r="E39" s="23"/>
      <c r="F39" s="23"/>
      <c r="G39" s="23"/>
    </row>
    <row r="40" spans="1:7" s="28" customFormat="1" ht="45.6" customHeight="1" x14ac:dyDescent="0.25">
      <c r="A40" s="41">
        <v>2</v>
      </c>
      <c r="B40" s="23"/>
      <c r="C40" s="48"/>
      <c r="D40" s="41"/>
      <c r="E40" s="23"/>
      <c r="F40" s="23"/>
      <c r="G40" s="23"/>
    </row>
    <row r="41" spans="1:7" s="28" customFormat="1" ht="45.6" customHeight="1" x14ac:dyDescent="0.25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6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2024-06-15T16:36:51Z</dcterms:modified>
</cp:coreProperties>
</file>