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B61BEDB6-7A2C-4573-AD8F-63B527731ACF}" xr6:coauthVersionLast="47" xr6:coauthVersionMax="47" xr10:uidLastSave="{00000000-0000-0000-0000-000000000000}"/>
  <bookViews>
    <workbookView xWindow="1125" yWindow="112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42" i="8"/>
  <c r="G41" i="8"/>
  <c r="G40" i="8"/>
  <c r="G39" i="8"/>
  <c r="G38" i="8"/>
  <c r="G9" i="8"/>
  <c r="G8" i="8"/>
  <c r="G7" i="8"/>
  <c r="G6" i="8"/>
  <c r="G5" i="8"/>
  <c r="F41" i="9"/>
  <c r="F40" i="9"/>
  <c r="F39" i="9"/>
  <c r="F9" i="9"/>
  <c r="F8" i="9"/>
  <c r="F7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<sst xmlns="http://schemas.openxmlformats.org/spreadsheetml/2006/main" count="465" uniqueCount="321">
  <si>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</si>
  <si>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</si>
  <si>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</si>
  <si>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</si>
  <si>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</si>
  <si>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</si>
  <si>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</si>
  <si>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</si>
  <si>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</si>
  <si>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</si>
  <si>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</si>
  <si>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</si>
  <si>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</si>
  <si>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</si>
  <si>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</si>
  <si>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</si>
  <si>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</si>
  <si>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</si>
  <si>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</si>
  <si>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</si>
  <si>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</si>
  <si>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</si>
  <si>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</si>
  <si>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</si>
  <si>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</si>
  <si>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</si>
  <si>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</si>
  <si>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</si>
  <si>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</si>
  <si>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</si>
  <si>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</si>
  <si>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</si>
  <si>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</si>
  <si>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</si>
  <si>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</si>
  <si>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</si>
  <si>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</si>
  <si>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</si>
  <si>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</si>
  <si>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</si>
  <si>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</si>
  <si>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</si>
  <si>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</si>
  <si>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</si>
  <si>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</si>
  <si>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</si>
  <si>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</si>
  <si>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</si>
  <si>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</si>
  <si>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</si>
  <si>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</si>
  <si>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</si>
  <si>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</si>
  <si>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</si>
  <si>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</si>
  <si>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</si>
  <si>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</si>
  <si>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</si>
  <si>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</si>
  <si>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</si>
  <si>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</si>
  <si>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</si>
  <si>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</si>
  <si>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</si>
  <si>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</si>
  <si>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</si>
  <si>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</si>
  <si>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</si>
  <si>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</si>
  <si>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</si>
  <si>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</si>
  <si>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</si>
  <si>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</si>
  <si>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</si>
  <si>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</si>
  <si>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</si>
  <si>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</si>
  <si>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</si>
  <si>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</si>
  <si>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</si>
  <si>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</si>
  <si>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</si>
  <si>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</si>
  <si>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</si>
  <si>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</si>
  <si>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</si>
  <si>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</si>
  <si>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</si>
  <si>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</si>
  <si>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</si>
  <si>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</si>
  <si>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</si>
  <si>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</si>
  <si>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</si>
  <si>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</si>
  <si>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</si>
  <si>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</si>
  <si>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</si>
  <si>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</si>
  <si>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</si>
  <si>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</si>
  <si>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</si>
  <si>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</si>
  <si>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</si>
  <si>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</si>
  <si>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</si>
  <si>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</si>
  <si>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</si>
  <si>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</si>
  <si>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</si>
  <si>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</si>
  <si>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</si>
  <si>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</si>
  <si>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</si>
  <si>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</si>
  <si>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</si>
  <si>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</si>
  <si>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</si>
  <si>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</si>
  <si>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</si>
  <si>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</si>
  <si>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</si>
  <si>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</si>
  <si>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</si>
  <si>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</si>
  <si>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</si>
  <si>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</si>
  <si>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</si>
  <si>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</si>
  <si>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</si>
  <si>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</si>
  <si>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</si>
  <si>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</si>
  <si>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</si>
  <si>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</si>
  <si>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</si>
  <si>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</si>
  <si>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</si>
  <si>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</si>
  <si>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</si>
  <si>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</si>
  <si>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</si>
  <si>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</si>
  <si>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</si>
  <si>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</si>
  <si>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</si>
  <si>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</si>
  <si>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</si>
  <si>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</si>
  <si>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</si>
  <si>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</si>
  <si>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</si>
  <si>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</si>
  <si>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</si>
  <si>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</si>
  <si>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</si>
  <si>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</si>
  <si>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</si>
  <si>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</si>
  <si>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</si>
  <si>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</si>
  <si>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</si>
  <si>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</si>
  <si>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</si>
  <si>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</si>
  <si>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</si>
  <si>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</si>
  <si>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</si>
  <si>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</si>
  <si>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</si>
  <si>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</si>
  <si>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</si>
  <si>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</si>
  <si>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</si>
  <si>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</si>
  <si>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</si>
  <si>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</si>
  <si>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</si>
  <si>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</si>
  <si>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</si>
  <si>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</si>
  <si>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</si>
  <si>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</si>
  <si>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</si>
  <si>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</si>
  <si>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</si>
  <si>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</si>
  <si>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</si>
  <si>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</si>
  <si>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</si>
  <si>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</si>
  <si>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</si>
  <si>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</si>
  <si>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</si>
  <si>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</si>
  <si>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</si>
  <si>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</si>
  <si>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</si>
  <si>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</si>
  <si>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</si>
  <si>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</si>
  <si>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</si>
  <si>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</si>
  <si>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</si>
  <si>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</si>
  <si>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</si>
  <si>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</si>
  <si>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</si>
  <si>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</si>
  <si>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</si>
  <si>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</si>
  <si>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</si>
  <si>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</si>
  <si>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</si>
  <si>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</si>
  <si>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</si>
  <si>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</si>
  <si>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</si>
  <si>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</si>
  <si>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</si>
  <si>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</si>
  <si>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</si>
  <si>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</si>
  <si>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</si>
  <si>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</si>
  <si>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</si>
  <si>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</si>
  <si>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</si>
  <si>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</si>
  <si>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</si>
  <si>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</si>
  <si>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</si>
  <si>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</si>
  <si>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</si>
  <si>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</si>
  <si>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</si>
  <si>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</si>
  <si>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</si>
  <si>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</si>
  <si>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</si>
  <si>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</si>
  <si>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</si>
  <si>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</si>
  <si>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Nidle road to posadike upto     N  12.959358   E 75.395501   by vehicle then travel in the bearing of  158  degree upto a distance of  107  m to reach the grid.</t>
  </si>
  <si>
    <t>Holigarna arnattiana</t>
  </si>
  <si>
    <t>Holigarna arnattiana, Aporosa lindleyana , Bombax ceiba</t>
  </si>
  <si>
    <t>Tract - Gently rolling</t>
  </si>
  <si>
    <t>Aspect - SW</t>
  </si>
  <si>
    <t>Canopy Dencity - 0.74</t>
  </si>
  <si>
    <t>Soil - Humus rich red soil</t>
  </si>
  <si>
    <t xml:space="preserve">Bamboos - Bambusa bambos </t>
  </si>
  <si>
    <t xml:space="preserve">Shrubs -Aporosa lindleyana , Holigarna arnattiana </t>
  </si>
  <si>
    <t xml:space="preserve">Underwood species – Tabernamontana heyneana </t>
  </si>
  <si>
    <t xml:space="preserve">Climbers - Piper nigrum , Pothos scandens , Smilax spinosa </t>
  </si>
  <si>
    <t xml:space="preserve">NTFP yieding sps –  Garcinia indica , Garcinia gummi-gutta </t>
  </si>
  <si>
    <t>Stream passing nearby</t>
  </si>
  <si>
    <t>2.2m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</si>
  <si>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</si>
  <si>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</si>
  <si>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</si>
  <si>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</si>
  <si>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</si>
  <si>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</si>
  <si>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>Permiability-Moderate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</si>
  <si>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</si>
  <si>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>Damage by natural calamities</t>
    </r>
    <r>
      <rPr>
        <sz val="12"/>
        <rFont val="Times New Roman"/>
        <family val="1"/>
      </rPr>
      <t xml:space="preserve"> / None</t>
    </r>
  </si>
  <si>
    <t>Microbes, Insects,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</si>
  <si>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</si>
  <si>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</si>
  <si>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</si>
  <si>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</si>
  <si>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</si>
  <si>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Tabernamontana heyneana</t>
  </si>
  <si>
    <t>Aporosa lindleyana</t>
  </si>
  <si>
    <t>Xylia xylocarpa</t>
  </si>
  <si>
    <t>Terminalia paniculata</t>
  </si>
  <si>
    <t>Bombax ceiba</t>
  </si>
  <si>
    <t xml:space="preserve">Lminia acidissima </t>
  </si>
  <si>
    <t>Psychotria spp</t>
  </si>
  <si>
    <t>1.5kg</t>
  </si>
  <si>
    <t>7kg</t>
  </si>
  <si>
    <t>Olea dioca</t>
  </si>
  <si>
    <t>Leea indica</t>
  </si>
  <si>
    <t>4.5kg</t>
  </si>
  <si>
    <t>NIL</t>
  </si>
  <si>
    <t>Carallia brachiata</t>
  </si>
  <si>
    <t>Smilax spinosa</t>
  </si>
  <si>
    <t>Psychotria flavida</t>
  </si>
  <si>
    <t>climber</t>
  </si>
  <si>
    <t>Belthangady</t>
  </si>
  <si>
    <t>Dharmastala mundaje RF</t>
  </si>
  <si>
    <t>II-12</t>
  </si>
  <si>
    <t>Grasses - NIL</t>
  </si>
  <si>
    <t>Weeds - NIL</t>
  </si>
  <si>
    <t>Herbs - NIL</t>
  </si>
  <si>
    <t>Rattans – NIL</t>
  </si>
  <si>
    <t>Moderately</t>
  </si>
  <si>
    <t>Texture- Smooth</t>
  </si>
  <si>
    <t>Depth- Moderate</t>
  </si>
  <si>
    <t>504 ft</t>
  </si>
  <si>
    <t xml:space="preserve">Tabernamontana heyneana , Holigarna arnattiana , Aporosa lindleyana </t>
  </si>
  <si>
    <t>220g</t>
  </si>
  <si>
    <t>600g</t>
  </si>
  <si>
    <t>680g</t>
  </si>
  <si>
    <t>320g</t>
  </si>
  <si>
    <t>900g</t>
  </si>
  <si>
    <t>Mangalore</t>
  </si>
  <si>
    <t>Salle</t>
  </si>
  <si>
    <t>Kaadu coffee</t>
  </si>
  <si>
    <t>Akkerakalu</t>
  </si>
  <si>
    <t>Nertige</t>
  </si>
  <si>
    <t>Andi Punar</t>
  </si>
  <si>
    <t>Jambe</t>
  </si>
  <si>
    <t>5kg</t>
  </si>
  <si>
    <t xml:space="preserve">Tubers </t>
  </si>
  <si>
    <t>leaves</t>
  </si>
  <si>
    <t>seeds</t>
  </si>
  <si>
    <t xml:space="preserve">Fruits, Fiber </t>
  </si>
  <si>
    <t>fruits, leaves</t>
  </si>
  <si>
    <t>frutis</t>
  </si>
  <si>
    <t>tubers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</si>
</sst>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289</v>
      </c>
    </row>
    <row r="6" spans="1:3" ht="39" customHeight="1" x14ac:dyDescent="0.25">
      <c r="A6" s="4">
        <v>2</v>
      </c>
      <c r="B6" s="51" t="s">
        <v>7</v>
      </c>
      <c r="C6" s="8" t="s">
        <v>290</v>
      </c>
    </row>
    <row r="7" spans="1:3" ht="39" customHeight="1" x14ac:dyDescent="0.25">
      <c r="A7" s="4">
        <v>3</v>
      </c>
      <c r="B7" s="51" t="s">
        <v>8</v>
      </c>
      <c r="C7" s="8" t="s">
        <v>291</v>
      </c>
    </row>
    <row r="8" spans="1:3" ht="39" customHeight="1" x14ac:dyDescent="0.25">
      <c r="A8" s="4">
        <v>4</v>
      </c>
      <c r="B8" s="51" t="s">
        <v>9</v>
      </c>
      <c r="C8" s="8">
        <v>6091</v>
      </c>
    </row>
    <row r="9" spans="1:3" ht="39" customHeight="1" x14ac:dyDescent="0.25">
      <c r="A9" s="4">
        <v>5</v>
      </c>
      <c r="B9" s="51" t="s">
        <v>10</v>
      </c>
      <c r="C9" s="9">
        <v>12.358514</v>
      </c>
    </row>
    <row r="10" spans="1:3" ht="39" customHeight="1" x14ac:dyDescent="0.25">
      <c r="A10" s="4">
        <v>6</v>
      </c>
      <c r="B10" s="51" t="s">
        <v>11</v>
      </c>
      <c r="C10" s="9">
        <v>75.395949000000002</v>
      </c>
    </row>
    <row r="11" spans="1:3" ht="141.75" customHeight="1" x14ac:dyDescent="0.25">
      <c r="A11" s="4">
        <v>7</v>
      </c>
      <c r="B11" s="51" t="s">
        <v>12</v>
      </c>
      <c r="C11" s="8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292</v>
      </c>
    </row>
    <row r="18" spans="1:3" ht="32.25" customHeight="1" x14ac:dyDescent="0.25">
      <c r="A18" s="54"/>
      <c r="B18" s="55"/>
      <c r="C18" s="6" t="s">
        <v>293</v>
      </c>
    </row>
    <row r="19" spans="1:3" ht="32.25" customHeight="1" x14ac:dyDescent="0.25">
      <c r="A19" s="54"/>
      <c r="B19" s="55"/>
      <c r="C19" s="6" t="s">
        <v>250</v>
      </c>
    </row>
    <row r="20" spans="1:3" ht="57.75" customHeight="1" x14ac:dyDescent="0.25">
      <c r="A20" s="54"/>
      <c r="B20" s="55"/>
      <c r="C20" s="6" t="s">
        <v>294</v>
      </c>
    </row>
    <row r="21" spans="1:3" ht="63" customHeight="1" x14ac:dyDescent="0.25">
      <c r="A21" s="54"/>
      <c r="B21" s="55"/>
      <c r="C21" s="6" t="s">
        <v>251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253</v>
      </c>
    </row>
    <row r="24" spans="1:3" ht="63" customHeight="1" x14ac:dyDescent="0.25">
      <c r="A24" s="54"/>
      <c r="B24" s="55"/>
      <c r="C24" s="6" t="s">
        <v>295</v>
      </c>
    </row>
    <row r="25" spans="1:3" ht="63" customHeight="1" x14ac:dyDescent="0.25">
      <c r="A25" s="54"/>
      <c r="B25" s="55"/>
      <c r="C25" s="6" t="s">
        <v>254</v>
      </c>
    </row>
    <row r="26" spans="1:3" ht="49.5" customHeight="1" x14ac:dyDescent="0.25">
      <c r="A26" s="4">
        <v>10</v>
      </c>
      <c r="B26" s="51" t="s">
        <v>15</v>
      </c>
      <c r="C26" s="6" t="s">
        <v>255</v>
      </c>
    </row>
    <row r="27" spans="1:3" ht="53.25" customHeight="1" x14ac:dyDescent="0.25">
      <c r="A27" s="4">
        <v>11</v>
      </c>
      <c r="B27" s="51" t="s">
        <v>16</v>
      </c>
      <c r="C27" s="6" t="s">
        <v>296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256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306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6091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12.358514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75.395949000000002</v>
      </c>
    </row>
    <row r="11" spans="1:3" ht="32.25" customHeight="1" x14ac:dyDescent="0.25">
      <c r="A11" s="11">
        <v>7</v>
      </c>
      <c r="B11" s="52" t="s">
        <v>22</v>
      </c>
      <c r="C11" s="20" t="s">
        <v>299</v>
      </c>
    </row>
    <row r="12" spans="1:3" ht="43.5" customHeight="1" x14ac:dyDescent="0.25">
      <c r="A12" s="11">
        <v>8</v>
      </c>
      <c r="B12" s="52" t="s">
        <v>23</v>
      </c>
      <c r="C12" s="20" t="s">
        <v>257</v>
      </c>
    </row>
    <row r="13" spans="1:3" ht="43.5" customHeight="1" x14ac:dyDescent="0.25">
      <c r="A13" s="11">
        <v>9</v>
      </c>
      <c r="B13" s="52" t="s">
        <v>24</v>
      </c>
      <c r="C13" s="20" t="s">
        <v>258</v>
      </c>
    </row>
    <row r="14" spans="1:3" ht="38.25" customHeight="1" x14ac:dyDescent="0.25">
      <c r="A14" s="11">
        <v>10</v>
      </c>
      <c r="B14" s="52" t="s">
        <v>25</v>
      </c>
      <c r="C14" s="20" t="s">
        <v>259</v>
      </c>
    </row>
    <row r="15" spans="1:3" ht="25.5" customHeight="1" x14ac:dyDescent="0.25">
      <c r="A15" s="11">
        <v>11</v>
      </c>
      <c r="B15" s="52" t="s">
        <v>26</v>
      </c>
      <c r="C15" s="22" t="s">
        <v>260</v>
      </c>
    </row>
    <row r="16" spans="1:3" ht="37.5" customHeight="1" x14ac:dyDescent="0.25">
      <c r="A16" s="11">
        <v>12</v>
      </c>
      <c r="B16" s="52" t="s">
        <v>27</v>
      </c>
      <c r="C16" s="22" t="s">
        <v>261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297</v>
      </c>
    </row>
    <row r="19" spans="1:3" ht="30.75" customHeight="1" x14ac:dyDescent="0.25">
      <c r="A19" s="57"/>
      <c r="B19" s="58"/>
      <c r="C19" s="22" t="s">
        <v>298</v>
      </c>
    </row>
    <row r="20" spans="1:3" ht="30.75" customHeight="1" x14ac:dyDescent="0.25">
      <c r="A20" s="57"/>
      <c r="B20" s="58"/>
      <c r="C20" s="23" t="s">
        <v>263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300</v>
      </c>
    </row>
    <row r="23" spans="1:3" ht="15.75" x14ac:dyDescent="0.25">
      <c r="A23" s="11">
        <v>17</v>
      </c>
      <c r="B23" s="52" t="s">
        <v>221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266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284</v>
      </c>
    </row>
    <row r="31" spans="1:3" ht="72.75" customHeight="1" x14ac:dyDescent="0.25">
      <c r="A31" s="11">
        <v>25</v>
      </c>
      <c r="B31" s="52" t="s">
        <v>40</v>
      </c>
      <c r="C31" s="22" t="s">
        <v>284</v>
      </c>
    </row>
    <row r="32" spans="1:3" ht="60" customHeight="1" x14ac:dyDescent="0.25">
      <c r="A32" s="11">
        <v>26</v>
      </c>
      <c r="B32" s="52" t="s">
        <v>41</v>
      </c>
      <c r="C32" s="22" t="s">
        <v>284</v>
      </c>
    </row>
    <row r="33" spans="1:3" ht="60" customHeight="1" x14ac:dyDescent="0.25">
      <c r="A33" s="11">
        <v>27</v>
      </c>
      <c r="B33" s="52" t="s">
        <v>42</v>
      </c>
      <c r="C33" s="20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284</v>
      </c>
    </row>
    <row r="35" spans="1:3" ht="59.25" customHeight="1" x14ac:dyDescent="0.25">
      <c r="A35" s="11">
        <v>29</v>
      </c>
      <c r="B35" s="52" t="s">
        <v>44</v>
      </c>
      <c r="C35" s="22" t="s">
        <v>284</v>
      </c>
    </row>
    <row r="36" spans="1:3" ht="66" customHeight="1" x14ac:dyDescent="0.25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7" zoomScale="60" zoomScaleNormal="70" workbookViewId="0">
      <selection activeCell="Q14" sqref="Q1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89</v>
      </c>
      <c r="E12" s="24"/>
      <c r="F12" s="24"/>
      <c r="G12" s="24"/>
      <c r="H12" s="24"/>
      <c r="I12" s="24">
        <v>5</v>
      </c>
      <c r="J12" s="24">
        <v>4</v>
      </c>
      <c r="K12" s="24">
        <f>L12+M12+R12</f>
        <v>12</v>
      </c>
      <c r="L12" s="24">
        <v>4</v>
      </c>
      <c r="M12" s="24">
        <v>2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27" si="0">ROW()-11</f>
        <v>2</v>
      </c>
      <c r="B13" s="24" t="s">
        <v>244</v>
      </c>
      <c r="C13" s="24"/>
      <c r="D13" s="24">
        <v>69</v>
      </c>
      <c r="E13" s="24"/>
      <c r="F13" s="24"/>
      <c r="G13" s="24"/>
      <c r="H13" s="24"/>
      <c r="I13" s="24">
        <v>5</v>
      </c>
      <c r="J13" s="24">
        <v>5.5</v>
      </c>
      <c r="K13" s="24">
        <f t="shared" ref="K13:K27" si="1">L13+M13+R13</f>
        <v>15</v>
      </c>
      <c r="L13" s="24">
        <v>4</v>
      </c>
      <c r="M13" s="24">
        <v>3</v>
      </c>
      <c r="N13" s="24"/>
      <c r="O13" s="24"/>
      <c r="P13" s="24"/>
      <c r="Q13" s="24"/>
      <c r="R13" s="24">
        <v>8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273</v>
      </c>
      <c r="C14" s="24"/>
      <c r="D14" s="24">
        <v>62</v>
      </c>
      <c r="E14" s="24"/>
      <c r="F14" s="24"/>
      <c r="G14" s="24"/>
      <c r="H14" s="24"/>
      <c r="I14" s="24">
        <v>8</v>
      </c>
      <c r="J14" s="24">
        <v>6</v>
      </c>
      <c r="K14" s="24">
        <f t="shared" si="1"/>
        <v>9</v>
      </c>
      <c r="L14" s="24">
        <v>3</v>
      </c>
      <c r="M14" s="24">
        <v>2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274</v>
      </c>
      <c r="C15" s="24"/>
      <c r="D15" s="24">
        <v>78</v>
      </c>
      <c r="E15" s="24"/>
      <c r="F15" s="24"/>
      <c r="G15" s="24"/>
      <c r="H15" s="24"/>
      <c r="I15" s="24">
        <v>8</v>
      </c>
      <c r="J15" s="24">
        <v>7</v>
      </c>
      <c r="K15" s="24">
        <f t="shared" si="1"/>
        <v>13.5</v>
      </c>
      <c r="L15" s="24">
        <v>5.5</v>
      </c>
      <c r="M15" s="24">
        <v>3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275</v>
      </c>
      <c r="C16" s="24"/>
      <c r="D16" s="24">
        <v>50</v>
      </c>
      <c r="E16" s="24"/>
      <c r="F16" s="24"/>
      <c r="G16" s="24"/>
      <c r="H16" s="24"/>
      <c r="I16" s="24">
        <v>3</v>
      </c>
      <c r="J16" s="24">
        <v>4</v>
      </c>
      <c r="K16" s="24">
        <f t="shared" si="1"/>
        <v>10.5</v>
      </c>
      <c r="L16" s="24">
        <v>5</v>
      </c>
      <c r="M16" s="24">
        <v>2</v>
      </c>
      <c r="N16" s="24"/>
      <c r="O16" s="24"/>
      <c r="P16" s="24"/>
      <c r="Q16" s="24"/>
      <c r="R16" s="24">
        <v>3.5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49</v>
      </c>
      <c r="E17" s="24"/>
      <c r="F17" s="24"/>
      <c r="G17" s="24"/>
      <c r="H17" s="24"/>
      <c r="I17" s="24">
        <v>6</v>
      </c>
      <c r="J17" s="24">
        <v>7</v>
      </c>
      <c r="K17" s="24">
        <f t="shared" si="1"/>
        <v>10</v>
      </c>
      <c r="L17" s="24">
        <v>3</v>
      </c>
      <c r="M17" s="24">
        <v>3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56</v>
      </c>
      <c r="E18" s="24"/>
      <c r="F18" s="24"/>
      <c r="G18" s="24"/>
      <c r="H18" s="24"/>
      <c r="I18" s="24">
        <v>6</v>
      </c>
      <c r="J18" s="24">
        <v>7.5</v>
      </c>
      <c r="K18" s="24">
        <f t="shared" si="1"/>
        <v>12</v>
      </c>
      <c r="L18" s="24">
        <v>5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33</v>
      </c>
      <c r="E19" s="24"/>
      <c r="F19" s="24"/>
      <c r="G19" s="24"/>
      <c r="H19" s="24"/>
      <c r="I19" s="24">
        <v>5</v>
      </c>
      <c r="J19" s="24">
        <v>6</v>
      </c>
      <c r="K19" s="24">
        <f t="shared" si="1"/>
        <v>11</v>
      </c>
      <c r="L19" s="24">
        <v>4</v>
      </c>
      <c r="M19" s="19">
        <v>2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273</v>
      </c>
      <c r="C20" s="24"/>
      <c r="D20" s="24">
        <v>45</v>
      </c>
      <c r="E20" s="24"/>
      <c r="F20" s="24"/>
      <c r="G20" s="24"/>
      <c r="H20" s="24"/>
      <c r="I20" s="24">
        <v>7</v>
      </c>
      <c r="J20" s="24">
        <v>6</v>
      </c>
      <c r="K20" s="24">
        <f t="shared" si="1"/>
        <v>8.9</v>
      </c>
      <c r="L20" s="24">
        <v>4</v>
      </c>
      <c r="M20" s="24">
        <v>2.4</v>
      </c>
      <c r="N20" s="24"/>
      <c r="O20" s="24"/>
      <c r="P20" s="24"/>
      <c r="Q20" s="24"/>
      <c r="R20" s="24">
        <v>2.5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276</v>
      </c>
      <c r="C21" s="24"/>
      <c r="D21" s="24">
        <v>112</v>
      </c>
      <c r="E21" s="24"/>
      <c r="F21" s="24"/>
      <c r="G21" s="24"/>
      <c r="H21" s="24"/>
      <c r="I21" s="24">
        <v>8</v>
      </c>
      <c r="J21" s="24">
        <v>7</v>
      </c>
      <c r="K21" s="24">
        <f t="shared" si="1"/>
        <v>16</v>
      </c>
      <c r="L21" s="24">
        <v>4</v>
      </c>
      <c r="M21" s="24">
        <v>3</v>
      </c>
      <c r="N21" s="24"/>
      <c r="O21" s="24"/>
      <c r="P21" s="24"/>
      <c r="Q21" s="24"/>
      <c r="R21" s="24">
        <v>9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273</v>
      </c>
      <c r="C22" s="24"/>
      <c r="D22" s="24">
        <v>54</v>
      </c>
      <c r="E22" s="24"/>
      <c r="F22" s="24"/>
      <c r="G22" s="24"/>
      <c r="H22" s="24"/>
      <c r="I22" s="24">
        <v>3</v>
      </c>
      <c r="J22" s="24">
        <v>4</v>
      </c>
      <c r="K22" s="24">
        <f t="shared" si="1"/>
        <v>8.5</v>
      </c>
      <c r="L22" s="24">
        <v>4</v>
      </c>
      <c r="M22" s="24">
        <v>2.5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277</v>
      </c>
      <c r="C23" s="24"/>
      <c r="D23" s="24">
        <v>51</v>
      </c>
      <c r="E23" s="24"/>
      <c r="F23" s="24"/>
      <c r="G23" s="24"/>
      <c r="H23" s="24"/>
      <c r="I23" s="24">
        <v>0</v>
      </c>
      <c r="J23" s="24">
        <v>0</v>
      </c>
      <c r="K23" s="24">
        <f t="shared" si="1"/>
        <v>4.7</v>
      </c>
      <c r="L23" s="24">
        <v>4</v>
      </c>
      <c r="M23" s="24">
        <v>0</v>
      </c>
      <c r="N23" s="24"/>
      <c r="O23" s="24"/>
      <c r="P23" s="24"/>
      <c r="Q23" s="24"/>
      <c r="R23" s="24">
        <v>0.7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275</v>
      </c>
      <c r="C24" s="24"/>
      <c r="D24" s="24">
        <v>91</v>
      </c>
      <c r="E24" s="24"/>
      <c r="F24" s="24"/>
      <c r="G24" s="24"/>
      <c r="H24" s="24"/>
      <c r="I24" s="24">
        <v>7</v>
      </c>
      <c r="J24" s="24">
        <v>8</v>
      </c>
      <c r="K24" s="24">
        <f t="shared" si="1"/>
        <v>12</v>
      </c>
      <c r="L24" s="24">
        <v>4</v>
      </c>
      <c r="M24" s="24">
        <v>2</v>
      </c>
      <c r="N24" s="24"/>
      <c r="O24" s="24"/>
      <c r="P24" s="24"/>
      <c r="Q24" s="24"/>
      <c r="R24" s="24">
        <v>6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273</v>
      </c>
      <c r="C25" s="24"/>
      <c r="D25" s="24">
        <v>38</v>
      </c>
      <c r="E25" s="24"/>
      <c r="F25" s="24"/>
      <c r="G25" s="24"/>
      <c r="H25" s="24"/>
      <c r="I25" s="24">
        <v>4</v>
      </c>
      <c r="J25" s="24">
        <v>3</v>
      </c>
      <c r="K25" s="24">
        <f t="shared" si="1"/>
        <v>10</v>
      </c>
      <c r="L25" s="24">
        <v>3</v>
      </c>
      <c r="M25" s="24">
        <v>2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93</v>
      </c>
      <c r="E26" s="24"/>
      <c r="F26" s="24"/>
      <c r="G26" s="24"/>
      <c r="H26" s="24"/>
      <c r="I26" s="24">
        <v>6</v>
      </c>
      <c r="J26" s="24">
        <v>7</v>
      </c>
      <c r="K26" s="24">
        <f t="shared" si="1"/>
        <v>12</v>
      </c>
      <c r="L26" s="24">
        <v>4</v>
      </c>
      <c r="M26" s="24">
        <v>3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274</v>
      </c>
      <c r="C27" s="24"/>
      <c r="D27" s="24">
        <v>83</v>
      </c>
      <c r="E27" s="24"/>
      <c r="F27" s="24"/>
      <c r="G27" s="24"/>
      <c r="H27" s="24"/>
      <c r="I27" s="24">
        <v>5</v>
      </c>
      <c r="J27" s="24">
        <v>6</v>
      </c>
      <c r="K27" s="24">
        <f t="shared" si="1"/>
        <v>13</v>
      </c>
      <c r="L27" s="24">
        <v>6</v>
      </c>
      <c r="M27" s="24">
        <v>3</v>
      </c>
      <c r="N27" s="24"/>
      <c r="O27" s="24"/>
      <c r="P27" s="24"/>
      <c r="Q27" s="24"/>
      <c r="R27" s="24">
        <v>4</v>
      </c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60" workbookViewId="0">
      <selection activeCell="H11" sqref="H1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273</v>
      </c>
      <c r="C5" s="12" t="s">
        <v>307</v>
      </c>
      <c r="D5" s="12">
        <v>4</v>
      </c>
      <c r="E5" s="12">
        <v>2</v>
      </c>
      <c r="F5" s="12"/>
      <c r="G5" s="12">
        <f>D5*E5</f>
        <v>8</v>
      </c>
      <c r="H5" s="12"/>
    </row>
    <row r="6" spans="1:8" ht="29.25" customHeight="1" x14ac:dyDescent="0.25">
      <c r="A6" s="11">
        <v>2</v>
      </c>
      <c r="B6" s="12" t="s">
        <v>273</v>
      </c>
      <c r="C6" s="12" t="s">
        <v>307</v>
      </c>
      <c r="D6" s="12">
        <v>3</v>
      </c>
      <c r="E6" s="12">
        <v>2.5</v>
      </c>
      <c r="F6" s="12" t="s">
        <v>316</v>
      </c>
      <c r="G6" s="12">
        <f t="shared" ref="G6:G9" si="0">D6*E6</f>
        <v>7.5</v>
      </c>
      <c r="H6" s="12"/>
    </row>
    <row r="7" spans="1:8" ht="29.25" customHeight="1" x14ac:dyDescent="0.25">
      <c r="A7" s="11">
        <v>3</v>
      </c>
      <c r="B7" s="12" t="s">
        <v>273</v>
      </c>
      <c r="C7" s="12" t="s">
        <v>307</v>
      </c>
      <c r="D7" s="12">
        <v>6</v>
      </c>
      <c r="E7" s="12">
        <v>3</v>
      </c>
      <c r="F7" s="12"/>
      <c r="G7" s="12">
        <f t="shared" si="0"/>
        <v>18</v>
      </c>
      <c r="H7" s="12"/>
    </row>
    <row r="8" spans="1:8" ht="29.25" customHeight="1" x14ac:dyDescent="0.25">
      <c r="A8" s="11">
        <v>4</v>
      </c>
      <c r="B8" s="12" t="s">
        <v>278</v>
      </c>
      <c r="C8" s="12" t="s">
        <v>308</v>
      </c>
      <c r="D8" s="12">
        <v>4</v>
      </c>
      <c r="E8" s="12">
        <v>2</v>
      </c>
      <c r="F8" s="12" t="s">
        <v>315</v>
      </c>
      <c r="G8" s="12">
        <f t="shared" si="0"/>
        <v>8</v>
      </c>
      <c r="H8" s="12"/>
    </row>
    <row r="9" spans="1:8" ht="29.25" customHeight="1" x14ac:dyDescent="0.25">
      <c r="A9" s="11">
        <v>5</v>
      </c>
      <c r="B9" s="12" t="s">
        <v>278</v>
      </c>
      <c r="C9" s="12" t="s">
        <v>308</v>
      </c>
      <c r="D9" s="12">
        <v>3</v>
      </c>
      <c r="E9" s="12">
        <v>1.8</v>
      </c>
      <c r="F9" s="12"/>
      <c r="G9" s="12">
        <f t="shared" si="0"/>
        <v>5.4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304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279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305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281</v>
      </c>
      <c r="C38" s="18" t="s">
        <v>309</v>
      </c>
      <c r="D38" s="18">
        <v>3</v>
      </c>
      <c r="E38" s="18">
        <v>2</v>
      </c>
      <c r="F38" s="18" t="s">
        <v>319</v>
      </c>
      <c r="G38" s="12">
        <f t="shared" ref="G38:G42" si="1">D38*E38</f>
        <v>6</v>
      </c>
      <c r="H38" s="18"/>
    </row>
    <row r="39" spans="1:8" ht="36" customHeight="1" x14ac:dyDescent="0.25">
      <c r="A39" s="11">
        <v>2</v>
      </c>
      <c r="B39" s="18" t="s">
        <v>282</v>
      </c>
      <c r="C39" s="18" t="s">
        <v>310</v>
      </c>
      <c r="D39" s="18">
        <v>4.5</v>
      </c>
      <c r="E39" s="18">
        <v>2.5</v>
      </c>
      <c r="F39" s="18" t="s">
        <v>320</v>
      </c>
      <c r="G39" s="12">
        <f t="shared" si="1"/>
        <v>11.25</v>
      </c>
      <c r="H39" s="18"/>
    </row>
    <row r="40" spans="1:8" ht="36" customHeight="1" x14ac:dyDescent="0.25">
      <c r="A40" s="11">
        <v>3</v>
      </c>
      <c r="B40" s="18" t="s">
        <v>278</v>
      </c>
      <c r="C40" s="18" t="s">
        <v>308</v>
      </c>
      <c r="D40" s="18">
        <v>4</v>
      </c>
      <c r="E40" s="18">
        <v>2.5</v>
      </c>
      <c r="F40" s="18"/>
      <c r="G40" s="12">
        <f t="shared" si="1"/>
        <v>10</v>
      </c>
      <c r="H40" s="18"/>
    </row>
    <row r="41" spans="1:8" ht="36" customHeight="1" x14ac:dyDescent="0.25">
      <c r="A41" s="11">
        <v>4</v>
      </c>
      <c r="B41" s="18" t="s">
        <v>278</v>
      </c>
      <c r="C41" s="18" t="s">
        <v>308</v>
      </c>
      <c r="D41" s="18">
        <v>3</v>
      </c>
      <c r="E41" s="18">
        <v>2.5</v>
      </c>
      <c r="F41" s="18" t="s">
        <v>315</v>
      </c>
      <c r="G41" s="12">
        <f t="shared" si="1"/>
        <v>7.5</v>
      </c>
      <c r="H41" s="18"/>
    </row>
    <row r="42" spans="1:8" ht="36" customHeight="1" x14ac:dyDescent="0.25">
      <c r="A42" s="11">
        <v>5</v>
      </c>
      <c r="B42" s="18" t="s">
        <v>278</v>
      </c>
      <c r="C42" s="18" t="s">
        <v>308</v>
      </c>
      <c r="D42" s="18">
        <v>3.5</v>
      </c>
      <c r="E42" s="18">
        <v>2</v>
      </c>
      <c r="F42" s="18"/>
      <c r="G42" s="12">
        <f t="shared" si="1"/>
        <v>7</v>
      </c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301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302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283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284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285</v>
      </c>
      <c r="C96" s="11" t="s">
        <v>311</v>
      </c>
      <c r="D96" s="41">
        <v>3</v>
      </c>
      <c r="E96" s="42">
        <v>2.5</v>
      </c>
      <c r="F96" s="23" t="s">
        <v>318</v>
      </c>
      <c r="G96" s="12">
        <f t="shared" ref="G96:G97" si="2">D96*E96</f>
        <v>7.5</v>
      </c>
      <c r="H96" s="23"/>
    </row>
    <row r="97" spans="1:8" s="28" customFormat="1" ht="39" customHeight="1" x14ac:dyDescent="0.25">
      <c r="A97" s="41">
        <v>2</v>
      </c>
      <c r="B97" s="40" t="s">
        <v>278</v>
      </c>
      <c r="C97" s="11"/>
      <c r="D97" s="41">
        <v>3.5</v>
      </c>
      <c r="E97" s="42">
        <v>2.7</v>
      </c>
      <c r="F97" s="23" t="s">
        <v>315</v>
      </c>
      <c r="G97" s="12">
        <f t="shared" si="2"/>
        <v>9.4500000000000011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7" zoomScale="85" zoomScaleNormal="85" zoomScaleSheetLayoutView="85" workbookViewId="0">
      <selection activeCell="F43" sqref="F43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286</v>
      </c>
      <c r="C6" s="45"/>
      <c r="D6" s="18">
        <v>600</v>
      </c>
      <c r="E6" s="88" t="s">
        <v>314</v>
      </c>
      <c r="F6" s="23" t="s">
        <v>313</v>
      </c>
      <c r="G6" s="18" t="s">
        <v>288</v>
      </c>
    </row>
    <row r="7" spans="1:7" ht="45.6" customHeight="1" x14ac:dyDescent="0.25">
      <c r="A7" s="11">
        <v>2</v>
      </c>
      <c r="B7" s="18" t="s">
        <v>287</v>
      </c>
      <c r="C7" s="45" t="s">
        <v>308</v>
      </c>
      <c r="D7" s="18">
        <v>65</v>
      </c>
      <c r="E7" s="18"/>
      <c r="F7" s="23">
        <f t="shared" ref="F7:F9" si="0">0.05*(D7)*(D7)</f>
        <v>211.25</v>
      </c>
      <c r="G7" s="18"/>
    </row>
    <row r="8" spans="1:7" ht="45.6" customHeight="1" x14ac:dyDescent="0.25">
      <c r="A8" s="11">
        <v>3</v>
      </c>
      <c r="B8" s="18" t="s">
        <v>287</v>
      </c>
      <c r="C8" s="45" t="s">
        <v>308</v>
      </c>
      <c r="D8" s="18">
        <v>52</v>
      </c>
      <c r="E8" s="18" t="s">
        <v>315</v>
      </c>
      <c r="F8" s="23">
        <f t="shared" si="0"/>
        <v>135.20000000000002</v>
      </c>
      <c r="G8" s="18"/>
    </row>
    <row r="9" spans="1:7" ht="45.6" customHeight="1" x14ac:dyDescent="0.25">
      <c r="A9" s="11">
        <v>4</v>
      </c>
      <c r="B9" s="18" t="s">
        <v>287</v>
      </c>
      <c r="C9" s="45" t="s">
        <v>308</v>
      </c>
      <c r="D9" s="18">
        <v>42</v>
      </c>
      <c r="E9" s="18"/>
      <c r="F9" s="23">
        <f t="shared" si="0"/>
        <v>88.2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274</v>
      </c>
      <c r="C39" s="48" t="s">
        <v>312</v>
      </c>
      <c r="D39" s="41">
        <v>35</v>
      </c>
      <c r="E39" s="23" t="s">
        <v>316</v>
      </c>
      <c r="F39" s="23">
        <f t="shared" ref="F39:F41" si="1">0.05*(D39)*(D39)</f>
        <v>61.25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310</v>
      </c>
      <c r="D40" s="41">
        <v>40</v>
      </c>
      <c r="E40" s="23"/>
      <c r="F40" s="23">
        <f t="shared" si="1"/>
        <v>80</v>
      </c>
      <c r="G40" s="23"/>
    </row>
    <row r="41" spans="1:7" s="28" customFormat="1" ht="45.6" customHeight="1" x14ac:dyDescent="0.25">
      <c r="A41" s="41">
        <v>3</v>
      </c>
      <c r="B41" s="23" t="s">
        <v>282</v>
      </c>
      <c r="C41" s="48" t="s">
        <v>310</v>
      </c>
      <c r="D41" s="41">
        <v>25</v>
      </c>
      <c r="E41" s="88" t="s">
        <v>317</v>
      </c>
      <c r="F41" s="23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H10" sqref="H1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2024-06-16T13:31:33Z</dcterms:modified>
</cp:coreProperties>
</file>