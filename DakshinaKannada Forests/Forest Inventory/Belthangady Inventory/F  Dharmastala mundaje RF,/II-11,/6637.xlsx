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urganfort\Downloads\drive-download-20240114T095133Z-001\F  Dharmastala mundaje RF\II-11\"/>
    </mc:Choice>
  </mc:AlternateContent>
  <xr:revisionPtr revIDLastSave="0" documentId="13_ncr:1_{AC05C52B-61A8-426C-91B5-9C9D6E34C310}" xr6:coauthVersionLast="47" xr6:coauthVersionMax="47" xr10:uidLastSave="{00000000-0000-0000-0000-000000000000}"/>
  <bookViews>
    <workbookView xWindow="1125" yWindow="1125" windowWidth="22140" windowHeight="13110" activeTab="5" xr2:uid="{00000000-000D-0000-FFFF-FFFF00000000}"/>
  </bookViews>
  <sheets>
    <sheet name="Form 1" sheetId="4" r:id="rId1"/>
    <sheet name="Form II" sheetId="5" r:id="rId2"/>
    <sheet name="Form No 3" sheetId="6" r:id="rId3"/>
    <sheet name="Form No.04" sheetId="7" r:id="rId4"/>
    <sheet name="F-B" sheetId="8" r:id="rId5"/>
    <sheet name="Form C" sheetId="9" r:id="rId6"/>
    <sheet name="Form 8" sheetId="10" r:id="rId7"/>
    <sheet name="Sheet1" sheetId="11" r:id="rId8"/>
  </sheets>
  <definedNames>
    <definedName name="_xlnm.Print_Area" localSheetId="6">'Form 8'!$A$1:$K$22</definedName>
    <definedName name="_xlnm.Print_Area" localSheetId="2">'Form No 3'!$A$1:$T$60</definedName>
    <definedName name="_xlnm.Print_Area" localSheetId="7">Sheet1!$A$1:$E$27</definedName>
    <definedName name="_xlnm.Print_Titles" localSheetId="4">'F-B'!$1:$1</definedName>
    <definedName name="_xlnm.Print_Titles" localSheetId="0">'Form 1'!$4:$4</definedName>
    <definedName name="_xlnm.Print_Titles" localSheetId="5">'Form C'!$1:$1</definedName>
    <definedName name="_xlnm.Print_Titles" localSheetId="1">'Form II'!$4:$4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99" i="8" l="1"/>
  <c r="G98" i="8"/>
  <c r="G97" i="8"/>
  <c r="G96" i="8"/>
  <c r="G69" i="8"/>
  <c r="G40" i="8"/>
  <c r="G39" i="8"/>
  <c r="G38" i="8"/>
  <c r="G6" i="8"/>
  <c r="G5" i="8"/>
  <c r="F43" i="9"/>
  <c r="F42" i="9"/>
  <c r="F41" i="9"/>
  <c r="F40" i="9"/>
  <c r="F39" i="9"/>
  <c r="F9" i="9"/>
  <c r="F8" i="9"/>
  <c r="F7" i="9"/>
  <c r="F6" i="9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35" i="6"/>
  <c r="K36" i="6"/>
  <c r="K37" i="6"/>
  <c r="K38" i="6"/>
  <c r="K39" i="6"/>
  <c r="K40" i="6"/>
  <c r="K12" i="6"/>
  <c r="A13" i="6"/>
  <c r="A14" i="6"/>
  <c r="A15" i="6"/>
  <c r="A16" i="6"/>
  <c r="A17" i="6"/>
  <c r="A18" i="6"/>
  <c r="A19" i="6"/>
  <c r="A20" i="6"/>
  <c r="A21" i="6"/>
  <c r="A22" i="6"/>
  <c r="A23" i="6"/>
  <c r="A24" i="6"/>
  <c r="A25" i="6"/>
  <c r="A26" i="6"/>
  <c r="A27" i="6"/>
  <c r="A28" i="6"/>
  <c r="A29" i="6"/>
  <c r="A30" i="6"/>
  <c r="A31" i="6"/>
  <c r="A32" i="6"/>
  <c r="A33" i="6"/>
  <c r="A34" i="6"/>
  <c r="A35" i="6"/>
  <c r="A36" i="6"/>
  <c r="A37" i="6"/>
  <c r="A38" i="6"/>
  <c r="A39" i="6"/>
  <c r="A40" i="6"/>
  <c r="A12" i="6"/>
  <c r="C3" i="5"/>
  <c r="C8" i="5"/>
  <c r="C7" i="5"/>
  <c r="C5" i="5"/>
  <c r="C10" i="5"/>
  <c r="C9" i="5"/>
  <c r="B93" i="8"/>
  <c r="B66" i="8"/>
  <c r="B35" i="8"/>
</calcChain>
</file>

<file path=xl/sharedStrings.xml><?xml version="1.0" encoding="utf-8"?>
<sst xmlns="http://schemas.openxmlformats.org/spreadsheetml/2006/main" count="478" uniqueCount="323">
  <si>
    <t>Form I</t>
  </si>
  <si>
    <t>PLOT APPROACH FORM</t>
  </si>
  <si>
    <t xml:space="preserve">Name of Division: </t>
  </si>
  <si>
    <t>SI.No</t>
  </si>
  <si>
    <t>Heading</t>
  </si>
  <si>
    <t>Description</t>
  </si>
  <si>
    <t>Range</t>
  </si>
  <si>
    <t>Block and/or beat</t>
  </si>
  <si>
    <t>Compartment</t>
  </si>
  <si>
    <t>Grid</t>
  </si>
  <si>
    <t>Latitude</t>
  </si>
  <si>
    <t>Longitude</t>
  </si>
  <si>
    <t>Journey/approach to the plot</t>
  </si>
  <si>
    <t>Ocular stock assessment</t>
  </si>
  <si>
    <t>General observational information</t>
  </si>
  <si>
    <t>Conspicuous features</t>
  </si>
  <si>
    <t>Removal of fuel wood and fodder</t>
  </si>
  <si>
    <t>Form II</t>
  </si>
  <si>
    <t>PLOT DESCRIPTION FORM</t>
  </si>
  <si>
    <t>Remarks</t>
  </si>
  <si>
    <t>LAT.</t>
  </si>
  <si>
    <t>LONG.</t>
  </si>
  <si>
    <t>ALT.</t>
  </si>
  <si>
    <t>Legal Status</t>
  </si>
  <si>
    <t>Land Use</t>
  </si>
  <si>
    <t>General topography</t>
  </si>
  <si>
    <t>Slope</t>
  </si>
  <si>
    <t>Aspect</t>
  </si>
  <si>
    <t>Rock and geology</t>
  </si>
  <si>
    <t>Sedimentary Rocks / Metamorphic Rocks / Ignecious Rocks</t>
  </si>
  <si>
    <t>Soil data</t>
  </si>
  <si>
    <t>Soil erosion</t>
  </si>
  <si>
    <t>Crop composition</t>
  </si>
  <si>
    <t xml:space="preserve">Injury/ damage to crop, if any </t>
  </si>
  <si>
    <t>Biotic Influence</t>
  </si>
  <si>
    <t>Grazing incidence</t>
  </si>
  <si>
    <t>Presence of bamboos</t>
  </si>
  <si>
    <t>Presence of grasses</t>
  </si>
  <si>
    <t>Presence of weeds</t>
  </si>
  <si>
    <t xml:space="preserve">Invasive Species </t>
  </si>
  <si>
    <t>Plantation status</t>
  </si>
  <si>
    <t>water bodies</t>
  </si>
  <si>
    <t>Drivers of degradation</t>
  </si>
  <si>
    <t>Faunal sighting, if any</t>
  </si>
  <si>
    <t>Faunal traces of flagship species.</t>
  </si>
  <si>
    <t>Field Form No.3</t>
  </si>
  <si>
    <t>PLOT ENUMERATION AND SAMPLE TREE FORM</t>
  </si>
  <si>
    <t>Job no.*</t>
  </si>
  <si>
    <t>Form Code*</t>
  </si>
  <si>
    <t>Mapsheet No.*</t>
  </si>
  <si>
    <t>Grid code*</t>
  </si>
  <si>
    <t>Sub-plot*</t>
  </si>
  <si>
    <t>Slope %*</t>
  </si>
  <si>
    <t>Sub-plot status *</t>
  </si>
  <si>
    <t>Land use class of Sub-plot*</t>
  </si>
  <si>
    <t>Sub-plot Selected for STF(Yes/No)*</t>
  </si>
  <si>
    <t>Total No.of bamboo clumps*</t>
  </si>
  <si>
    <t>Total no. of tress*</t>
  </si>
  <si>
    <t>1(3)</t>
  </si>
  <si>
    <t>2(2)</t>
  </si>
  <si>
    <t>3(6)</t>
  </si>
  <si>
    <t>4(6)</t>
  </si>
  <si>
    <t>5(1)</t>
  </si>
  <si>
    <t>6(3)</t>
  </si>
  <si>
    <t>7(1)</t>
  </si>
  <si>
    <t>7a(2)</t>
  </si>
  <si>
    <t>7(b)</t>
  </si>
  <si>
    <t>26(3)</t>
  </si>
  <si>
    <t>27(3)</t>
  </si>
  <si>
    <t>Plot Enumeration Form Parameters</t>
  </si>
  <si>
    <t>Sample tree form Parameters</t>
  </si>
  <si>
    <t>Species Name*</t>
  </si>
  <si>
    <t>Species code *</t>
  </si>
  <si>
    <t>Status of tree (Dead/Alive)*</t>
  </si>
  <si>
    <t>Cause of death in case of mortailty*</t>
  </si>
  <si>
    <t>rotten/missing cull*</t>
  </si>
  <si>
    <t>Decay class*</t>
  </si>
  <si>
    <t>Crown width (meter)</t>
  </si>
  <si>
    <t>Height(meter)</t>
  </si>
  <si>
    <t>Incidence of Insect*</t>
  </si>
  <si>
    <t>Incidence of Disease*</t>
  </si>
  <si>
    <t>DBT(mm)*</t>
  </si>
  <si>
    <t>Bark Void%</t>
  </si>
  <si>
    <t>Clearbole height(m)*</t>
  </si>
  <si>
    <t>Dominance*</t>
  </si>
  <si>
    <t>CW1*</t>
  </si>
  <si>
    <t>CW2*</t>
  </si>
  <si>
    <t>total height*</t>
  </si>
  <si>
    <t>Uncompacted Crown Length</t>
  </si>
  <si>
    <t>Compacted Crown Length</t>
  </si>
  <si>
    <t>9(4)</t>
  </si>
  <si>
    <t>10(3)</t>
  </si>
  <si>
    <t>11(1)</t>
  </si>
  <si>
    <t>12(1)</t>
  </si>
  <si>
    <t>13(1)</t>
  </si>
  <si>
    <t>14(1)</t>
  </si>
  <si>
    <t>15(2)</t>
  </si>
  <si>
    <t>16(2)</t>
  </si>
  <si>
    <t>17(2)</t>
  </si>
  <si>
    <t>18(2)</t>
  </si>
  <si>
    <t>19(2)</t>
  </si>
  <si>
    <t>20(1)</t>
  </si>
  <si>
    <t>21(1)</t>
  </si>
  <si>
    <t>22(2)</t>
  </si>
  <si>
    <t>23(2)</t>
  </si>
  <si>
    <t>24(2)</t>
  </si>
  <si>
    <t>25(1)</t>
  </si>
  <si>
    <t>Field Form No.4</t>
  </si>
  <si>
    <t>BAMBOO CLUMP ANALYSIS FORM</t>
  </si>
  <si>
    <t>Job No.</t>
  </si>
  <si>
    <t>From Code</t>
  </si>
  <si>
    <t>Mapsheet No.</t>
  </si>
  <si>
    <t>Grid ccode</t>
  </si>
  <si>
    <t>Average culm height (in dcm)</t>
  </si>
  <si>
    <t>Bamboo quality</t>
  </si>
  <si>
    <t>Upto 1 cm top dia</t>
  </si>
  <si>
    <t>Upto 3 cm top dia</t>
  </si>
  <si>
    <t>38(3)</t>
  </si>
  <si>
    <t>39(3)</t>
  </si>
  <si>
    <t>40(1)</t>
  </si>
  <si>
    <t>Species</t>
  </si>
  <si>
    <t>Sub plot number and clump SI.No.</t>
  </si>
  <si>
    <t>Clump size class</t>
  </si>
  <si>
    <t>Green sound culm</t>
  </si>
  <si>
    <t>Green damaged culm</t>
  </si>
  <si>
    <t>Dry sound culms</t>
  </si>
  <si>
    <t>Dry damaged culms</t>
  </si>
  <si>
    <t>Decayed culms</t>
  </si>
  <si>
    <t>Avrage column height (in mtr)</t>
  </si>
  <si>
    <t>Total no.of culms</t>
  </si>
  <si>
    <t xml:space="preserve">Name </t>
  </si>
  <si>
    <t>Code</t>
  </si>
  <si>
    <t>Current years</t>
  </si>
  <si>
    <t>one to two years old</t>
  </si>
  <si>
    <t>Over two years old</t>
  </si>
  <si>
    <t>1&lt;2 cm</t>
  </si>
  <si>
    <t>2&lt;5cm</t>
  </si>
  <si>
    <t>5&lt;8 cm</t>
  </si>
  <si>
    <t>8+cm</t>
  </si>
  <si>
    <t>6(4)</t>
  </si>
  <si>
    <t>7(3)</t>
  </si>
  <si>
    <t>8(3)</t>
  </si>
  <si>
    <t>9(1)</t>
  </si>
  <si>
    <t>10(2)</t>
  </si>
  <si>
    <t>11(2)</t>
  </si>
  <si>
    <t>12(2)</t>
  </si>
  <si>
    <t>13(2)</t>
  </si>
  <si>
    <t>14(2)</t>
  </si>
  <si>
    <t>20(2)</t>
  </si>
  <si>
    <t>21(2)</t>
  </si>
  <si>
    <t>25(2)</t>
  </si>
  <si>
    <t>26(2)</t>
  </si>
  <si>
    <t>27(2)</t>
  </si>
  <si>
    <t>28(2)</t>
  </si>
  <si>
    <t>29(2)</t>
  </si>
  <si>
    <t>30(2)</t>
  </si>
  <si>
    <t>31(2)</t>
  </si>
  <si>
    <t>32(2)</t>
  </si>
  <si>
    <t>33(2)</t>
  </si>
  <si>
    <t>34(2)</t>
  </si>
  <si>
    <t>35(2)</t>
  </si>
  <si>
    <t>36(2)</t>
  </si>
  <si>
    <t>37(3)</t>
  </si>
  <si>
    <t xml:space="preserve">    PLOT ENUMERATION FORM – B (3m X 3m Plot)       Grid No:</t>
  </si>
  <si>
    <t xml:space="preserve">    Grid No:  </t>
  </si>
  <si>
    <t xml:space="preserve">NORTH EAST CORNER </t>
  </si>
  <si>
    <t>Sl. No</t>
  </si>
  <si>
    <t>Species name</t>
  </si>
  <si>
    <t>Local name</t>
  </si>
  <si>
    <t>Collar Dia
In cm (if any)</t>
  </si>
  <si>
    <t>Height 
(in m)</t>
  </si>
  <si>
    <t>NTFP utility</t>
  </si>
  <si>
    <t>Remarks, if any, about the condition of shrub vegetation</t>
  </si>
  <si>
    <t>Part of the plant body</t>
  </si>
  <si>
    <t>Approx. weight and or no.</t>
  </si>
  <si>
    <t>OBSERVATIONS RECORDED</t>
  </si>
  <si>
    <t>Wieght of  humas &amp; Soil carbon, Forest floor of  1m X 1m plot ( within the main plot)</t>
  </si>
  <si>
    <t xml:space="preserve">Weight  of All Woody litter i.e., all branches below 5cm Dia in 3m X 3m Plot </t>
  </si>
  <si>
    <t xml:space="preserve">Weight  of All dead wood above 5cm Dia  in 5m X 5m Plot </t>
  </si>
  <si>
    <t>Weight of the all hurbs / grasses including Leaf litter in 1X1 Sub Plot</t>
  </si>
  <si>
    <t>Uprooted weight of Shrubs and climbers in gm/Kg (3m X 3m)</t>
  </si>
  <si>
    <t xml:space="preserve">SOUTH WEST CORNER </t>
  </si>
  <si>
    <t>Leaf litter in 1X1 Sub Plot</t>
  </si>
  <si>
    <t xml:space="preserve">Uprooted weight of Shrubs and climbers in gm/Kg </t>
  </si>
  <si>
    <t xml:space="preserve">          PLOT ENUMERATION FORM – C (1m X 1m Plot)    Grid No: </t>
  </si>
  <si>
    <t>Height  (in cm)</t>
  </si>
  <si>
    <t>Remarks, if any, about the condition of herbal vegetation</t>
  </si>
  <si>
    <t>Part of the plant</t>
  </si>
  <si>
    <t>Approx. weight</t>
  </si>
  <si>
    <t>body</t>
  </si>
  <si>
    <t>and or no.</t>
  </si>
  <si>
    <t xml:space="preserve"> Grid No: </t>
  </si>
  <si>
    <t>SOUTH WEST CORNER</t>
  </si>
  <si>
    <t>Field Form No.8(Optional)</t>
  </si>
  <si>
    <t>STUMP, DEAD WOOD AND WOODY LITTER FORM</t>
  </si>
  <si>
    <t>form Code</t>
  </si>
  <si>
    <t>Mapsheet No*</t>
  </si>
  <si>
    <t>grid code*</t>
  </si>
  <si>
    <t>Lat*</t>
  </si>
  <si>
    <t>Long*</t>
  </si>
  <si>
    <t>Presence of Dead wood inforamtion*</t>
  </si>
  <si>
    <r>
      <rPr>
        <b/>
        <sz val="12"/>
        <color theme="1"/>
        <rFont val="Times New Roman"/>
        <family val="1"/>
      </rPr>
      <t xml:space="preserve">Stump and dead Wood: </t>
    </r>
    <r>
      <rPr>
        <sz val="12"/>
        <color theme="1"/>
        <rFont val="Times New Roman"/>
        <family val="1"/>
      </rPr>
      <t>Circular Plot of size 2.8 m radius</t>
    </r>
  </si>
  <si>
    <t>5(6)</t>
  </si>
  <si>
    <t>6(8)</t>
  </si>
  <si>
    <t>17(10)</t>
  </si>
  <si>
    <r>
      <rPr>
        <b/>
        <sz val="12"/>
        <color theme="1"/>
        <rFont val="Times New Roman"/>
        <family val="1"/>
      </rPr>
      <t xml:space="preserve">Woody litter: </t>
    </r>
    <r>
      <rPr>
        <sz val="12"/>
        <color theme="1"/>
        <rFont val="Times New Roman"/>
        <family val="1"/>
      </rPr>
      <t>Circular plot of size 1.7 m radius</t>
    </r>
  </si>
  <si>
    <t>Sub -plot number*</t>
  </si>
  <si>
    <t>Stump Information*</t>
  </si>
  <si>
    <t>Dead wood information*</t>
  </si>
  <si>
    <t>Species code</t>
  </si>
  <si>
    <t>Satus of stump(alive/dead)</t>
  </si>
  <si>
    <t>Height in cm.</t>
  </si>
  <si>
    <t>8(4)</t>
  </si>
  <si>
    <t>11(3)</t>
  </si>
  <si>
    <t>12(4)</t>
  </si>
  <si>
    <t>13(3)</t>
  </si>
  <si>
    <t>14(3)</t>
  </si>
  <si>
    <t>Refrence  Tree Si No</t>
  </si>
  <si>
    <t>Distance of Grid Centre from reference tree</t>
  </si>
  <si>
    <t>Block and Compartment</t>
  </si>
  <si>
    <t>Regeneration status(general observation)</t>
  </si>
  <si>
    <t>or no.</t>
  </si>
  <si>
    <t>Sec &amp; or  beat</t>
  </si>
  <si>
    <t>Canopy Density class( &gt;0.75,0.5-0.75,&lt;0.5)</t>
  </si>
  <si>
    <t>Remarks( if any NTFP utility)</t>
  </si>
  <si>
    <t>NTFP/Medicinal plants information</t>
  </si>
  <si>
    <t>Si No</t>
  </si>
  <si>
    <t>Aprox qty/No</t>
  </si>
  <si>
    <t xml:space="preserve"> </t>
  </si>
  <si>
    <t>GBH (cm)*</t>
  </si>
  <si>
    <t>Clump GBH(cm)</t>
  </si>
  <si>
    <t>GBH in.cm</t>
  </si>
  <si>
    <t>Plant Species</t>
  </si>
  <si>
    <t>Habit</t>
  </si>
  <si>
    <t>Parts used</t>
  </si>
  <si>
    <t xml:space="preserve">lichens Information </t>
  </si>
  <si>
    <t>Host Plant</t>
  </si>
  <si>
    <t>No of branches in which present</t>
  </si>
  <si>
    <t>SI NO</t>
  </si>
  <si>
    <t xml:space="preserve"> NORTH WEST CORNER </t>
  </si>
  <si>
    <t>SOUTH EAST CORNER</t>
  </si>
  <si>
    <r>
      <rPr>
        <b/>
        <sz val="12"/>
        <rFont val="Times New Roman"/>
        <family val="1"/>
      </rPr>
      <t xml:space="preserve">Reserve Forest </t>
    </r>
    <r>
      <rPr>
        <sz val="12"/>
        <rFont val="Times New Roman"/>
        <family val="1"/>
      </rPr>
      <t>/ Protected Forest/ Un classed Forest /Private Forest/ Private Land</t>
    </r>
  </si>
  <si>
    <r>
      <t>Closed Forest /</t>
    </r>
    <r>
      <rPr>
        <b/>
        <sz val="12"/>
        <rFont val="Times New Roman"/>
        <family val="1"/>
      </rPr>
      <t xml:space="preserve">Dense Forest </t>
    </r>
    <r>
      <rPr>
        <sz val="12"/>
        <rFont val="Times New Roman"/>
        <family val="1"/>
      </rPr>
      <t>/Open Forest / Scrub</t>
    </r>
  </si>
  <si>
    <t>Fungi, Inscects</t>
  </si>
  <si>
    <t>0.5-0.75</t>
  </si>
  <si>
    <t>length of the log (m)</t>
  </si>
  <si>
    <t>NIL</t>
  </si>
  <si>
    <t>Mangalore</t>
  </si>
  <si>
    <t>Soil -   Humus rich loamy soil</t>
  </si>
  <si>
    <t xml:space="preserve">Aporosa lindleyana , Hopea ponga , Holigarna arnattiana , Terminalia bellarica </t>
  </si>
  <si>
    <t xml:space="preserve">Grasses -  Opplessima sp , Digiteria sp , Cynodon sp </t>
  </si>
  <si>
    <t>Weeds -  Chromolaena odorata , Lantana camera</t>
  </si>
  <si>
    <t>Bamboos -  NIL</t>
  </si>
  <si>
    <t xml:space="preserve">Herbs -  Stachytharpeta jamaicansis , Mimosa pudica </t>
  </si>
  <si>
    <t xml:space="preserve">Shrubs - Hynea trijjuga, Catunaregam spinosa </t>
  </si>
  <si>
    <t xml:space="preserve">Underwood species –  Memecylon talbotianum </t>
  </si>
  <si>
    <t xml:space="preserve">Climbers - Getonia floribunda ,Pothos scandens </t>
  </si>
  <si>
    <t xml:space="preserve">Rattans –Calamus thwiitesii </t>
  </si>
  <si>
    <t xml:space="preserve">NTFP yieding sps –Terminalia bellarica </t>
  </si>
  <si>
    <t>4.5m</t>
  </si>
  <si>
    <t>Texture- Smooth</t>
  </si>
  <si>
    <t>Depth- Moderate</t>
  </si>
  <si>
    <t>Permiability-Moderate</t>
  </si>
  <si>
    <t xml:space="preserve">Aporosa lindleyana , Hopea ponga , Terminalia paniculata , Careya arborea </t>
  </si>
  <si>
    <r>
      <t xml:space="preserve">Heavy / </t>
    </r>
    <r>
      <rPr>
        <b/>
        <sz val="12"/>
        <rFont val="Times New Roman"/>
        <family val="1"/>
      </rPr>
      <t>Moderate</t>
    </r>
    <r>
      <rPr>
        <sz val="12"/>
        <rFont val="Times New Roman"/>
        <family val="1"/>
      </rPr>
      <t xml:space="preserve"> /Mild /No erosion</t>
    </r>
  </si>
  <si>
    <r>
      <t xml:space="preserve">Adequate/ </t>
    </r>
    <r>
      <rPr>
        <b/>
        <sz val="12"/>
        <rFont val="Times New Roman"/>
        <family val="1"/>
      </rPr>
      <t>Moderate</t>
    </r>
    <r>
      <rPr>
        <sz val="12"/>
        <rFont val="Times New Roman"/>
        <family val="1"/>
      </rPr>
      <t>/ Poor /Absent</t>
    </r>
  </si>
  <si>
    <r>
      <t xml:space="preserve">Top drying / Lopping / Girdling / Scarring / </t>
    </r>
    <r>
      <rPr>
        <b/>
        <sz val="12"/>
        <rFont val="Times New Roman"/>
        <family val="1"/>
      </rPr>
      <t xml:space="preserve">Damage by natural calamities </t>
    </r>
    <r>
      <rPr>
        <sz val="12"/>
        <rFont val="Times New Roman"/>
        <family val="1"/>
      </rPr>
      <t>/ None</t>
    </r>
  </si>
  <si>
    <r>
      <t xml:space="preserve">Heavy / Moderate / </t>
    </r>
    <r>
      <rPr>
        <b/>
        <sz val="12"/>
        <rFont val="Times New Roman"/>
        <family val="1"/>
      </rPr>
      <t>Light</t>
    </r>
    <r>
      <rPr>
        <sz val="12"/>
        <rFont val="Times New Roman"/>
        <family val="1"/>
      </rPr>
      <t xml:space="preserve"> / None</t>
    </r>
  </si>
  <si>
    <r>
      <t xml:space="preserve">Present / </t>
    </r>
    <r>
      <rPr>
        <b/>
        <sz val="12"/>
        <rFont val="Times New Roman"/>
        <family val="1"/>
      </rPr>
      <t>Absent</t>
    </r>
  </si>
  <si>
    <r>
      <t xml:space="preserve">Very dense / Dense / Moderate / </t>
    </r>
    <r>
      <rPr>
        <b/>
        <sz val="12"/>
        <rFont val="Times New Roman"/>
        <family val="1"/>
      </rPr>
      <t>Scanty</t>
    </r>
    <r>
      <rPr>
        <sz val="12"/>
        <rFont val="Times New Roman"/>
        <family val="1"/>
      </rPr>
      <t xml:space="preserve"> / Absent</t>
    </r>
  </si>
  <si>
    <t>Lantana camera</t>
  </si>
  <si>
    <r>
      <t xml:space="preserve">Heavily / </t>
    </r>
    <r>
      <rPr>
        <b/>
        <sz val="12"/>
        <rFont val="Times New Roman"/>
        <family val="1"/>
      </rPr>
      <t>Moderately</t>
    </r>
    <r>
      <rPr>
        <sz val="12"/>
        <rFont val="Times New Roman"/>
        <family val="1"/>
      </rPr>
      <t xml:space="preserve"> / Mildly /Not degrated
</t>
    </r>
  </si>
  <si>
    <t>Aporosa lindleyana</t>
  </si>
  <si>
    <t>Alseodaphne semicarpifolia</t>
  </si>
  <si>
    <t>Careya arborea</t>
  </si>
  <si>
    <t>Hopea ponga</t>
  </si>
  <si>
    <t>Terminalia paniculata</t>
  </si>
  <si>
    <t>Alstonia scholaris</t>
  </si>
  <si>
    <t>Buchanania lanzan</t>
  </si>
  <si>
    <t>Terminalia bellarica</t>
  </si>
  <si>
    <t>Getonia floribunda</t>
  </si>
  <si>
    <t>Olea dioca</t>
  </si>
  <si>
    <t>Salle</t>
  </si>
  <si>
    <t>Leea indica</t>
  </si>
  <si>
    <t>Holigarna arnattiana</t>
  </si>
  <si>
    <t>Nertinge</t>
  </si>
  <si>
    <t>Holegere</t>
  </si>
  <si>
    <t xml:space="preserve">Aporosa lindleyana </t>
  </si>
  <si>
    <t xml:space="preserve">Holigarna arnattiana </t>
  </si>
  <si>
    <t>133g</t>
  </si>
  <si>
    <t>760g</t>
  </si>
  <si>
    <t>900g</t>
  </si>
  <si>
    <t>350g</t>
  </si>
  <si>
    <t>4.3Kg</t>
  </si>
  <si>
    <t>180g</t>
  </si>
  <si>
    <t>1.3Kg</t>
  </si>
  <si>
    <t>100g</t>
  </si>
  <si>
    <t>7.3Kg</t>
  </si>
  <si>
    <t>Kavalu</t>
  </si>
  <si>
    <t xml:space="preserve">Getonia floribunda </t>
  </si>
  <si>
    <t>Matti</t>
  </si>
  <si>
    <t>Travel from Ujire towards Batra bailu  up to N  12.998766°  E  75.384535° by vehicle and then walk   517 m in the bearing of  86  degree to reach the grid.</t>
  </si>
  <si>
    <t>797 ft</t>
  </si>
  <si>
    <r>
      <t xml:space="preserve">Flat / Gently rolling / Ravines / Gullies / </t>
    </r>
    <r>
      <rPr>
        <b/>
        <sz val="12"/>
        <rFont val="Times New Roman"/>
        <family val="1"/>
      </rPr>
      <t>Hilly</t>
    </r>
    <r>
      <rPr>
        <sz val="12"/>
        <rFont val="Times New Roman"/>
        <family val="1"/>
      </rPr>
      <t xml:space="preserve"> /Very Hilly</t>
    </r>
  </si>
  <si>
    <r>
      <t xml:space="preserve">Upto 3° /4°-15°/ </t>
    </r>
    <r>
      <rPr>
        <b/>
        <sz val="12"/>
        <rFont val="Times New Roman"/>
        <family val="1"/>
      </rPr>
      <t xml:space="preserve">16°-40° </t>
    </r>
    <r>
      <rPr>
        <sz val="12"/>
        <rFont val="Times New Roman"/>
        <family val="1"/>
      </rPr>
      <t>/41° and Above</t>
    </r>
  </si>
  <si>
    <r>
      <t>Northern / NE/Eastern / SE /</t>
    </r>
    <r>
      <rPr>
        <b/>
        <sz val="12"/>
        <rFont val="Times New Roman"/>
        <family val="1"/>
      </rPr>
      <t>Southern</t>
    </r>
    <r>
      <rPr>
        <sz val="12"/>
        <rFont val="Times New Roman"/>
        <family val="1"/>
      </rPr>
      <t xml:space="preserve"> /SW /Western/ NW /No aspect</t>
    </r>
  </si>
  <si>
    <t>Tract -  Undulating</t>
  </si>
  <si>
    <t>Aspect -  NO fix</t>
  </si>
  <si>
    <t>Canopy Dencity -  0.71</t>
  </si>
  <si>
    <t>Belthangady</t>
  </si>
  <si>
    <t>Dharmasthala Mundaje RF</t>
  </si>
  <si>
    <t>II-11</t>
  </si>
  <si>
    <t>Kumsa Balli</t>
  </si>
  <si>
    <t>Lianas</t>
  </si>
  <si>
    <t>Akkerakalu</t>
  </si>
  <si>
    <t xml:space="preserve">Fruits, Fiber </t>
  </si>
  <si>
    <t xml:space="preserve">Fruits, Leaves  </t>
  </si>
  <si>
    <t>roots, bark</t>
  </si>
  <si>
    <t>seeds</t>
  </si>
  <si>
    <t>Seeds and oil-rich fruits</t>
  </si>
  <si>
    <t>fruits</t>
  </si>
  <si>
    <t xml:space="preserve">fruit pulp, seed </t>
  </si>
  <si>
    <t>Flowers and leaves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</si>
</sst>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b/>
      <u/>
      <sz val="12"/>
      <color theme="1"/>
      <name val="Times New Roman"/>
      <family val="1"/>
    </font>
    <font>
      <i/>
      <sz val="12"/>
      <name val="Times New Roman"/>
      <family val="1"/>
    </font>
    <font>
      <sz val="11"/>
      <color theme="1"/>
      <name val="Times New Roman"/>
      <family val="1"/>
    </font>
    <font>
      <sz val="11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90">
    <xf numFmtId="0" fontId="0" fillId="0" borderId="0" xfId="0"/>
    <xf numFmtId="0" fontId="3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164" fontId="3" fillId="0" borderId="1" xfId="0" applyNumberFormat="1" applyFont="1" applyBorder="1" applyAlignment="1">
      <alignment horizontal="left" vertical="center" wrapText="1"/>
    </xf>
    <xf numFmtId="0" fontId="3" fillId="2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0" borderId="0" xfId="0" applyFont="1"/>
    <xf numFmtId="0" fontId="3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164" fontId="4" fillId="0" borderId="1" xfId="0" applyNumberFormat="1" applyFont="1" applyBorder="1" applyAlignment="1">
      <alignment horizontal="left" vertical="center" wrapText="1"/>
    </xf>
    <xf numFmtId="0" fontId="4" fillId="0" borderId="1" xfId="0" applyFont="1" applyBorder="1" applyAlignment="1">
      <alignment horizontal="justify" vertical="center" wrapText="1"/>
    </xf>
    <xf numFmtId="0" fontId="4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1" xfId="0" applyFont="1" applyBorder="1"/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horizontal="center" vertical="center" wrapText="1"/>
    </xf>
    <xf numFmtId="0" fontId="7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2" fontId="4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4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/>
    <xf numFmtId="0" fontId="7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7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0" fontId="6" fillId="0" borderId="0" xfId="0" applyFont="1" applyAlignment="1">
      <alignment horizontal="right"/>
    </xf>
    <xf numFmtId="0" fontId="3" fillId="0" borderId="0" xfId="0" applyFont="1" applyAlignment="1">
      <alignment wrapText="1"/>
    </xf>
    <xf numFmtId="0" fontId="5" fillId="0" borderId="1" xfId="0" applyFont="1" applyBorder="1" applyAlignment="1">
      <alignment horizontal="left" vertical="center" wrapText="1"/>
    </xf>
    <xf numFmtId="0" fontId="5" fillId="0" borderId="0" xfId="0" applyFont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2" fillId="0" borderId="0" xfId="0" applyFont="1"/>
    <xf numFmtId="0" fontId="0" fillId="0" borderId="1" xfId="0" applyBorder="1"/>
    <xf numFmtId="0" fontId="2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8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6" fillId="0" borderId="0" xfId="0" applyFont="1" applyAlignment="1">
      <alignment horizontal="right" vertical="center"/>
    </xf>
    <xf numFmtId="0" fontId="6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5" fillId="0" borderId="0" xfId="0" applyFont="1" applyAlignment="1">
      <alignment horizontal="center"/>
    </xf>
    <xf numFmtId="0" fontId="5" fillId="0" borderId="2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left" vertical="center" wrapText="1"/>
    </xf>
    <xf numFmtId="0" fontId="5" fillId="0" borderId="8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6" fillId="0" borderId="0" xfId="0" applyFont="1" applyAlignment="1">
      <alignment horizontal="right"/>
    </xf>
    <xf numFmtId="0" fontId="3" fillId="0" borderId="1" xfId="0" applyFont="1" applyBorder="1" applyAlignment="1">
      <alignment horizontal="center" vertical="center" wrapText="1"/>
    </xf>
    <xf numFmtId="0" fontId="9" fillId="0" borderId="0" xfId="0" applyFont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3"/>
  <sheetViews>
    <sheetView view="pageBreakPreview" topLeftCell="C22" zoomScaleSheetLayoutView="100" workbookViewId="0">
      <selection activeCell="C9" sqref="C9"/>
    </sheetView>
  </sheetViews>
  <sheetFormatPr defaultRowHeight="24.75" customHeight="1" x14ac:dyDescent="0.25"/>
  <cols>
    <col min="1" max="1" width="8.140625" style="1" customWidth="1"/>
    <col min="2" max="2" width="54" style="1" customWidth="1"/>
    <col min="3" max="3" width="119.28515625" style="1" customWidth="1"/>
    <col min="4" max="16384" width="9.140625" style="1"/>
  </cols>
  <sheetData>
    <row r="1" spans="1:3" ht="24.75" customHeight="1" x14ac:dyDescent="0.25">
      <c r="A1" s="54" t="s">
        <v>0</v>
      </c>
      <c r="B1" s="54"/>
      <c r="C1" s="54"/>
    </row>
    <row r="2" spans="1:3" ht="24.75" customHeight="1" x14ac:dyDescent="0.25">
      <c r="A2" s="54" t="s">
        <v>1</v>
      </c>
      <c r="B2" s="54"/>
      <c r="C2" s="54"/>
    </row>
    <row r="3" spans="1:3" s="3" customFormat="1" ht="24.75" customHeight="1" x14ac:dyDescent="0.25">
      <c r="A3" s="54" t="s">
        <v>2</v>
      </c>
      <c r="B3" s="54"/>
      <c r="C3" s="2" t="s">
        <v>247</v>
      </c>
    </row>
    <row r="4" spans="1:3" s="5" customFormat="1" ht="24.75" customHeight="1" x14ac:dyDescent="0.25">
      <c r="A4" s="4" t="s">
        <v>3</v>
      </c>
      <c r="B4" s="4" t="s">
        <v>4</v>
      </c>
      <c r="C4" s="4" t="s">
        <v>5</v>
      </c>
    </row>
    <row r="5" spans="1:3" ht="39" customHeight="1" x14ac:dyDescent="0.25">
      <c r="A5" s="4">
        <v>1</v>
      </c>
      <c r="B5" s="51" t="s">
        <v>6</v>
      </c>
      <c r="C5" s="7" t="s">
        <v>309</v>
      </c>
    </row>
    <row r="6" spans="1:3" ht="39" customHeight="1" x14ac:dyDescent="0.25">
      <c r="A6" s="4">
        <v>2</v>
      </c>
      <c r="B6" s="51" t="s">
        <v>7</v>
      </c>
      <c r="C6" s="8" t="s">
        <v>310</v>
      </c>
    </row>
    <row r="7" spans="1:3" ht="39" customHeight="1" x14ac:dyDescent="0.25">
      <c r="A7" s="4">
        <v>3</v>
      </c>
      <c r="B7" s="51" t="s">
        <v>8</v>
      </c>
      <c r="C7" s="8" t="s">
        <v>311</v>
      </c>
    </row>
    <row r="8" spans="1:3" ht="39" customHeight="1" x14ac:dyDescent="0.25">
      <c r="A8" s="4">
        <v>4</v>
      </c>
      <c r="B8" s="51" t="s">
        <v>9</v>
      </c>
      <c r="C8" s="8">
        <v>6637</v>
      </c>
    </row>
    <row r="9" spans="1:3" ht="39" customHeight="1" x14ac:dyDescent="0.25">
      <c r="A9" s="4">
        <v>5</v>
      </c>
      <c r="B9" s="51" t="s">
        <v>10</v>
      </c>
      <c r="C9" s="9">
        <v>12.999216000000001</v>
      </c>
    </row>
    <row r="10" spans="1:3" ht="39" customHeight="1" x14ac:dyDescent="0.25">
      <c r="A10" s="4">
        <v>6</v>
      </c>
      <c r="B10" s="51" t="s">
        <v>11</v>
      </c>
      <c r="C10" s="9">
        <v>75.389098000000004</v>
      </c>
    </row>
    <row r="11" spans="1:3" ht="141.75" customHeight="1" x14ac:dyDescent="0.25">
      <c r="A11" s="4">
        <v>7</v>
      </c>
      <c r="B11" s="51" t="s">
        <v>12</v>
      </c>
      <c r="C11" s="53" t="s">
        <v>301</v>
      </c>
    </row>
    <row r="12" spans="1:3" ht="98.25" customHeight="1" x14ac:dyDescent="0.25">
      <c r="A12" s="4">
        <v>8</v>
      </c>
      <c r="B12" s="51" t="s">
        <v>13</v>
      </c>
      <c r="C12" s="10" t="s">
        <v>249</v>
      </c>
    </row>
    <row r="13" spans="1:3" ht="32.25" customHeight="1" x14ac:dyDescent="0.25">
      <c r="A13" s="55">
        <v>9</v>
      </c>
      <c r="B13" s="56" t="s">
        <v>14</v>
      </c>
      <c r="C13" s="6" t="s">
        <v>306</v>
      </c>
    </row>
    <row r="14" spans="1:3" ht="32.25" customHeight="1" x14ac:dyDescent="0.25">
      <c r="A14" s="55"/>
      <c r="B14" s="56"/>
      <c r="C14" s="6" t="s">
        <v>307</v>
      </c>
    </row>
    <row r="15" spans="1:3" ht="32.25" customHeight="1" x14ac:dyDescent="0.25">
      <c r="A15" s="55"/>
      <c r="B15" s="56"/>
      <c r="C15" s="6" t="s">
        <v>308</v>
      </c>
    </row>
    <row r="16" spans="1:3" ht="32.25" customHeight="1" x14ac:dyDescent="0.25">
      <c r="A16" s="55"/>
      <c r="B16" s="56"/>
      <c r="C16" s="6" t="s">
        <v>248</v>
      </c>
    </row>
    <row r="17" spans="1:3" ht="32.25" customHeight="1" x14ac:dyDescent="0.25">
      <c r="A17" s="55"/>
      <c r="B17" s="56"/>
      <c r="C17" s="6" t="s">
        <v>250</v>
      </c>
    </row>
    <row r="18" spans="1:3" ht="32.25" customHeight="1" x14ac:dyDescent="0.25">
      <c r="A18" s="55"/>
      <c r="B18" s="56"/>
      <c r="C18" s="6" t="s">
        <v>251</v>
      </c>
    </row>
    <row r="19" spans="1:3" ht="32.25" customHeight="1" x14ac:dyDescent="0.25">
      <c r="A19" s="55"/>
      <c r="B19" s="56"/>
      <c r="C19" s="6" t="s">
        <v>252</v>
      </c>
    </row>
    <row r="20" spans="1:3" ht="57.75" customHeight="1" x14ac:dyDescent="0.25">
      <c r="A20" s="55"/>
      <c r="B20" s="56"/>
      <c r="C20" s="6" t="s">
        <v>253</v>
      </c>
    </row>
    <row r="21" spans="1:3" ht="63" customHeight="1" x14ac:dyDescent="0.25">
      <c r="A21" s="55"/>
      <c r="B21" s="56"/>
      <c r="C21" s="6" t="s">
        <v>254</v>
      </c>
    </row>
    <row r="22" spans="1:3" ht="63" customHeight="1" x14ac:dyDescent="0.25">
      <c r="A22" s="55"/>
      <c r="B22" s="56"/>
      <c r="C22" s="6" t="s">
        <v>255</v>
      </c>
    </row>
    <row r="23" spans="1:3" ht="63" customHeight="1" x14ac:dyDescent="0.25">
      <c r="A23" s="55"/>
      <c r="B23" s="56"/>
      <c r="C23" s="6" t="s">
        <v>256</v>
      </c>
    </row>
    <row r="24" spans="1:3" ht="63" customHeight="1" x14ac:dyDescent="0.25">
      <c r="A24" s="55"/>
      <c r="B24" s="56"/>
      <c r="C24" s="6" t="s">
        <v>257</v>
      </c>
    </row>
    <row r="25" spans="1:3" ht="63" customHeight="1" x14ac:dyDescent="0.25">
      <c r="A25" s="55"/>
      <c r="B25" s="56"/>
      <c r="C25" s="6" t="s">
        <v>258</v>
      </c>
    </row>
    <row r="26" spans="1:3" ht="49.5" customHeight="1" x14ac:dyDescent="0.25">
      <c r="A26" s="4">
        <v>10</v>
      </c>
      <c r="B26" s="51" t="s">
        <v>15</v>
      </c>
      <c r="C26" s="6" t="s">
        <v>246</v>
      </c>
    </row>
    <row r="27" spans="1:3" ht="53.25" customHeight="1" x14ac:dyDescent="0.25">
      <c r="A27" s="4">
        <v>11</v>
      </c>
      <c r="B27" s="51" t="s">
        <v>16</v>
      </c>
      <c r="C27" s="6" t="s">
        <v>246</v>
      </c>
    </row>
    <row r="28" spans="1:3" s="13" customFormat="1" ht="51" customHeight="1" x14ac:dyDescent="0.25">
      <c r="A28" s="18">
        <v>12</v>
      </c>
      <c r="B28" s="52" t="s">
        <v>217</v>
      </c>
      <c r="C28" s="20">
        <v>1</v>
      </c>
    </row>
    <row r="29" spans="1:3" s="13" customFormat="1" ht="51.75" customHeight="1" x14ac:dyDescent="0.25">
      <c r="A29" s="18">
        <v>13</v>
      </c>
      <c r="B29" s="52" t="s">
        <v>218</v>
      </c>
      <c r="C29" s="12" t="s">
        <v>259</v>
      </c>
    </row>
    <row r="30" spans="1:3" ht="24.75" customHeight="1" x14ac:dyDescent="0.25">
      <c r="A30" s="14"/>
    </row>
    <row r="31" spans="1:3" ht="24.75" customHeight="1" x14ac:dyDescent="0.25">
      <c r="A31" s="15"/>
    </row>
    <row r="32" spans="1:3" ht="24.75" customHeight="1" x14ac:dyDescent="0.25">
      <c r="A32" s="16"/>
    </row>
    <row r="33" spans="1:1" ht="24.75" customHeight="1" x14ac:dyDescent="0.25">
      <c r="A33" s="16"/>
    </row>
    <row r="34" spans="1:1" ht="24.75" customHeight="1" x14ac:dyDescent="0.25">
      <c r="A34" s="16"/>
    </row>
    <row r="35" spans="1:1" ht="24.75" customHeight="1" x14ac:dyDescent="0.25">
      <c r="A35" s="16"/>
    </row>
    <row r="36" spans="1:1" ht="24.75" customHeight="1" x14ac:dyDescent="0.25">
      <c r="A36" s="16"/>
    </row>
    <row r="37" spans="1:1" ht="24.75" customHeight="1" x14ac:dyDescent="0.25">
      <c r="A37" s="16"/>
    </row>
    <row r="48" spans="1:1" ht="24.75" customHeight="1" x14ac:dyDescent="0.25">
      <c r="A48" s="16"/>
    </row>
    <row r="49" spans="1:1" ht="24.75" customHeight="1" x14ac:dyDescent="0.25">
      <c r="A49" s="16"/>
    </row>
    <row r="50" spans="1:1" ht="24.75" customHeight="1" x14ac:dyDescent="0.25">
      <c r="A50" s="16"/>
    </row>
    <row r="51" spans="1:1" ht="24.75" customHeight="1" x14ac:dyDescent="0.25">
      <c r="A51" s="16"/>
    </row>
    <row r="52" spans="1:1" ht="24.75" customHeight="1" x14ac:dyDescent="0.25">
      <c r="A52" s="16"/>
    </row>
    <row r="53" spans="1:1" ht="24.75" customHeight="1" x14ac:dyDescent="0.25">
      <c r="A53" s="16"/>
    </row>
    <row r="54" spans="1:1" ht="24.75" customHeight="1" x14ac:dyDescent="0.25">
      <c r="A54" s="16"/>
    </row>
    <row r="55" spans="1:1" ht="24.75" customHeight="1" x14ac:dyDescent="0.25">
      <c r="A55" s="16"/>
    </row>
    <row r="56" spans="1:1" ht="24.75" customHeight="1" x14ac:dyDescent="0.25">
      <c r="A56" s="16"/>
    </row>
    <row r="57" spans="1:1" ht="24.75" customHeight="1" x14ac:dyDescent="0.25">
      <c r="A57" s="15"/>
    </row>
    <row r="65" spans="1:1" ht="24.75" customHeight="1" x14ac:dyDescent="0.25">
      <c r="A65" s="16"/>
    </row>
    <row r="73" spans="1:1" ht="24.75" customHeight="1" x14ac:dyDescent="0.25">
      <c r="A73" s="14"/>
    </row>
  </sheetData>
  <mergeCells count="5">
    <mergeCell ref="A1:C1"/>
    <mergeCell ref="A2:C2"/>
    <mergeCell ref="A3:B3"/>
    <mergeCell ref="A13:A25"/>
    <mergeCell ref="B13:B25"/>
  </mergeCells>
  <printOptions horizontalCentered="1"/>
  <pageMargins left="0.33" right="0.22" top="0.28000000000000003" bottom="0.18" header="0.16" footer="0.16"/>
  <pageSetup scale="5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6"/>
  <sheetViews>
    <sheetView view="pageBreakPreview" topLeftCell="C20" zoomScaleSheetLayoutView="100" workbookViewId="0">
      <selection activeCell="C27" sqref="C27"/>
    </sheetView>
  </sheetViews>
  <sheetFormatPr defaultRowHeight="25.5" customHeight="1" x14ac:dyDescent="0.25"/>
  <cols>
    <col min="1" max="1" width="6.5703125" style="14" bestFit="1" customWidth="1"/>
    <col min="2" max="2" width="43.28515625" style="14" customWidth="1"/>
    <col min="3" max="3" width="107.42578125" style="14" customWidth="1"/>
    <col min="4" max="16384" width="9.140625" style="14"/>
  </cols>
  <sheetData>
    <row r="1" spans="1:3" ht="25.5" customHeight="1" x14ac:dyDescent="0.25">
      <c r="A1" s="57" t="s">
        <v>17</v>
      </c>
      <c r="B1" s="57"/>
      <c r="C1" s="57"/>
    </row>
    <row r="2" spans="1:3" ht="25.5" customHeight="1" x14ac:dyDescent="0.25">
      <c r="A2" s="57" t="s">
        <v>18</v>
      </c>
      <c r="B2" s="57"/>
      <c r="C2" s="57"/>
    </row>
    <row r="3" spans="1:3" s="15" customFormat="1" ht="25.5" customHeight="1" x14ac:dyDescent="0.25">
      <c r="A3" s="57" t="s">
        <v>2</v>
      </c>
      <c r="B3" s="57"/>
      <c r="C3" s="17" t="str">
        <f>'Form 1'!C3</f>
        <v>Mangalore</v>
      </c>
    </row>
    <row r="4" spans="1:3" s="19" customFormat="1" ht="25.5" customHeight="1" x14ac:dyDescent="0.25">
      <c r="A4" s="18" t="s">
        <v>3</v>
      </c>
      <c r="B4" s="18" t="s">
        <v>5</v>
      </c>
      <c r="C4" s="18" t="s">
        <v>19</v>
      </c>
    </row>
    <row r="5" spans="1:3" ht="32.25" customHeight="1" x14ac:dyDescent="0.25">
      <c r="A5" s="11">
        <v>1</v>
      </c>
      <c r="B5" s="52" t="s">
        <v>6</v>
      </c>
      <c r="C5" s="20" t="str">
        <f>'Form 1'!C5</f>
        <v>Belthangady</v>
      </c>
    </row>
    <row r="6" spans="1:3" ht="32.25" customHeight="1" x14ac:dyDescent="0.25">
      <c r="A6" s="11">
        <v>2</v>
      </c>
      <c r="B6" s="52" t="s">
        <v>222</v>
      </c>
      <c r="C6" s="20"/>
    </row>
    <row r="7" spans="1:3" ht="32.25" customHeight="1" x14ac:dyDescent="0.25">
      <c r="A7" s="11">
        <v>3</v>
      </c>
      <c r="B7" s="52" t="s">
        <v>219</v>
      </c>
      <c r="C7" s="20" t="str">
        <f>'Form 1'!C6</f>
        <v>Dharmasthala Mundaje RF</v>
      </c>
    </row>
    <row r="8" spans="1:3" ht="32.25" customHeight="1" x14ac:dyDescent="0.25">
      <c r="A8" s="11">
        <v>4</v>
      </c>
      <c r="B8" s="52" t="s">
        <v>9</v>
      </c>
      <c r="C8" s="20">
        <f>'Form 1'!C8</f>
        <v>6637</v>
      </c>
    </row>
    <row r="9" spans="1:3" ht="32.25" customHeight="1" x14ac:dyDescent="0.25">
      <c r="A9" s="11">
        <v>5</v>
      </c>
      <c r="B9" s="52" t="s">
        <v>20</v>
      </c>
      <c r="C9" s="21">
        <f>'Form 1'!C9</f>
        <v>12.999216000000001</v>
      </c>
    </row>
    <row r="10" spans="1:3" ht="32.25" customHeight="1" x14ac:dyDescent="0.25">
      <c r="A10" s="11">
        <v>6</v>
      </c>
      <c r="B10" s="52" t="s">
        <v>21</v>
      </c>
      <c r="C10" s="21">
        <f>'Form 1'!C10</f>
        <v>75.389098000000004</v>
      </c>
    </row>
    <row r="11" spans="1:3" ht="32.25" customHeight="1" x14ac:dyDescent="0.25">
      <c r="A11" s="11">
        <v>7</v>
      </c>
      <c r="B11" s="52" t="s">
        <v>22</v>
      </c>
      <c r="C11" s="20" t="s">
        <v>302</v>
      </c>
    </row>
    <row r="12" spans="1:3" ht="43.5" customHeight="1" x14ac:dyDescent="0.25">
      <c r="A12" s="11">
        <v>8</v>
      </c>
      <c r="B12" s="52" t="s">
        <v>23</v>
      </c>
      <c r="C12" s="20" t="s">
        <v>241</v>
      </c>
    </row>
    <row r="13" spans="1:3" ht="43.5" customHeight="1" x14ac:dyDescent="0.25">
      <c r="A13" s="11">
        <v>9</v>
      </c>
      <c r="B13" s="52" t="s">
        <v>24</v>
      </c>
      <c r="C13" s="20" t="s">
        <v>242</v>
      </c>
    </row>
    <row r="14" spans="1:3" ht="38.25" customHeight="1" x14ac:dyDescent="0.25">
      <c r="A14" s="11">
        <v>10</v>
      </c>
      <c r="B14" s="52" t="s">
        <v>25</v>
      </c>
      <c r="C14" s="20" t="s">
        <v>303</v>
      </c>
    </row>
    <row r="15" spans="1:3" ht="25.5" customHeight="1" x14ac:dyDescent="0.25">
      <c r="A15" s="11">
        <v>11</v>
      </c>
      <c r="B15" s="52" t="s">
        <v>26</v>
      </c>
      <c r="C15" s="22" t="s">
        <v>304</v>
      </c>
    </row>
    <row r="16" spans="1:3" ht="37.5" customHeight="1" x14ac:dyDescent="0.25">
      <c r="A16" s="11">
        <v>12</v>
      </c>
      <c r="B16" s="52" t="s">
        <v>27</v>
      </c>
      <c r="C16" s="22" t="s">
        <v>305</v>
      </c>
    </row>
    <row r="17" spans="1:3" ht="37.5" customHeight="1" x14ac:dyDescent="0.25">
      <c r="A17" s="11">
        <v>13</v>
      </c>
      <c r="B17" s="52" t="s">
        <v>28</v>
      </c>
      <c r="C17" s="22" t="s">
        <v>29</v>
      </c>
    </row>
    <row r="18" spans="1:3" ht="31.5" customHeight="1" x14ac:dyDescent="0.25">
      <c r="A18" s="58">
        <v>14</v>
      </c>
      <c r="B18" s="59" t="s">
        <v>30</v>
      </c>
      <c r="C18" s="22" t="s">
        <v>260</v>
      </c>
    </row>
    <row r="19" spans="1:3" ht="30.75" customHeight="1" x14ac:dyDescent="0.25">
      <c r="A19" s="58"/>
      <c r="B19" s="59"/>
      <c r="C19" s="22" t="s">
        <v>261</v>
      </c>
    </row>
    <row r="20" spans="1:3" ht="30.75" customHeight="1" x14ac:dyDescent="0.25">
      <c r="A20" s="58"/>
      <c r="B20" s="59"/>
      <c r="C20" s="23" t="s">
        <v>262</v>
      </c>
    </row>
    <row r="21" spans="1:3" ht="36" customHeight="1" x14ac:dyDescent="0.25">
      <c r="A21" s="11">
        <v>15</v>
      </c>
      <c r="B21" s="52" t="s">
        <v>31</v>
      </c>
      <c r="C21" s="22" t="s">
        <v>264</v>
      </c>
    </row>
    <row r="22" spans="1:3" ht="54.75" customHeight="1" x14ac:dyDescent="0.25">
      <c r="A22" s="11">
        <v>16</v>
      </c>
      <c r="B22" s="52" t="s">
        <v>32</v>
      </c>
      <c r="C22" s="22" t="s">
        <v>263</v>
      </c>
    </row>
    <row r="23" spans="1:3" ht="15.75" x14ac:dyDescent="0.25">
      <c r="A23" s="11">
        <v>17</v>
      </c>
      <c r="B23" s="52" t="s">
        <v>220</v>
      </c>
      <c r="C23" s="22" t="s">
        <v>265</v>
      </c>
    </row>
    <row r="24" spans="1:3" ht="35.25" customHeight="1" x14ac:dyDescent="0.25">
      <c r="A24" s="11">
        <v>18</v>
      </c>
      <c r="B24" s="52" t="s">
        <v>33</v>
      </c>
      <c r="C24" s="22" t="s">
        <v>266</v>
      </c>
    </row>
    <row r="25" spans="1:3" ht="72.75" customHeight="1" x14ac:dyDescent="0.25">
      <c r="A25" s="11">
        <v>19</v>
      </c>
      <c r="B25" s="52" t="s">
        <v>34</v>
      </c>
      <c r="C25" s="22" t="s">
        <v>243</v>
      </c>
    </row>
    <row r="26" spans="1:3" ht="30" customHeight="1" x14ac:dyDescent="0.25">
      <c r="A26" s="11">
        <v>20</v>
      </c>
      <c r="B26" s="52" t="s">
        <v>35</v>
      </c>
      <c r="C26" s="23" t="s">
        <v>267</v>
      </c>
    </row>
    <row r="27" spans="1:3" ht="30" customHeight="1" x14ac:dyDescent="0.25">
      <c r="A27" s="11">
        <v>21</v>
      </c>
      <c r="B27" s="52" t="s">
        <v>36</v>
      </c>
      <c r="C27" s="22" t="s">
        <v>268</v>
      </c>
    </row>
    <row r="28" spans="1:3" ht="30" customHeight="1" x14ac:dyDescent="0.25">
      <c r="A28" s="11">
        <v>22</v>
      </c>
      <c r="B28" s="52" t="s">
        <v>37</v>
      </c>
      <c r="C28" s="22" t="s">
        <v>269</v>
      </c>
    </row>
    <row r="29" spans="1:3" ht="32.25" customHeight="1" x14ac:dyDescent="0.25">
      <c r="A29" s="11">
        <v>23</v>
      </c>
      <c r="B29" s="52" t="s">
        <v>38</v>
      </c>
      <c r="C29" s="22" t="s">
        <v>269</v>
      </c>
    </row>
    <row r="30" spans="1:3" ht="62.25" customHeight="1" x14ac:dyDescent="0.25">
      <c r="A30" s="11">
        <v>24</v>
      </c>
      <c r="B30" s="52" t="s">
        <v>39</v>
      </c>
      <c r="C30" s="22" t="s">
        <v>270</v>
      </c>
    </row>
    <row r="31" spans="1:3" ht="72.75" customHeight="1" x14ac:dyDescent="0.25">
      <c r="A31" s="11">
        <v>25</v>
      </c>
      <c r="B31" s="52" t="s">
        <v>40</v>
      </c>
      <c r="C31" s="22" t="s">
        <v>246</v>
      </c>
    </row>
    <row r="32" spans="1:3" ht="60" customHeight="1" x14ac:dyDescent="0.25">
      <c r="A32" s="11">
        <v>26</v>
      </c>
      <c r="B32" s="52" t="s">
        <v>41</v>
      </c>
      <c r="C32" s="22" t="s">
        <v>246</v>
      </c>
    </row>
    <row r="33" spans="1:3" ht="60" customHeight="1" x14ac:dyDescent="0.25">
      <c r="A33" s="11">
        <v>27</v>
      </c>
      <c r="B33" s="52" t="s">
        <v>42</v>
      </c>
      <c r="C33" s="20" t="s">
        <v>271</v>
      </c>
    </row>
    <row r="34" spans="1:3" ht="57.75" customHeight="1" x14ac:dyDescent="0.25">
      <c r="A34" s="11">
        <v>28</v>
      </c>
      <c r="B34" s="52" t="s">
        <v>43</v>
      </c>
      <c r="C34" s="22" t="s">
        <v>246</v>
      </c>
    </row>
    <row r="35" spans="1:3" ht="59.25" customHeight="1" x14ac:dyDescent="0.25">
      <c r="A35" s="11">
        <v>29</v>
      </c>
      <c r="B35" s="52" t="s">
        <v>44</v>
      </c>
      <c r="C35" s="22" t="s">
        <v>246</v>
      </c>
    </row>
    <row r="36" spans="1:3" ht="66" customHeight="1" x14ac:dyDescent="0.25">
      <c r="A36" s="11">
        <v>30</v>
      </c>
      <c r="B36" s="52" t="s">
        <v>223</v>
      </c>
      <c r="C36" s="22" t="s">
        <v>244</v>
      </c>
    </row>
  </sheetData>
  <mergeCells count="5">
    <mergeCell ref="A1:C1"/>
    <mergeCell ref="A2:C2"/>
    <mergeCell ref="A3:B3"/>
    <mergeCell ref="A18:A20"/>
    <mergeCell ref="B18:B20"/>
  </mergeCells>
  <printOptions horizontalCentered="1"/>
  <pageMargins left="0.7" right="0.7" top="0.2" bottom="0.36" header="0.3" footer="0.3"/>
  <pageSetup scale="54" orientation="portrait" copies="6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40"/>
  <sheetViews>
    <sheetView view="pageBreakPreview" zoomScale="60" zoomScaleNormal="70" workbookViewId="0">
      <selection activeCell="M15" sqref="M15"/>
    </sheetView>
  </sheetViews>
  <sheetFormatPr defaultRowHeight="40.5" customHeight="1" x14ac:dyDescent="0.25"/>
  <cols>
    <col min="1" max="1" width="9.140625" style="19"/>
    <col min="2" max="2" width="42.7109375" style="19" customWidth="1"/>
    <col min="3" max="3" width="14.7109375" style="19" customWidth="1"/>
    <col min="4" max="4" width="11.42578125" style="19" customWidth="1"/>
    <col min="5" max="5" width="12.42578125" style="19" customWidth="1"/>
    <col min="6" max="6" width="12.28515625" style="19" customWidth="1"/>
    <col min="7" max="8" width="9.140625" style="19"/>
    <col min="9" max="9" width="8.85546875" style="19" customWidth="1"/>
    <col min="10" max="18" width="9.140625" style="19"/>
    <col min="19" max="19" width="13.140625" style="19" customWidth="1"/>
    <col min="20" max="20" width="24.5703125" style="19" customWidth="1"/>
    <col min="21" max="16384" width="9.140625" style="19"/>
  </cols>
  <sheetData>
    <row r="1" spans="1:20" ht="40.5" customHeight="1" x14ac:dyDescent="0.25">
      <c r="A1" s="63" t="s">
        <v>45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</row>
    <row r="2" spans="1:20" ht="40.5" customHeight="1" x14ac:dyDescent="0.25">
      <c r="A2" s="64" t="s">
        <v>46</v>
      </c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</row>
    <row r="4" spans="1:20" s="15" customFormat="1" ht="40.5" customHeight="1" x14ac:dyDescent="0.25">
      <c r="A4" s="4" t="s">
        <v>47</v>
      </c>
      <c r="B4" s="4" t="s">
        <v>48</v>
      </c>
      <c r="C4" s="4" t="s">
        <v>49</v>
      </c>
      <c r="D4" s="4" t="s">
        <v>50</v>
      </c>
      <c r="E4" s="4"/>
      <c r="F4" s="4" t="s">
        <v>51</v>
      </c>
      <c r="G4" s="4" t="s">
        <v>52</v>
      </c>
      <c r="H4" s="4" t="s">
        <v>53</v>
      </c>
      <c r="I4" s="4" t="s">
        <v>54</v>
      </c>
      <c r="J4" s="4" t="s">
        <v>55</v>
      </c>
      <c r="K4" s="4"/>
      <c r="L4" s="4" t="s">
        <v>56</v>
      </c>
      <c r="M4" s="4" t="s">
        <v>57</v>
      </c>
    </row>
    <row r="5" spans="1:20" ht="40.5" customHeight="1" x14ac:dyDescent="0.25">
      <c r="A5" s="24" t="s">
        <v>58</v>
      </c>
      <c r="B5" s="24" t="s">
        <v>59</v>
      </c>
      <c r="C5" s="24" t="s">
        <v>60</v>
      </c>
      <c r="D5" s="24" t="s">
        <v>61</v>
      </c>
      <c r="F5" s="24" t="s">
        <v>62</v>
      </c>
      <c r="G5" s="24" t="s">
        <v>63</v>
      </c>
      <c r="H5" s="24" t="s">
        <v>64</v>
      </c>
      <c r="I5" s="24" t="s">
        <v>65</v>
      </c>
      <c r="J5" s="24" t="s">
        <v>66</v>
      </c>
      <c r="L5" s="24" t="s">
        <v>67</v>
      </c>
      <c r="M5" s="24" t="s">
        <v>68</v>
      </c>
    </row>
    <row r="6" spans="1:20" ht="40.5" customHeight="1" x14ac:dyDescent="0.25">
      <c r="A6" s="24"/>
      <c r="B6" s="24">
        <v>3</v>
      </c>
      <c r="C6" s="24"/>
      <c r="D6" s="24"/>
      <c r="F6" s="24"/>
      <c r="G6" s="24"/>
      <c r="H6" s="24"/>
      <c r="I6" s="24"/>
      <c r="J6" s="24"/>
      <c r="L6" s="24"/>
      <c r="M6" s="24"/>
    </row>
    <row r="8" spans="1:20" s="15" customFormat="1" ht="40.5" customHeight="1" x14ac:dyDescent="0.25">
      <c r="A8" s="65" t="s">
        <v>238</v>
      </c>
      <c r="B8" s="54" t="s">
        <v>69</v>
      </c>
      <c r="C8" s="54"/>
      <c r="D8" s="54"/>
      <c r="E8" s="54"/>
      <c r="F8" s="54"/>
      <c r="G8" s="54"/>
      <c r="H8" s="54"/>
      <c r="I8" s="66" t="s">
        <v>70</v>
      </c>
      <c r="J8" s="67"/>
      <c r="K8" s="67"/>
      <c r="L8" s="67"/>
      <c r="M8" s="67"/>
      <c r="N8" s="67"/>
      <c r="O8" s="67"/>
      <c r="P8" s="67"/>
      <c r="Q8" s="67"/>
      <c r="R8" s="67"/>
      <c r="S8" s="68"/>
      <c r="T8" s="60" t="s">
        <v>224</v>
      </c>
    </row>
    <row r="9" spans="1:20" s="25" customFormat="1" ht="40.5" customHeight="1" x14ac:dyDescent="0.25">
      <c r="A9" s="65"/>
      <c r="B9" s="55" t="s">
        <v>71</v>
      </c>
      <c r="C9" s="55" t="s">
        <v>72</v>
      </c>
      <c r="D9" s="55" t="s">
        <v>229</v>
      </c>
      <c r="E9" s="55" t="s">
        <v>73</v>
      </c>
      <c r="F9" s="55" t="s">
        <v>74</v>
      </c>
      <c r="G9" s="55" t="s">
        <v>75</v>
      </c>
      <c r="H9" s="55" t="s">
        <v>76</v>
      </c>
      <c r="I9" s="55" t="s">
        <v>77</v>
      </c>
      <c r="J9" s="55"/>
      <c r="K9" s="55" t="s">
        <v>78</v>
      </c>
      <c r="L9" s="55"/>
      <c r="M9" s="55"/>
      <c r="N9" s="55" t="s">
        <v>79</v>
      </c>
      <c r="O9" s="55" t="s">
        <v>80</v>
      </c>
      <c r="P9" s="55" t="s">
        <v>81</v>
      </c>
      <c r="Q9" s="55" t="s">
        <v>82</v>
      </c>
      <c r="R9" s="55" t="s">
        <v>83</v>
      </c>
      <c r="S9" s="55" t="s">
        <v>84</v>
      </c>
      <c r="T9" s="61"/>
    </row>
    <row r="10" spans="1:20" s="25" customFormat="1" ht="40.5" customHeight="1" x14ac:dyDescent="0.25">
      <c r="A10" s="65"/>
      <c r="B10" s="55"/>
      <c r="C10" s="55"/>
      <c r="D10" s="55"/>
      <c r="E10" s="55"/>
      <c r="F10" s="55"/>
      <c r="G10" s="55"/>
      <c r="H10" s="55"/>
      <c r="I10" s="4" t="s">
        <v>85</v>
      </c>
      <c r="J10" s="4" t="s">
        <v>86</v>
      </c>
      <c r="K10" s="4" t="s">
        <v>87</v>
      </c>
      <c r="L10" s="4" t="s">
        <v>88</v>
      </c>
      <c r="M10" s="4" t="s">
        <v>89</v>
      </c>
      <c r="N10" s="55"/>
      <c r="O10" s="55"/>
      <c r="P10" s="55"/>
      <c r="Q10" s="55"/>
      <c r="R10" s="55"/>
      <c r="S10" s="55"/>
      <c r="T10" s="62"/>
    </row>
    <row r="11" spans="1:20" ht="40.5" customHeight="1" x14ac:dyDescent="0.25">
      <c r="A11" s="24">
        <v>8</v>
      </c>
      <c r="B11" s="24">
        <v>8.1</v>
      </c>
      <c r="C11" s="24" t="s">
        <v>90</v>
      </c>
      <c r="D11" s="24" t="s">
        <v>91</v>
      </c>
      <c r="E11" s="24" t="s">
        <v>92</v>
      </c>
      <c r="F11" s="24" t="s">
        <v>93</v>
      </c>
      <c r="G11" s="24" t="s">
        <v>94</v>
      </c>
      <c r="H11" s="24" t="s">
        <v>95</v>
      </c>
      <c r="I11" s="24" t="s">
        <v>96</v>
      </c>
      <c r="J11" s="24" t="s">
        <v>97</v>
      </c>
      <c r="K11" s="24" t="s">
        <v>98</v>
      </c>
      <c r="L11" s="24" t="s">
        <v>99</v>
      </c>
      <c r="M11" s="24" t="s">
        <v>100</v>
      </c>
      <c r="N11" s="24" t="s">
        <v>101</v>
      </c>
      <c r="O11" s="24" t="s">
        <v>102</v>
      </c>
      <c r="P11" s="24" t="s">
        <v>103</v>
      </c>
      <c r="Q11" s="24" t="s">
        <v>104</v>
      </c>
      <c r="R11" s="24" t="s">
        <v>105</v>
      </c>
      <c r="S11" s="24" t="s">
        <v>106</v>
      </c>
      <c r="T11" s="24"/>
    </row>
    <row r="12" spans="1:20" ht="40.5" customHeight="1" x14ac:dyDescent="0.25">
      <c r="A12" s="24">
        <f>ROW()-11</f>
        <v>1</v>
      </c>
      <c r="B12" s="24" t="s">
        <v>272</v>
      </c>
      <c r="C12" s="24"/>
      <c r="D12" s="24">
        <v>86</v>
      </c>
      <c r="E12" s="24"/>
      <c r="F12" s="24"/>
      <c r="G12" s="24"/>
      <c r="H12" s="24"/>
      <c r="I12" s="24">
        <v>5</v>
      </c>
      <c r="J12" s="24">
        <v>3.5</v>
      </c>
      <c r="K12" s="24">
        <f>L12+M12+R12</f>
        <v>13</v>
      </c>
      <c r="L12" s="24">
        <v>4</v>
      </c>
      <c r="M12" s="24">
        <v>4</v>
      </c>
      <c r="N12" s="24"/>
      <c r="O12" s="24"/>
      <c r="P12" s="24"/>
      <c r="Q12" s="24"/>
      <c r="R12" s="24">
        <v>5</v>
      </c>
      <c r="S12" s="24"/>
      <c r="T12" s="24"/>
    </row>
    <row r="13" spans="1:20" ht="40.5" customHeight="1" x14ac:dyDescent="0.25">
      <c r="A13" s="24">
        <f t="shared" ref="A13:A40" si="0">ROW()-11</f>
        <v>2</v>
      </c>
      <c r="B13" s="24" t="s">
        <v>273</v>
      </c>
      <c r="C13" s="24"/>
      <c r="D13" s="24">
        <v>71</v>
      </c>
      <c r="E13" s="24"/>
      <c r="F13" s="24"/>
      <c r="G13" s="24"/>
      <c r="H13" s="24"/>
      <c r="I13" s="24">
        <v>4</v>
      </c>
      <c r="J13" s="24">
        <v>5</v>
      </c>
      <c r="K13" s="24">
        <f t="shared" ref="K13:K40" si="1">L13+M13+R13</f>
        <v>12</v>
      </c>
      <c r="L13" s="24">
        <v>3</v>
      </c>
      <c r="M13" s="24">
        <v>2</v>
      </c>
      <c r="N13" s="24"/>
      <c r="O13" s="24"/>
      <c r="P13" s="24"/>
      <c r="Q13" s="24"/>
      <c r="R13" s="24">
        <v>7</v>
      </c>
      <c r="S13" s="24"/>
      <c r="T13" s="24"/>
    </row>
    <row r="14" spans="1:20" ht="40.5" customHeight="1" x14ac:dyDescent="0.25">
      <c r="A14" s="24">
        <f t="shared" si="0"/>
        <v>3</v>
      </c>
      <c r="B14" s="24" t="s">
        <v>272</v>
      </c>
      <c r="C14" s="24"/>
      <c r="D14" s="24">
        <v>62</v>
      </c>
      <c r="E14" s="24"/>
      <c r="F14" s="24"/>
      <c r="G14" s="24"/>
      <c r="H14" s="24"/>
      <c r="I14" s="24">
        <v>4</v>
      </c>
      <c r="J14" s="24">
        <v>5</v>
      </c>
      <c r="K14" s="24">
        <f t="shared" si="1"/>
        <v>11</v>
      </c>
      <c r="L14" s="24">
        <v>3</v>
      </c>
      <c r="M14" s="24">
        <v>3</v>
      </c>
      <c r="N14" s="24"/>
      <c r="O14" s="24"/>
      <c r="P14" s="24"/>
      <c r="Q14" s="24"/>
      <c r="R14" s="24">
        <v>5</v>
      </c>
      <c r="S14" s="24"/>
      <c r="T14" s="24"/>
    </row>
    <row r="15" spans="1:20" ht="40.5" customHeight="1" x14ac:dyDescent="0.25">
      <c r="A15" s="24">
        <f t="shared" si="0"/>
        <v>4</v>
      </c>
      <c r="B15" s="24" t="s">
        <v>274</v>
      </c>
      <c r="C15" s="24"/>
      <c r="D15" s="24">
        <v>49</v>
      </c>
      <c r="E15" s="24"/>
      <c r="F15" s="24"/>
      <c r="G15" s="24"/>
      <c r="H15" s="24"/>
      <c r="I15" s="24">
        <v>4.5</v>
      </c>
      <c r="J15" s="24">
        <v>5</v>
      </c>
      <c r="K15" s="24">
        <f t="shared" si="1"/>
        <v>11.5</v>
      </c>
      <c r="L15" s="24">
        <v>3.5</v>
      </c>
      <c r="M15" s="24">
        <v>4</v>
      </c>
      <c r="N15" s="24"/>
      <c r="O15" s="24"/>
      <c r="P15" s="24"/>
      <c r="Q15" s="24"/>
      <c r="R15" s="24">
        <v>4</v>
      </c>
      <c r="S15" s="24"/>
      <c r="T15" s="24"/>
    </row>
    <row r="16" spans="1:20" ht="40.5" customHeight="1" x14ac:dyDescent="0.25">
      <c r="A16" s="24">
        <f t="shared" si="0"/>
        <v>5</v>
      </c>
      <c r="B16" s="24" t="s">
        <v>272</v>
      </c>
      <c r="C16" s="24"/>
      <c r="D16" s="24">
        <v>68</v>
      </c>
      <c r="E16" s="24"/>
      <c r="F16" s="24"/>
      <c r="G16" s="24"/>
      <c r="H16" s="24"/>
      <c r="I16" s="24">
        <v>6</v>
      </c>
      <c r="J16" s="24">
        <v>5.5</v>
      </c>
      <c r="K16" s="24">
        <f t="shared" si="1"/>
        <v>11</v>
      </c>
      <c r="L16" s="24">
        <v>4</v>
      </c>
      <c r="M16" s="24">
        <v>3</v>
      </c>
      <c r="N16" s="24"/>
      <c r="O16" s="24"/>
      <c r="P16" s="24"/>
      <c r="Q16" s="24"/>
      <c r="R16" s="24">
        <v>4</v>
      </c>
      <c r="S16" s="24"/>
      <c r="T16" s="24"/>
    </row>
    <row r="17" spans="1:20" ht="40.5" customHeight="1" x14ac:dyDescent="0.25">
      <c r="A17" s="24">
        <f t="shared" si="0"/>
        <v>6</v>
      </c>
      <c r="B17" s="24" t="s">
        <v>274</v>
      </c>
      <c r="C17" s="24"/>
      <c r="D17" s="24">
        <v>48</v>
      </c>
      <c r="E17" s="24"/>
      <c r="F17" s="24"/>
      <c r="G17" s="24"/>
      <c r="H17" s="24"/>
      <c r="I17" s="24">
        <v>4</v>
      </c>
      <c r="J17" s="24">
        <v>4.5</v>
      </c>
      <c r="K17" s="24">
        <f t="shared" si="1"/>
        <v>10</v>
      </c>
      <c r="L17" s="24">
        <v>4</v>
      </c>
      <c r="M17" s="24">
        <v>3</v>
      </c>
      <c r="N17" s="24"/>
      <c r="O17" s="24"/>
      <c r="P17" s="24"/>
      <c r="Q17" s="24"/>
      <c r="R17" s="24">
        <v>3</v>
      </c>
      <c r="S17" s="24"/>
      <c r="T17" s="24"/>
    </row>
    <row r="18" spans="1:20" ht="40.5" customHeight="1" x14ac:dyDescent="0.25">
      <c r="A18" s="24">
        <f t="shared" si="0"/>
        <v>7</v>
      </c>
      <c r="B18" s="24" t="s">
        <v>272</v>
      </c>
      <c r="C18" s="24"/>
      <c r="D18" s="24">
        <v>71</v>
      </c>
      <c r="E18" s="24"/>
      <c r="F18" s="24"/>
      <c r="G18" s="24"/>
      <c r="H18" s="24"/>
      <c r="I18" s="24">
        <v>4.5</v>
      </c>
      <c r="J18" s="24">
        <v>6.5</v>
      </c>
      <c r="K18" s="24">
        <f t="shared" si="1"/>
        <v>12</v>
      </c>
      <c r="L18" s="24">
        <v>3</v>
      </c>
      <c r="M18" s="24">
        <v>4</v>
      </c>
      <c r="N18" s="24"/>
      <c r="O18" s="24"/>
      <c r="P18" s="24"/>
      <c r="Q18" s="24"/>
      <c r="R18" s="24">
        <v>5</v>
      </c>
      <c r="S18" s="24"/>
      <c r="T18" s="24"/>
    </row>
    <row r="19" spans="1:20" ht="40.5" customHeight="1" x14ac:dyDescent="0.25">
      <c r="A19" s="24">
        <f t="shared" si="0"/>
        <v>8</v>
      </c>
      <c r="B19" s="24" t="s">
        <v>275</v>
      </c>
      <c r="C19" s="24"/>
      <c r="D19" s="24">
        <v>62</v>
      </c>
      <c r="E19" s="24"/>
      <c r="F19" s="24"/>
      <c r="G19" s="24"/>
      <c r="H19" s="24"/>
      <c r="I19" s="24">
        <v>5.2</v>
      </c>
      <c r="J19" s="24">
        <v>6.8</v>
      </c>
      <c r="K19" s="24">
        <f t="shared" si="1"/>
        <v>12</v>
      </c>
      <c r="L19" s="24">
        <v>4</v>
      </c>
      <c r="M19" s="24">
        <v>2</v>
      </c>
      <c r="N19" s="24"/>
      <c r="O19" s="24"/>
      <c r="P19" s="24"/>
      <c r="Q19" s="24"/>
      <c r="R19" s="24">
        <v>6</v>
      </c>
      <c r="S19" s="24"/>
      <c r="T19" s="24"/>
    </row>
    <row r="20" spans="1:20" ht="40.5" customHeight="1" x14ac:dyDescent="0.25">
      <c r="A20" s="24">
        <f t="shared" si="0"/>
        <v>9</v>
      </c>
      <c r="B20" s="24" t="s">
        <v>275</v>
      </c>
      <c r="C20" s="24"/>
      <c r="D20" s="24">
        <v>79</v>
      </c>
      <c r="E20" s="24"/>
      <c r="F20" s="24"/>
      <c r="G20" s="24"/>
      <c r="H20" s="24"/>
      <c r="I20" s="24">
        <v>4</v>
      </c>
      <c r="J20" s="24">
        <v>5</v>
      </c>
      <c r="K20" s="24">
        <f t="shared" si="1"/>
        <v>12</v>
      </c>
      <c r="L20" s="24">
        <v>3</v>
      </c>
      <c r="M20" s="24">
        <v>2</v>
      </c>
      <c r="N20" s="24"/>
      <c r="O20" s="24"/>
      <c r="P20" s="24"/>
      <c r="Q20" s="24"/>
      <c r="R20" s="24">
        <v>7</v>
      </c>
      <c r="S20" s="24"/>
      <c r="T20" s="24"/>
    </row>
    <row r="21" spans="1:20" ht="40.5" customHeight="1" x14ac:dyDescent="0.25">
      <c r="A21" s="24">
        <f t="shared" si="0"/>
        <v>10</v>
      </c>
      <c r="B21" s="24" t="s">
        <v>275</v>
      </c>
      <c r="C21" s="24"/>
      <c r="D21" s="24">
        <v>92</v>
      </c>
      <c r="E21" s="24"/>
      <c r="F21" s="24"/>
      <c r="G21" s="24"/>
      <c r="H21" s="24"/>
      <c r="I21" s="24">
        <v>5</v>
      </c>
      <c r="J21" s="24">
        <v>6</v>
      </c>
      <c r="K21" s="24">
        <f t="shared" si="1"/>
        <v>15</v>
      </c>
      <c r="L21" s="24">
        <v>4</v>
      </c>
      <c r="M21" s="24">
        <v>3</v>
      </c>
      <c r="N21" s="24"/>
      <c r="O21" s="24"/>
      <c r="P21" s="24"/>
      <c r="Q21" s="24"/>
      <c r="R21" s="24">
        <v>8</v>
      </c>
      <c r="S21" s="24"/>
      <c r="T21" s="24"/>
    </row>
    <row r="22" spans="1:20" ht="40.5" customHeight="1" x14ac:dyDescent="0.25">
      <c r="A22" s="24">
        <f t="shared" si="0"/>
        <v>11</v>
      </c>
      <c r="B22" s="24" t="s">
        <v>275</v>
      </c>
      <c r="C22" s="24"/>
      <c r="D22" s="24">
        <v>108</v>
      </c>
      <c r="E22" s="24"/>
      <c r="F22" s="24"/>
      <c r="G22" s="24"/>
      <c r="H22" s="24"/>
      <c r="I22" s="24">
        <v>6</v>
      </c>
      <c r="J22" s="24">
        <v>6.5</v>
      </c>
      <c r="K22" s="24">
        <f t="shared" si="1"/>
        <v>16</v>
      </c>
      <c r="L22" s="24">
        <v>5</v>
      </c>
      <c r="M22" s="24">
        <v>3</v>
      </c>
      <c r="N22" s="24"/>
      <c r="O22" s="24"/>
      <c r="P22" s="24"/>
      <c r="Q22" s="24"/>
      <c r="R22" s="24">
        <v>8</v>
      </c>
      <c r="S22" s="24"/>
      <c r="T22" s="24"/>
    </row>
    <row r="23" spans="1:20" ht="40.5" customHeight="1" x14ac:dyDescent="0.25">
      <c r="A23" s="24">
        <f t="shared" si="0"/>
        <v>12</v>
      </c>
      <c r="B23" s="24" t="s">
        <v>275</v>
      </c>
      <c r="C23" s="24"/>
      <c r="D23" s="24">
        <v>72</v>
      </c>
      <c r="E23" s="24"/>
      <c r="F23" s="24"/>
      <c r="G23" s="24"/>
      <c r="H23" s="24"/>
      <c r="I23" s="24">
        <v>3.5</v>
      </c>
      <c r="J23" s="24">
        <v>6.5</v>
      </c>
      <c r="K23" s="24">
        <f t="shared" si="1"/>
        <v>16</v>
      </c>
      <c r="L23" s="24">
        <v>4</v>
      </c>
      <c r="M23" s="24">
        <v>5</v>
      </c>
      <c r="N23" s="24"/>
      <c r="O23" s="24"/>
      <c r="P23" s="24"/>
      <c r="Q23" s="24"/>
      <c r="R23" s="24">
        <v>7</v>
      </c>
      <c r="S23" s="24"/>
      <c r="T23" s="24"/>
    </row>
    <row r="24" spans="1:20" ht="40.5" customHeight="1" x14ac:dyDescent="0.25">
      <c r="A24" s="24">
        <f t="shared" si="0"/>
        <v>13</v>
      </c>
      <c r="B24" s="24" t="s">
        <v>276</v>
      </c>
      <c r="C24" s="24"/>
      <c r="D24" s="24">
        <v>99</v>
      </c>
      <c r="E24" s="24"/>
      <c r="F24" s="24"/>
      <c r="G24" s="24"/>
      <c r="H24" s="24"/>
      <c r="I24" s="24">
        <v>7.5</v>
      </c>
      <c r="J24" s="24">
        <v>6.5</v>
      </c>
      <c r="K24" s="24">
        <f t="shared" si="1"/>
        <v>12</v>
      </c>
      <c r="L24" s="24">
        <v>5</v>
      </c>
      <c r="M24" s="24">
        <v>3</v>
      </c>
      <c r="N24" s="24"/>
      <c r="O24" s="24"/>
      <c r="P24" s="24"/>
      <c r="Q24" s="24"/>
      <c r="R24" s="24">
        <v>4</v>
      </c>
      <c r="S24" s="24"/>
      <c r="T24" s="24"/>
    </row>
    <row r="25" spans="1:20" ht="40.5" customHeight="1" x14ac:dyDescent="0.25">
      <c r="A25" s="24">
        <f t="shared" si="0"/>
        <v>14</v>
      </c>
      <c r="B25" s="24" t="s">
        <v>277</v>
      </c>
      <c r="C25" s="24"/>
      <c r="D25" s="24">
        <v>79</v>
      </c>
      <c r="E25" s="24"/>
      <c r="F25" s="24"/>
      <c r="G25" s="24"/>
      <c r="H25" s="24"/>
      <c r="I25" s="24">
        <v>7.5</v>
      </c>
      <c r="J25" s="24">
        <v>6.5</v>
      </c>
      <c r="K25" s="24">
        <f t="shared" si="1"/>
        <v>12</v>
      </c>
      <c r="L25" s="24">
        <v>4</v>
      </c>
      <c r="M25" s="24">
        <v>3</v>
      </c>
      <c r="N25" s="24"/>
      <c r="O25" s="24"/>
      <c r="P25" s="24"/>
      <c r="Q25" s="24"/>
      <c r="R25" s="24">
        <v>5</v>
      </c>
      <c r="S25" s="24"/>
      <c r="T25" s="24"/>
    </row>
    <row r="26" spans="1:20" ht="40.5" customHeight="1" x14ac:dyDescent="0.25">
      <c r="A26" s="24">
        <f t="shared" si="0"/>
        <v>15</v>
      </c>
      <c r="B26" s="24" t="s">
        <v>272</v>
      </c>
      <c r="C26" s="24"/>
      <c r="D26" s="24">
        <v>49</v>
      </c>
      <c r="E26" s="24"/>
      <c r="F26" s="24"/>
      <c r="G26" s="24"/>
      <c r="H26" s="24"/>
      <c r="I26" s="24">
        <v>4.5</v>
      </c>
      <c r="J26" s="24">
        <v>4.5</v>
      </c>
      <c r="K26" s="24">
        <f t="shared" si="1"/>
        <v>10</v>
      </c>
      <c r="L26" s="24">
        <v>3</v>
      </c>
      <c r="M26" s="24">
        <v>3</v>
      </c>
      <c r="N26" s="24"/>
      <c r="O26" s="24"/>
      <c r="P26" s="24"/>
      <c r="Q26" s="24"/>
      <c r="R26" s="24">
        <v>4</v>
      </c>
      <c r="S26" s="24"/>
      <c r="T26" s="24"/>
    </row>
    <row r="27" spans="1:20" ht="40.5" customHeight="1" x14ac:dyDescent="0.25">
      <c r="A27" s="24">
        <f t="shared" si="0"/>
        <v>16</v>
      </c>
      <c r="B27" s="24" t="s">
        <v>272</v>
      </c>
      <c r="C27" s="24"/>
      <c r="D27" s="24">
        <v>51</v>
      </c>
      <c r="E27" s="24"/>
      <c r="F27" s="24"/>
      <c r="G27" s="24"/>
      <c r="H27" s="24"/>
      <c r="I27" s="24">
        <v>5</v>
      </c>
      <c r="J27" s="24">
        <v>4</v>
      </c>
      <c r="K27" s="24">
        <f t="shared" si="1"/>
        <v>10</v>
      </c>
      <c r="L27" s="24">
        <v>3</v>
      </c>
      <c r="M27" s="24">
        <v>2</v>
      </c>
      <c r="N27" s="24"/>
      <c r="O27" s="24"/>
      <c r="P27" s="24"/>
      <c r="Q27" s="24"/>
      <c r="R27" s="24">
        <v>5</v>
      </c>
      <c r="S27" s="24"/>
      <c r="T27" s="24"/>
    </row>
    <row r="28" spans="1:20" ht="40.5" customHeight="1" x14ac:dyDescent="0.25">
      <c r="A28" s="24">
        <f t="shared" si="0"/>
        <v>17</v>
      </c>
      <c r="B28" s="24" t="s">
        <v>276</v>
      </c>
      <c r="C28" s="24"/>
      <c r="D28" s="24">
        <v>96</v>
      </c>
      <c r="E28" s="24"/>
      <c r="F28" s="24"/>
      <c r="G28" s="24"/>
      <c r="H28" s="24"/>
      <c r="I28" s="24">
        <v>7</v>
      </c>
      <c r="J28" s="24">
        <v>6</v>
      </c>
      <c r="K28" s="24">
        <f t="shared" si="1"/>
        <v>14</v>
      </c>
      <c r="L28" s="24">
        <v>3</v>
      </c>
      <c r="M28" s="24">
        <v>4</v>
      </c>
      <c r="N28" s="24"/>
      <c r="O28" s="24"/>
      <c r="P28" s="24"/>
      <c r="Q28" s="24"/>
      <c r="R28" s="24">
        <v>7</v>
      </c>
      <c r="S28" s="24"/>
      <c r="T28" s="24"/>
    </row>
    <row r="29" spans="1:20" ht="40.5" customHeight="1" x14ac:dyDescent="0.25">
      <c r="A29" s="24">
        <f t="shared" si="0"/>
        <v>18</v>
      </c>
      <c r="B29" s="24" t="s">
        <v>276</v>
      </c>
      <c r="C29" s="24"/>
      <c r="D29" s="24">
        <v>192</v>
      </c>
      <c r="E29" s="24"/>
      <c r="F29" s="24"/>
      <c r="G29" s="24"/>
      <c r="H29" s="24"/>
      <c r="I29" s="24">
        <v>7</v>
      </c>
      <c r="J29" s="24">
        <v>9</v>
      </c>
      <c r="K29" s="24">
        <f t="shared" si="1"/>
        <v>17</v>
      </c>
      <c r="L29" s="24">
        <v>4</v>
      </c>
      <c r="M29" s="24">
        <v>5</v>
      </c>
      <c r="N29" s="24"/>
      <c r="O29" s="24"/>
      <c r="P29" s="24"/>
      <c r="Q29" s="24"/>
      <c r="R29" s="24">
        <v>8</v>
      </c>
      <c r="S29" s="24"/>
      <c r="T29" s="24"/>
    </row>
    <row r="30" spans="1:20" ht="40.5" customHeight="1" x14ac:dyDescent="0.25">
      <c r="A30" s="24">
        <f t="shared" si="0"/>
        <v>19</v>
      </c>
      <c r="B30" s="24" t="s">
        <v>277</v>
      </c>
      <c r="C30" s="24"/>
      <c r="D30" s="24">
        <v>73</v>
      </c>
      <c r="E30" s="24"/>
      <c r="F30" s="24"/>
      <c r="G30" s="24"/>
      <c r="H30" s="24"/>
      <c r="I30" s="24">
        <v>6</v>
      </c>
      <c r="J30" s="24">
        <v>5.5</v>
      </c>
      <c r="K30" s="24">
        <f t="shared" si="1"/>
        <v>12</v>
      </c>
      <c r="L30" s="24">
        <v>5</v>
      </c>
      <c r="M30" s="24">
        <v>3</v>
      </c>
      <c r="N30" s="24"/>
      <c r="O30" s="24"/>
      <c r="P30" s="24"/>
      <c r="Q30" s="24"/>
      <c r="R30" s="24">
        <v>4</v>
      </c>
      <c r="S30" s="24"/>
      <c r="T30" s="24"/>
    </row>
    <row r="31" spans="1:20" ht="40.5" customHeight="1" x14ac:dyDescent="0.25">
      <c r="A31" s="24">
        <f t="shared" si="0"/>
        <v>20</v>
      </c>
      <c r="B31" s="24" t="s">
        <v>276</v>
      </c>
      <c r="C31" s="24"/>
      <c r="D31" s="24">
        <v>46</v>
      </c>
      <c r="E31" s="24"/>
      <c r="F31" s="24"/>
      <c r="G31" s="24"/>
      <c r="H31" s="24"/>
      <c r="I31" s="24">
        <v>4</v>
      </c>
      <c r="J31" s="24">
        <v>5</v>
      </c>
      <c r="K31" s="24">
        <f t="shared" si="1"/>
        <v>8</v>
      </c>
      <c r="L31" s="24">
        <v>2</v>
      </c>
      <c r="M31" s="24">
        <v>3</v>
      </c>
      <c r="N31" s="24"/>
      <c r="O31" s="24"/>
      <c r="P31" s="24"/>
      <c r="Q31" s="24"/>
      <c r="R31" s="24">
        <v>3</v>
      </c>
      <c r="S31" s="24"/>
      <c r="T31" s="24"/>
    </row>
    <row r="32" spans="1:20" ht="40.5" customHeight="1" x14ac:dyDescent="0.25">
      <c r="A32" s="24">
        <f t="shared" si="0"/>
        <v>21</v>
      </c>
      <c r="B32" s="24" t="s">
        <v>278</v>
      </c>
      <c r="C32" s="24"/>
      <c r="D32" s="24">
        <v>71</v>
      </c>
      <c r="E32" s="24"/>
      <c r="F32" s="24"/>
      <c r="G32" s="24"/>
      <c r="H32" s="24"/>
      <c r="I32" s="24">
        <v>4</v>
      </c>
      <c r="J32" s="24">
        <v>4.5</v>
      </c>
      <c r="K32" s="24">
        <f t="shared" si="1"/>
        <v>13</v>
      </c>
      <c r="L32" s="24">
        <v>3</v>
      </c>
      <c r="M32" s="24">
        <v>3</v>
      </c>
      <c r="N32" s="24"/>
      <c r="O32" s="24"/>
      <c r="P32" s="24"/>
      <c r="Q32" s="24"/>
      <c r="R32" s="24">
        <v>7</v>
      </c>
      <c r="S32" s="24"/>
      <c r="T32" s="24"/>
    </row>
    <row r="33" spans="1:20" ht="40.5" customHeight="1" x14ac:dyDescent="0.25">
      <c r="A33" s="24">
        <f t="shared" si="0"/>
        <v>22</v>
      </c>
      <c r="B33" s="24" t="s">
        <v>276</v>
      </c>
      <c r="C33" s="24"/>
      <c r="D33" s="24">
        <v>124</v>
      </c>
      <c r="E33" s="24"/>
      <c r="F33" s="24"/>
      <c r="G33" s="24"/>
      <c r="H33" s="24"/>
      <c r="I33" s="24">
        <v>7</v>
      </c>
      <c r="J33" s="24">
        <v>6.5</v>
      </c>
      <c r="K33" s="24">
        <f t="shared" si="1"/>
        <v>11</v>
      </c>
      <c r="L33" s="24">
        <v>3</v>
      </c>
      <c r="M33" s="24">
        <v>4</v>
      </c>
      <c r="N33" s="24"/>
      <c r="O33" s="24"/>
      <c r="P33" s="24"/>
      <c r="Q33" s="24"/>
      <c r="R33" s="24">
        <v>4</v>
      </c>
      <c r="S33" s="24"/>
      <c r="T33" s="24"/>
    </row>
    <row r="34" spans="1:20" ht="40.5" customHeight="1" x14ac:dyDescent="0.25">
      <c r="A34" s="24">
        <f t="shared" si="0"/>
        <v>23</v>
      </c>
      <c r="B34" s="24" t="s">
        <v>278</v>
      </c>
      <c r="C34" s="24"/>
      <c r="D34" s="24">
        <v>142</v>
      </c>
      <c r="E34" s="24"/>
      <c r="F34" s="24"/>
      <c r="G34" s="24"/>
      <c r="H34" s="24"/>
      <c r="I34" s="24">
        <v>6.5</v>
      </c>
      <c r="J34" s="24">
        <v>8</v>
      </c>
      <c r="K34" s="24">
        <f t="shared" si="1"/>
        <v>15</v>
      </c>
      <c r="L34" s="24">
        <v>3</v>
      </c>
      <c r="M34" s="24">
        <v>5</v>
      </c>
      <c r="N34" s="24"/>
      <c r="O34" s="24"/>
      <c r="P34" s="24"/>
      <c r="Q34" s="24"/>
      <c r="R34" s="24">
        <v>7</v>
      </c>
      <c r="S34" s="24"/>
      <c r="T34" s="24"/>
    </row>
    <row r="35" spans="1:20" ht="40.5" customHeight="1" x14ac:dyDescent="0.25">
      <c r="A35" s="24">
        <f t="shared" si="0"/>
        <v>24</v>
      </c>
      <c r="B35" s="24" t="s">
        <v>274</v>
      </c>
      <c r="C35" s="24"/>
      <c r="D35" s="24">
        <v>49</v>
      </c>
      <c r="E35" s="24"/>
      <c r="F35" s="24"/>
      <c r="G35" s="24"/>
      <c r="H35" s="24"/>
      <c r="I35" s="24">
        <v>6.5</v>
      </c>
      <c r="J35" s="24">
        <v>6</v>
      </c>
      <c r="K35" s="24">
        <f t="shared" si="1"/>
        <v>11</v>
      </c>
      <c r="L35" s="24">
        <v>3</v>
      </c>
      <c r="M35" s="24">
        <v>4</v>
      </c>
      <c r="N35" s="24"/>
      <c r="O35" s="24"/>
      <c r="P35" s="24"/>
      <c r="Q35" s="24"/>
      <c r="R35" s="24">
        <v>4</v>
      </c>
      <c r="S35" s="24"/>
      <c r="T35" s="24"/>
    </row>
    <row r="36" spans="1:20" ht="40.5" customHeight="1" x14ac:dyDescent="0.25">
      <c r="A36" s="24">
        <f t="shared" si="0"/>
        <v>25</v>
      </c>
      <c r="B36" s="24" t="s">
        <v>279</v>
      </c>
      <c r="C36" s="24"/>
      <c r="D36" s="24">
        <v>320</v>
      </c>
      <c r="E36" s="24"/>
      <c r="F36" s="24"/>
      <c r="G36" s="24"/>
      <c r="H36" s="24"/>
      <c r="I36" s="24">
        <v>10</v>
      </c>
      <c r="J36" s="24">
        <v>8</v>
      </c>
      <c r="K36" s="24">
        <f t="shared" si="1"/>
        <v>24</v>
      </c>
      <c r="L36" s="24">
        <v>6</v>
      </c>
      <c r="M36" s="24">
        <v>7</v>
      </c>
      <c r="N36" s="24"/>
      <c r="O36" s="24"/>
      <c r="P36" s="24"/>
      <c r="Q36" s="24"/>
      <c r="R36" s="24">
        <v>11</v>
      </c>
      <c r="S36" s="24"/>
      <c r="T36" s="24"/>
    </row>
    <row r="37" spans="1:20" ht="40.5" customHeight="1" x14ac:dyDescent="0.25">
      <c r="A37" s="24">
        <f t="shared" si="0"/>
        <v>26</v>
      </c>
      <c r="B37" s="24" t="s">
        <v>276</v>
      </c>
      <c r="C37" s="24"/>
      <c r="D37" s="24">
        <v>141</v>
      </c>
      <c r="E37" s="24"/>
      <c r="F37" s="24"/>
      <c r="G37" s="24"/>
      <c r="H37" s="24"/>
      <c r="I37" s="24">
        <v>7</v>
      </c>
      <c r="J37" s="24">
        <v>6.5</v>
      </c>
      <c r="K37" s="24">
        <f t="shared" si="1"/>
        <v>14</v>
      </c>
      <c r="L37" s="24">
        <v>4</v>
      </c>
      <c r="M37" s="24">
        <v>3</v>
      </c>
      <c r="N37" s="24"/>
      <c r="O37" s="24"/>
      <c r="P37" s="24"/>
      <c r="Q37" s="24"/>
      <c r="R37" s="24">
        <v>7</v>
      </c>
      <c r="S37" s="24"/>
      <c r="T37" s="24"/>
    </row>
    <row r="38" spans="1:20" ht="40.5" customHeight="1" x14ac:dyDescent="0.25">
      <c r="A38" s="24">
        <f t="shared" si="0"/>
        <v>27</v>
      </c>
      <c r="B38" s="24" t="s">
        <v>272</v>
      </c>
      <c r="C38" s="24"/>
      <c r="D38" s="24">
        <v>73</v>
      </c>
      <c r="E38" s="24"/>
      <c r="F38" s="24"/>
      <c r="G38" s="24"/>
      <c r="H38" s="24"/>
      <c r="I38" s="24">
        <v>6.5</v>
      </c>
      <c r="J38" s="24">
        <v>5.5</v>
      </c>
      <c r="K38" s="24">
        <f t="shared" si="1"/>
        <v>12</v>
      </c>
      <c r="L38" s="24">
        <v>3</v>
      </c>
      <c r="M38" s="24">
        <v>4</v>
      </c>
      <c r="N38" s="24"/>
      <c r="O38" s="24"/>
      <c r="P38" s="24"/>
      <c r="Q38" s="24"/>
      <c r="R38" s="24">
        <v>5</v>
      </c>
      <c r="S38" s="24"/>
      <c r="T38" s="24"/>
    </row>
    <row r="39" spans="1:20" ht="40.5" customHeight="1" x14ac:dyDescent="0.25">
      <c r="A39" s="24">
        <f t="shared" si="0"/>
        <v>28</v>
      </c>
      <c r="B39" s="24" t="s">
        <v>272</v>
      </c>
      <c r="C39" s="24"/>
      <c r="D39" s="24">
        <v>61</v>
      </c>
      <c r="E39" s="24"/>
      <c r="F39" s="24"/>
      <c r="G39" s="24"/>
      <c r="H39" s="24"/>
      <c r="I39" s="24">
        <v>5.5</v>
      </c>
      <c r="J39" s="24">
        <v>4.5</v>
      </c>
      <c r="K39" s="24">
        <f t="shared" si="1"/>
        <v>12</v>
      </c>
      <c r="L39" s="24">
        <v>3</v>
      </c>
      <c r="M39" s="24">
        <v>4</v>
      </c>
      <c r="N39" s="24"/>
      <c r="O39" s="24"/>
      <c r="P39" s="24"/>
      <c r="Q39" s="24"/>
      <c r="R39" s="24">
        <v>5</v>
      </c>
      <c r="S39" s="24"/>
      <c r="T39" s="24"/>
    </row>
    <row r="40" spans="1:20" ht="40.5" customHeight="1" x14ac:dyDescent="0.25">
      <c r="A40" s="24">
        <f t="shared" si="0"/>
        <v>29</v>
      </c>
      <c r="B40" s="24" t="s">
        <v>280</v>
      </c>
      <c r="C40" s="24"/>
      <c r="D40" s="24">
        <v>47</v>
      </c>
      <c r="E40" s="24"/>
      <c r="F40" s="24"/>
      <c r="G40" s="24"/>
      <c r="H40" s="24"/>
      <c r="I40" s="24">
        <v>0</v>
      </c>
      <c r="J40" s="24">
        <v>0</v>
      </c>
      <c r="K40" s="24">
        <f t="shared" si="1"/>
        <v>0</v>
      </c>
      <c r="L40" s="24">
        <v>0</v>
      </c>
      <c r="M40" s="24">
        <v>0</v>
      </c>
      <c r="N40" s="24"/>
      <c r="O40" s="24"/>
      <c r="P40" s="24"/>
      <c r="Q40" s="24"/>
      <c r="R40" s="24">
        <v>0</v>
      </c>
      <c r="S40" s="24"/>
      <c r="T40" s="24"/>
    </row>
  </sheetData>
  <mergeCells count="21">
    <mergeCell ref="H9:H10"/>
    <mergeCell ref="I9:J9"/>
    <mergeCell ref="K9:M9"/>
    <mergeCell ref="N9:N10"/>
    <mergeCell ref="O9:O10"/>
    <mergeCell ref="T8:T10"/>
    <mergeCell ref="A1:S1"/>
    <mergeCell ref="A2:S2"/>
    <mergeCell ref="A8:A10"/>
    <mergeCell ref="B8:H8"/>
    <mergeCell ref="I8:S8"/>
    <mergeCell ref="B9:B10"/>
    <mergeCell ref="C9:C10"/>
    <mergeCell ref="D9:D10"/>
    <mergeCell ref="E9:E10"/>
    <mergeCell ref="F9:F10"/>
    <mergeCell ref="P9:P10"/>
    <mergeCell ref="Q9:Q10"/>
    <mergeCell ref="R9:R10"/>
    <mergeCell ref="S9:S10"/>
    <mergeCell ref="G9:G10"/>
  </mergeCells>
  <printOptions horizontalCentered="1"/>
  <pageMargins left="0.17" right="0.17" top="0.22" bottom="0.24" header="0.3" footer="0.3"/>
  <pageSetup scale="54" orientation="landscape" r:id="rId1"/>
  <colBreaks count="1" manualBreakCount="1">
    <brk id="20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28"/>
  <sheetViews>
    <sheetView view="pageBreakPreview" zoomScale="60" workbookViewId="0">
      <selection activeCell="B15" sqref="B15"/>
    </sheetView>
  </sheetViews>
  <sheetFormatPr defaultRowHeight="15.75" x14ac:dyDescent="0.25"/>
  <cols>
    <col min="1" max="1" width="38.42578125" style="1" customWidth="1"/>
    <col min="2" max="2" width="11.85546875" style="1" customWidth="1"/>
    <col min="3" max="3" width="12.140625" style="1" customWidth="1"/>
    <col min="4" max="4" width="10.28515625" style="1" customWidth="1"/>
    <col min="5" max="5" width="9" style="1" customWidth="1"/>
    <col min="6" max="6" width="9.28515625" style="1" customWidth="1"/>
    <col min="7" max="8" width="6.140625" style="1" customWidth="1"/>
    <col min="9" max="9" width="7.42578125" style="1" customWidth="1"/>
    <col min="10" max="14" width="6.140625" style="1" customWidth="1"/>
    <col min="15" max="15" width="7.5703125" style="1" customWidth="1"/>
    <col min="16" max="27" width="6.7109375" style="1" customWidth="1"/>
    <col min="28" max="28" width="6.42578125" style="1" customWidth="1"/>
    <col min="29" max="29" width="5" style="1" customWidth="1"/>
    <col min="30" max="31" width="6.42578125" style="1" customWidth="1"/>
    <col min="32" max="33" width="9.5703125" style="1" customWidth="1"/>
    <col min="34" max="34" width="10.28515625" style="1" customWidth="1"/>
    <col min="35" max="16384" width="9.140625" style="1"/>
  </cols>
  <sheetData>
    <row r="1" spans="1:34" x14ac:dyDescent="0.25">
      <c r="A1" s="63" t="s">
        <v>107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</row>
    <row r="2" spans="1:34" x14ac:dyDescent="0.25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</row>
    <row r="3" spans="1:34" x14ac:dyDescent="0.25">
      <c r="A3" s="64" t="s">
        <v>108</v>
      </c>
      <c r="B3" s="64"/>
      <c r="C3" s="64"/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  <c r="O3" s="64"/>
      <c r="P3" s="64"/>
      <c r="Q3" s="64"/>
      <c r="R3" s="64"/>
      <c r="S3" s="64"/>
      <c r="T3" s="64"/>
      <c r="U3" s="64"/>
      <c r="V3" s="64"/>
      <c r="W3" s="64"/>
      <c r="X3" s="64"/>
      <c r="Y3" s="64"/>
      <c r="Z3" s="64"/>
      <c r="AA3" s="64"/>
      <c r="AB3" s="64"/>
      <c r="AC3" s="64"/>
      <c r="AD3" s="64"/>
      <c r="AE3" s="64"/>
      <c r="AF3" s="64"/>
      <c r="AG3" s="64"/>
      <c r="AH3" s="64"/>
    </row>
    <row r="4" spans="1:34" x14ac:dyDescent="0.25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</row>
    <row r="5" spans="1:34" s="15" customFormat="1" ht="23.25" customHeight="1" x14ac:dyDescent="0.25">
      <c r="D5" s="55" t="s">
        <v>109</v>
      </c>
      <c r="E5" s="55"/>
      <c r="F5" s="55" t="s">
        <v>110</v>
      </c>
      <c r="G5" s="55"/>
      <c r="H5" s="55" t="s">
        <v>111</v>
      </c>
      <c r="I5" s="55"/>
      <c r="J5" s="55" t="s">
        <v>112</v>
      </c>
      <c r="K5" s="55"/>
      <c r="S5" s="55" t="s">
        <v>113</v>
      </c>
      <c r="T5" s="55"/>
      <c r="U5" s="55"/>
      <c r="V5" s="55"/>
      <c r="W5" s="55"/>
      <c r="X5" s="55"/>
      <c r="Y5" s="55" t="s">
        <v>114</v>
      </c>
      <c r="Z5" s="55"/>
    </row>
    <row r="6" spans="1:34" s="15" customFormat="1" ht="23.25" customHeight="1" x14ac:dyDescent="0.25">
      <c r="D6" s="54" t="s">
        <v>58</v>
      </c>
      <c r="E6" s="54"/>
      <c r="F6" s="54" t="s">
        <v>59</v>
      </c>
      <c r="G6" s="54"/>
      <c r="H6" s="54" t="s">
        <v>60</v>
      </c>
      <c r="I6" s="54"/>
      <c r="J6" s="54" t="s">
        <v>61</v>
      </c>
      <c r="K6" s="54"/>
      <c r="S6" s="55" t="s">
        <v>115</v>
      </c>
      <c r="T6" s="55"/>
      <c r="U6" s="55"/>
      <c r="V6" s="55" t="s">
        <v>116</v>
      </c>
      <c r="W6" s="55"/>
      <c r="X6" s="55"/>
      <c r="Y6" s="55"/>
      <c r="Z6" s="55"/>
    </row>
    <row r="7" spans="1:34" s="19" customFormat="1" ht="23.25" customHeight="1" x14ac:dyDescent="0.25">
      <c r="D7" s="65"/>
      <c r="E7" s="65"/>
      <c r="F7" s="65">
        <v>5</v>
      </c>
      <c r="G7" s="65"/>
      <c r="H7" s="65"/>
      <c r="I7" s="65"/>
      <c r="J7" s="65"/>
      <c r="K7" s="65"/>
      <c r="S7" s="65" t="s">
        <v>117</v>
      </c>
      <c r="T7" s="65"/>
      <c r="U7" s="65"/>
      <c r="V7" s="65" t="s">
        <v>118</v>
      </c>
      <c r="W7" s="65"/>
      <c r="X7" s="65"/>
      <c r="Y7" s="65" t="s">
        <v>119</v>
      </c>
      <c r="Z7" s="65"/>
    </row>
    <row r="8" spans="1:34" s="19" customFormat="1" ht="24.75" customHeight="1" x14ac:dyDescent="0.25">
      <c r="S8" s="65"/>
      <c r="T8" s="65"/>
      <c r="U8" s="65"/>
      <c r="V8" s="69"/>
      <c r="W8" s="70"/>
      <c r="X8" s="71"/>
      <c r="Y8" s="69"/>
      <c r="Z8" s="71"/>
    </row>
    <row r="10" spans="1:34" s="27" customFormat="1" ht="24.75" customHeight="1" x14ac:dyDescent="0.25">
      <c r="A10" s="54" t="s">
        <v>120</v>
      </c>
      <c r="B10" s="54"/>
      <c r="C10" s="55" t="s">
        <v>121</v>
      </c>
      <c r="D10" s="55" t="s">
        <v>230</v>
      </c>
      <c r="E10" s="55" t="s">
        <v>122</v>
      </c>
      <c r="F10" s="55" t="s">
        <v>123</v>
      </c>
      <c r="G10" s="55"/>
      <c r="H10" s="55"/>
      <c r="I10" s="55"/>
      <c r="J10" s="55"/>
      <c r="K10" s="55"/>
      <c r="L10" s="55"/>
      <c r="M10" s="55"/>
      <c r="N10" s="55"/>
      <c r="O10" s="55" t="s">
        <v>124</v>
      </c>
      <c r="P10" s="55"/>
      <c r="Q10" s="55"/>
      <c r="R10" s="55"/>
      <c r="S10" s="55"/>
      <c r="T10" s="55"/>
      <c r="U10" s="55"/>
      <c r="V10" s="55"/>
      <c r="W10" s="55"/>
      <c r="X10" s="55" t="s">
        <v>125</v>
      </c>
      <c r="Y10" s="55"/>
      <c r="Z10" s="55"/>
      <c r="AA10" s="55"/>
      <c r="AB10" s="54" t="s">
        <v>126</v>
      </c>
      <c r="AC10" s="54"/>
      <c r="AD10" s="54"/>
      <c r="AE10" s="54"/>
      <c r="AF10" s="55" t="s">
        <v>127</v>
      </c>
      <c r="AG10" s="60" t="s">
        <v>128</v>
      </c>
      <c r="AH10" s="55" t="s">
        <v>129</v>
      </c>
    </row>
    <row r="11" spans="1:34" s="27" customFormat="1" ht="42" customHeight="1" x14ac:dyDescent="0.25">
      <c r="A11" s="60" t="s">
        <v>130</v>
      </c>
      <c r="B11" s="54" t="s">
        <v>131</v>
      </c>
      <c r="C11" s="55"/>
      <c r="D11" s="55"/>
      <c r="E11" s="55"/>
      <c r="F11" s="55" t="s">
        <v>132</v>
      </c>
      <c r="G11" s="55" t="s">
        <v>133</v>
      </c>
      <c r="H11" s="55"/>
      <c r="I11" s="55"/>
      <c r="J11" s="55"/>
      <c r="K11" s="55" t="s">
        <v>134</v>
      </c>
      <c r="L11" s="55"/>
      <c r="M11" s="55"/>
      <c r="N11" s="55"/>
      <c r="O11" s="55" t="s">
        <v>132</v>
      </c>
      <c r="P11" s="55" t="s">
        <v>133</v>
      </c>
      <c r="Q11" s="55"/>
      <c r="R11" s="55"/>
      <c r="S11" s="55"/>
      <c r="T11" s="55" t="s">
        <v>134</v>
      </c>
      <c r="U11" s="55"/>
      <c r="V11" s="55"/>
      <c r="W11" s="55"/>
      <c r="X11" s="55"/>
      <c r="Y11" s="55"/>
      <c r="Z11" s="55"/>
      <c r="AA11" s="55"/>
      <c r="AB11" s="54"/>
      <c r="AC11" s="54"/>
      <c r="AD11" s="54"/>
      <c r="AE11" s="54"/>
      <c r="AF11" s="55"/>
      <c r="AG11" s="62"/>
      <c r="AH11" s="55"/>
    </row>
    <row r="12" spans="1:34" s="27" customFormat="1" ht="36" customHeight="1" x14ac:dyDescent="0.25">
      <c r="A12" s="62"/>
      <c r="B12" s="54"/>
      <c r="C12" s="55"/>
      <c r="D12" s="55"/>
      <c r="E12" s="55"/>
      <c r="F12" s="55"/>
      <c r="G12" s="4" t="s">
        <v>135</v>
      </c>
      <c r="H12" s="4" t="s">
        <v>136</v>
      </c>
      <c r="I12" s="4" t="s">
        <v>137</v>
      </c>
      <c r="J12" s="4" t="s">
        <v>138</v>
      </c>
      <c r="K12" s="4" t="s">
        <v>135</v>
      </c>
      <c r="L12" s="4" t="s">
        <v>136</v>
      </c>
      <c r="M12" s="4" t="s">
        <v>137</v>
      </c>
      <c r="N12" s="4" t="s">
        <v>138</v>
      </c>
      <c r="O12" s="55"/>
      <c r="P12" s="4" t="s">
        <v>135</v>
      </c>
      <c r="Q12" s="4" t="s">
        <v>136</v>
      </c>
      <c r="R12" s="4" t="s">
        <v>137</v>
      </c>
      <c r="S12" s="4" t="s">
        <v>138</v>
      </c>
      <c r="T12" s="4" t="s">
        <v>135</v>
      </c>
      <c r="U12" s="4" t="s">
        <v>136</v>
      </c>
      <c r="V12" s="4" t="s">
        <v>137</v>
      </c>
      <c r="W12" s="4" t="s">
        <v>138</v>
      </c>
      <c r="X12" s="4" t="s">
        <v>135</v>
      </c>
      <c r="Y12" s="4" t="s">
        <v>136</v>
      </c>
      <c r="Z12" s="4" t="s">
        <v>137</v>
      </c>
      <c r="AA12" s="4" t="s">
        <v>138</v>
      </c>
      <c r="AB12" s="4" t="s">
        <v>135</v>
      </c>
      <c r="AC12" s="4" t="s">
        <v>136</v>
      </c>
      <c r="AD12" s="4" t="s">
        <v>137</v>
      </c>
      <c r="AE12" s="4" t="s">
        <v>138</v>
      </c>
      <c r="AF12" s="2"/>
      <c r="AG12" s="2"/>
      <c r="AH12" s="2"/>
    </row>
    <row r="13" spans="1:34" s="49" customFormat="1" ht="24.75" customHeight="1" x14ac:dyDescent="0.25">
      <c r="A13" s="2">
        <v>5</v>
      </c>
      <c r="B13" s="2" t="s">
        <v>139</v>
      </c>
      <c r="C13" s="2" t="s">
        <v>140</v>
      </c>
      <c r="D13" s="2" t="s">
        <v>141</v>
      </c>
      <c r="E13" s="2" t="s">
        <v>142</v>
      </c>
      <c r="F13" s="2" t="s">
        <v>143</v>
      </c>
      <c r="G13" s="2" t="s">
        <v>144</v>
      </c>
      <c r="H13" s="2" t="s">
        <v>145</v>
      </c>
      <c r="I13" s="2" t="s">
        <v>146</v>
      </c>
      <c r="J13" s="2" t="s">
        <v>147</v>
      </c>
      <c r="K13" s="2" t="s">
        <v>96</v>
      </c>
      <c r="L13" s="2" t="s">
        <v>97</v>
      </c>
      <c r="M13" s="2" t="s">
        <v>98</v>
      </c>
      <c r="N13" s="2" t="s">
        <v>99</v>
      </c>
      <c r="O13" s="2" t="s">
        <v>100</v>
      </c>
      <c r="P13" s="2" t="s">
        <v>148</v>
      </c>
      <c r="Q13" s="2" t="s">
        <v>149</v>
      </c>
      <c r="R13" s="2" t="s">
        <v>103</v>
      </c>
      <c r="S13" s="2" t="s">
        <v>104</v>
      </c>
      <c r="T13" s="2" t="s">
        <v>105</v>
      </c>
      <c r="U13" s="2" t="s">
        <v>150</v>
      </c>
      <c r="V13" s="2" t="s">
        <v>151</v>
      </c>
      <c r="W13" s="2" t="s">
        <v>152</v>
      </c>
      <c r="X13" s="2" t="s">
        <v>153</v>
      </c>
      <c r="Y13" s="2" t="s">
        <v>154</v>
      </c>
      <c r="Z13" s="2" t="s">
        <v>155</v>
      </c>
      <c r="AA13" s="2" t="s">
        <v>156</v>
      </c>
      <c r="AB13" s="2" t="s">
        <v>157</v>
      </c>
      <c r="AC13" s="2" t="s">
        <v>158</v>
      </c>
      <c r="AD13" s="2" t="s">
        <v>159</v>
      </c>
      <c r="AE13" s="2" t="s">
        <v>160</v>
      </c>
      <c r="AF13" s="2" t="s">
        <v>161</v>
      </c>
      <c r="AG13" s="2"/>
      <c r="AH13" s="2" t="s">
        <v>162</v>
      </c>
    </row>
    <row r="14" spans="1:34" ht="54.75" customHeight="1" x14ac:dyDescent="0.25">
      <c r="A14" s="26"/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</row>
    <row r="15" spans="1:34" ht="54.75" customHeight="1" x14ac:dyDescent="0.25">
      <c r="A15" s="26"/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</row>
    <row r="16" spans="1:34" ht="54.75" customHeight="1" x14ac:dyDescent="0.25">
      <c r="A16" s="26"/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</row>
    <row r="17" spans="1:34" ht="54.75" customHeight="1" x14ac:dyDescent="0.25">
      <c r="A17" s="26"/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</row>
    <row r="18" spans="1:34" ht="54.75" customHeight="1" x14ac:dyDescent="0.25">
      <c r="A18" s="26"/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</row>
    <row r="19" spans="1:34" ht="54.75" customHeight="1" x14ac:dyDescent="0.25">
      <c r="A19" s="26"/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</row>
    <row r="20" spans="1:34" ht="54.75" customHeight="1" x14ac:dyDescent="0.25">
      <c r="A20" s="26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</row>
    <row r="21" spans="1:34" ht="54.75" customHeight="1" x14ac:dyDescent="0.25">
      <c r="A21" s="26"/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</row>
    <row r="22" spans="1:34" ht="54.75" customHeight="1" x14ac:dyDescent="0.25">
      <c r="A22" s="26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</row>
    <row r="23" spans="1:34" ht="54.75" customHeight="1" x14ac:dyDescent="0.25">
      <c r="A23" s="26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</row>
    <row r="24" spans="1:34" ht="54.75" customHeight="1" x14ac:dyDescent="0.25">
      <c r="A24" s="26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</row>
    <row r="25" spans="1:34" ht="54.75" customHeight="1" x14ac:dyDescent="0.25">
      <c r="A25" s="26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</row>
    <row r="26" spans="1:34" ht="54.75" customHeight="1" x14ac:dyDescent="0.25">
      <c r="A26" s="2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</row>
    <row r="27" spans="1:34" ht="54.75" customHeight="1" x14ac:dyDescent="0.25">
      <c r="A27" s="26"/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</row>
    <row r="28" spans="1:34" ht="54.75" customHeight="1" x14ac:dyDescent="0.25">
      <c r="A28" s="26"/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</row>
  </sheetData>
  <mergeCells count="43">
    <mergeCell ref="AB10:AE11"/>
    <mergeCell ref="AF10:AF11"/>
    <mergeCell ref="O10:W10"/>
    <mergeCell ref="AG10:AG11"/>
    <mergeCell ref="AH10:AH11"/>
    <mergeCell ref="O11:O12"/>
    <mergeCell ref="P11:S11"/>
    <mergeCell ref="T11:W11"/>
    <mergeCell ref="X10:AA11"/>
    <mergeCell ref="A10:B10"/>
    <mergeCell ref="C10:C12"/>
    <mergeCell ref="D10:D12"/>
    <mergeCell ref="E10:E12"/>
    <mergeCell ref="F10:N10"/>
    <mergeCell ref="A11:A12"/>
    <mergeCell ref="B11:B12"/>
    <mergeCell ref="F11:F12"/>
    <mergeCell ref="G11:J11"/>
    <mergeCell ref="K11:N11"/>
    <mergeCell ref="V7:X7"/>
    <mergeCell ref="Y7:Z7"/>
    <mergeCell ref="S8:U8"/>
    <mergeCell ref="V8:X8"/>
    <mergeCell ref="Y8:Z8"/>
    <mergeCell ref="D7:E7"/>
    <mergeCell ref="F7:G7"/>
    <mergeCell ref="H7:I7"/>
    <mergeCell ref="J7:K7"/>
    <mergeCell ref="S7:U7"/>
    <mergeCell ref="A1:AH1"/>
    <mergeCell ref="A3:AH3"/>
    <mergeCell ref="D5:E5"/>
    <mergeCell ref="F5:G5"/>
    <mergeCell ref="H5:I5"/>
    <mergeCell ref="J5:K5"/>
    <mergeCell ref="S5:X5"/>
    <mergeCell ref="Y5:Z6"/>
    <mergeCell ref="D6:E6"/>
    <mergeCell ref="F6:G6"/>
    <mergeCell ref="H6:I6"/>
    <mergeCell ref="J6:K6"/>
    <mergeCell ref="S6:U6"/>
    <mergeCell ref="V6:X6"/>
  </mergeCells>
  <printOptions horizontalCentered="1"/>
  <pageMargins left="0.17" right="0.17" top="0.22" bottom="0.15" header="0.3" footer="0.15"/>
  <pageSetup paperSize="9" scale="51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18"/>
  <sheetViews>
    <sheetView view="pageBreakPreview" topLeftCell="A88" zoomScaleSheetLayoutView="100" workbookViewId="0">
      <selection activeCell="G99" sqref="G99"/>
    </sheetView>
  </sheetViews>
  <sheetFormatPr defaultRowHeight="15.75" x14ac:dyDescent="0.25"/>
  <cols>
    <col min="1" max="1" width="6.85546875" style="13" bestFit="1" customWidth="1"/>
    <col min="2" max="2" width="28.85546875" style="13" customWidth="1"/>
    <col min="3" max="3" width="34.85546875" style="13" customWidth="1"/>
    <col min="4" max="4" width="9.28515625" style="13" customWidth="1"/>
    <col min="5" max="5" width="7.7109375" style="13" customWidth="1"/>
    <col min="6" max="7" width="9.140625" style="13"/>
    <col min="8" max="8" width="23.28515625" style="13" customWidth="1"/>
    <col min="9" max="10" width="9.140625" style="13"/>
    <col min="11" max="11" width="10.28515625" style="13" bestFit="1" customWidth="1"/>
    <col min="12" max="16384" width="9.140625" style="13"/>
  </cols>
  <sheetData>
    <row r="1" spans="1:8" ht="24.75" customHeight="1" x14ac:dyDescent="0.25">
      <c r="A1" s="75" t="s">
        <v>163</v>
      </c>
      <c r="B1" s="75"/>
      <c r="C1" s="75"/>
      <c r="D1" s="75"/>
      <c r="E1" s="75"/>
      <c r="F1" s="75"/>
      <c r="G1" s="75"/>
      <c r="H1" s="75"/>
    </row>
    <row r="2" spans="1:8" s="28" customFormat="1" ht="24.75" customHeight="1" x14ac:dyDescent="0.25">
      <c r="B2" s="29" t="s">
        <v>164</v>
      </c>
      <c r="F2" s="76" t="s">
        <v>165</v>
      </c>
      <c r="G2" s="76"/>
      <c r="H2" s="76"/>
    </row>
    <row r="3" spans="1:8" ht="24" customHeight="1" x14ac:dyDescent="0.25">
      <c r="A3" s="77" t="s">
        <v>166</v>
      </c>
      <c r="B3" s="77" t="s">
        <v>167</v>
      </c>
      <c r="C3" s="77" t="s">
        <v>168</v>
      </c>
      <c r="D3" s="77" t="s">
        <v>169</v>
      </c>
      <c r="E3" s="77" t="s">
        <v>170</v>
      </c>
      <c r="F3" s="79" t="s">
        <v>171</v>
      </c>
      <c r="G3" s="79"/>
      <c r="H3" s="77" t="s">
        <v>172</v>
      </c>
    </row>
    <row r="4" spans="1:8" ht="64.5" customHeight="1" x14ac:dyDescent="0.25">
      <c r="A4" s="78"/>
      <c r="B4" s="78"/>
      <c r="C4" s="78"/>
      <c r="D4" s="78"/>
      <c r="E4" s="78"/>
      <c r="F4" s="18" t="s">
        <v>173</v>
      </c>
      <c r="G4" s="18" t="s">
        <v>174</v>
      </c>
      <c r="H4" s="78"/>
    </row>
    <row r="5" spans="1:8" ht="29.25" customHeight="1" x14ac:dyDescent="0.25">
      <c r="A5" s="11">
        <v>1</v>
      </c>
      <c r="B5" s="12" t="s">
        <v>287</v>
      </c>
      <c r="C5" s="12" t="s">
        <v>282</v>
      </c>
      <c r="D5" s="12">
        <v>4.5</v>
      </c>
      <c r="E5" s="12">
        <v>3</v>
      </c>
      <c r="F5" s="12" t="s">
        <v>318</v>
      </c>
      <c r="G5" s="12">
        <f>D5*E5</f>
        <v>13.5</v>
      </c>
      <c r="H5" s="12"/>
    </row>
    <row r="6" spans="1:8" ht="29.25" customHeight="1" x14ac:dyDescent="0.25">
      <c r="A6" s="11">
        <v>2</v>
      </c>
      <c r="B6" s="12" t="s">
        <v>288</v>
      </c>
      <c r="C6" s="12" t="s">
        <v>286</v>
      </c>
      <c r="D6" s="12">
        <v>5</v>
      </c>
      <c r="E6" s="12">
        <v>4</v>
      </c>
      <c r="F6" s="89" t="s">
        <v>319</v>
      </c>
      <c r="G6" s="12">
        <f>D6*E6</f>
        <v>20</v>
      </c>
      <c r="H6" s="12"/>
    </row>
    <row r="7" spans="1:8" ht="29.25" customHeight="1" x14ac:dyDescent="0.25">
      <c r="A7" s="11">
        <v>3</v>
      </c>
      <c r="B7" s="12"/>
      <c r="C7" s="12"/>
      <c r="D7" s="12"/>
      <c r="E7" s="12"/>
      <c r="F7" s="12"/>
      <c r="G7" s="12"/>
      <c r="H7" s="12"/>
    </row>
    <row r="8" spans="1:8" ht="29.25" customHeight="1" x14ac:dyDescent="0.25">
      <c r="A8" s="11">
        <v>4</v>
      </c>
      <c r="B8" s="12"/>
      <c r="C8" s="12"/>
      <c r="D8" s="12"/>
      <c r="E8" s="12"/>
      <c r="F8" s="12"/>
      <c r="G8" s="12"/>
      <c r="H8" s="12"/>
    </row>
    <row r="9" spans="1:8" ht="29.25" customHeight="1" x14ac:dyDescent="0.25">
      <c r="A9" s="11">
        <v>5</v>
      </c>
      <c r="B9" s="12"/>
      <c r="C9" s="12"/>
      <c r="D9" s="12"/>
      <c r="E9" s="12"/>
      <c r="F9" s="12"/>
      <c r="G9" s="12"/>
      <c r="H9" s="12"/>
    </row>
    <row r="10" spans="1:8" ht="29.25" customHeight="1" x14ac:dyDescent="0.25">
      <c r="A10" s="11">
        <v>6</v>
      </c>
      <c r="B10" s="12"/>
      <c r="C10" s="12"/>
      <c r="D10" s="12"/>
      <c r="E10" s="12"/>
      <c r="F10" s="12"/>
      <c r="G10" s="12"/>
      <c r="H10" s="12"/>
    </row>
    <row r="11" spans="1:8" ht="29.25" customHeight="1" x14ac:dyDescent="0.25">
      <c r="A11" s="11">
        <v>7</v>
      </c>
      <c r="B11" s="12"/>
      <c r="C11" s="12"/>
      <c r="D11" s="12"/>
      <c r="E11" s="12"/>
      <c r="F11" s="12"/>
      <c r="G11" s="12"/>
      <c r="H11" s="12"/>
    </row>
    <row r="12" spans="1:8" ht="29.25" customHeight="1" x14ac:dyDescent="0.25">
      <c r="A12" s="11">
        <v>8</v>
      </c>
      <c r="B12" s="12"/>
      <c r="C12" s="12"/>
      <c r="D12" s="12"/>
      <c r="E12" s="12"/>
      <c r="F12" s="12"/>
      <c r="G12" s="12"/>
      <c r="H12" s="12"/>
    </row>
    <row r="13" spans="1:8" ht="29.25" customHeight="1" x14ac:dyDescent="0.25">
      <c r="A13" s="11">
        <v>9</v>
      </c>
      <c r="B13" s="12"/>
      <c r="C13" s="12"/>
      <c r="D13" s="12"/>
      <c r="E13" s="12"/>
      <c r="F13" s="12"/>
      <c r="G13" s="12"/>
      <c r="H13" s="12"/>
    </row>
    <row r="14" spans="1:8" ht="29.25" customHeight="1" x14ac:dyDescent="0.25">
      <c r="A14" s="11">
        <v>10</v>
      </c>
      <c r="B14" s="12"/>
      <c r="C14" s="12"/>
      <c r="D14" s="12"/>
      <c r="E14" s="12"/>
      <c r="F14" s="12"/>
      <c r="G14" s="12"/>
      <c r="H14" s="12"/>
    </row>
    <row r="15" spans="1:8" ht="29.25" customHeight="1" x14ac:dyDescent="0.25">
      <c r="A15" s="11">
        <v>11</v>
      </c>
      <c r="B15" s="12"/>
      <c r="C15" s="12"/>
      <c r="D15" s="12"/>
      <c r="E15" s="12"/>
      <c r="F15" s="12"/>
      <c r="G15" s="12"/>
      <c r="H15" s="12"/>
    </row>
    <row r="16" spans="1:8" ht="29.25" customHeight="1" x14ac:dyDescent="0.25">
      <c r="A16" s="11">
        <v>12</v>
      </c>
      <c r="B16" s="12"/>
      <c r="C16" s="12"/>
      <c r="D16" s="12"/>
      <c r="E16" s="12"/>
      <c r="F16" s="12"/>
      <c r="G16" s="12"/>
      <c r="H16" s="12"/>
    </row>
    <row r="17" spans="1:8" ht="29.25" customHeight="1" x14ac:dyDescent="0.25">
      <c r="A17" s="11">
        <v>13</v>
      </c>
      <c r="B17" s="12"/>
      <c r="C17" s="12"/>
      <c r="D17" s="12"/>
      <c r="E17" s="12"/>
      <c r="F17" s="12"/>
      <c r="G17" s="12"/>
      <c r="H17" s="12"/>
    </row>
    <row r="18" spans="1:8" ht="29.25" customHeight="1" x14ac:dyDescent="0.25">
      <c r="A18" s="11">
        <v>14</v>
      </c>
      <c r="B18" s="12"/>
      <c r="C18" s="12"/>
      <c r="D18" s="12"/>
      <c r="E18" s="12"/>
      <c r="F18" s="12"/>
      <c r="G18" s="12"/>
      <c r="H18" s="12"/>
    </row>
    <row r="19" spans="1:8" ht="29.25" customHeight="1" x14ac:dyDescent="0.25">
      <c r="A19" s="11">
        <v>15</v>
      </c>
      <c r="B19" s="12"/>
      <c r="C19" s="12"/>
      <c r="D19" s="12"/>
      <c r="E19" s="12"/>
      <c r="F19" s="12"/>
      <c r="G19" s="12"/>
      <c r="H19" s="12"/>
    </row>
    <row r="20" spans="1:8" ht="29.25" customHeight="1" x14ac:dyDescent="0.25">
      <c r="A20" s="11">
        <v>16</v>
      </c>
      <c r="B20" s="12"/>
      <c r="C20" s="12"/>
      <c r="D20" s="12"/>
      <c r="E20" s="12"/>
      <c r="F20" s="12"/>
      <c r="G20" s="12"/>
      <c r="H20" s="12"/>
    </row>
    <row r="21" spans="1:8" ht="29.25" customHeight="1" x14ac:dyDescent="0.25">
      <c r="A21" s="11">
        <v>17</v>
      </c>
      <c r="B21" s="12"/>
      <c r="C21" s="12"/>
      <c r="D21" s="12"/>
      <c r="E21" s="12"/>
      <c r="F21" s="12"/>
      <c r="G21" s="12"/>
      <c r="H21" s="12"/>
    </row>
    <row r="22" spans="1:8" ht="29.25" customHeight="1" x14ac:dyDescent="0.25">
      <c r="A22" s="11">
        <v>18</v>
      </c>
      <c r="B22" s="12"/>
      <c r="C22" s="12"/>
      <c r="D22" s="12"/>
      <c r="E22" s="12"/>
      <c r="F22" s="12"/>
      <c r="G22" s="12"/>
      <c r="H22" s="12"/>
    </row>
    <row r="23" spans="1:8" ht="29.25" customHeight="1" x14ac:dyDescent="0.25">
      <c r="A23" s="11">
        <v>19</v>
      </c>
      <c r="B23" s="12"/>
      <c r="C23" s="12"/>
      <c r="D23" s="12"/>
      <c r="E23" s="12"/>
      <c r="F23" s="12"/>
      <c r="G23" s="12"/>
      <c r="H23" s="12"/>
    </row>
    <row r="24" spans="1:8" ht="29.25" customHeight="1" x14ac:dyDescent="0.25">
      <c r="A24" s="11">
        <v>20</v>
      </c>
      <c r="B24" s="12"/>
      <c r="C24" s="12"/>
      <c r="D24" s="12"/>
      <c r="E24" s="12"/>
      <c r="F24" s="12"/>
      <c r="G24" s="12"/>
      <c r="H24" s="12"/>
    </row>
    <row r="25" spans="1:8" ht="29.25" customHeight="1" x14ac:dyDescent="0.25">
      <c r="A25" s="11">
        <v>21</v>
      </c>
      <c r="B25" s="12"/>
      <c r="C25" s="12"/>
      <c r="D25" s="12"/>
      <c r="E25" s="12"/>
      <c r="F25" s="12"/>
      <c r="G25" s="12"/>
      <c r="H25" s="12"/>
    </row>
    <row r="26" spans="1:8" ht="29.25" customHeight="1" x14ac:dyDescent="0.25">
      <c r="A26" s="11">
        <v>22</v>
      </c>
      <c r="B26" s="12"/>
      <c r="C26" s="12"/>
      <c r="D26" s="12"/>
      <c r="E26" s="12"/>
      <c r="F26" s="12"/>
      <c r="G26" s="12"/>
      <c r="H26" s="12"/>
    </row>
    <row r="27" spans="1:8" ht="15" customHeight="1" x14ac:dyDescent="0.25">
      <c r="A27" s="30"/>
      <c r="B27" s="31"/>
      <c r="C27" s="32"/>
      <c r="D27" s="33"/>
      <c r="E27" s="34"/>
    </row>
    <row r="28" spans="1:8" ht="24.75" customHeight="1" x14ac:dyDescent="0.25">
      <c r="A28" s="79" t="s">
        <v>175</v>
      </c>
      <c r="B28" s="79"/>
      <c r="C28" s="79"/>
      <c r="D28" s="79"/>
      <c r="E28" s="79"/>
      <c r="F28" s="79"/>
      <c r="G28" s="79"/>
      <c r="H28" s="79"/>
    </row>
    <row r="29" spans="1:8" ht="36" customHeight="1" x14ac:dyDescent="0.25">
      <c r="A29" s="11">
        <v>1</v>
      </c>
      <c r="B29" s="80" t="s">
        <v>176</v>
      </c>
      <c r="C29" s="80"/>
      <c r="D29" s="80"/>
      <c r="E29" s="80"/>
      <c r="F29" s="80"/>
      <c r="G29" s="80"/>
      <c r="H29" s="35" t="s">
        <v>289</v>
      </c>
    </row>
    <row r="30" spans="1:8" ht="31.5" customHeight="1" x14ac:dyDescent="0.25">
      <c r="A30" s="11">
        <v>2</v>
      </c>
      <c r="B30" s="80" t="s">
        <v>177</v>
      </c>
      <c r="C30" s="80"/>
      <c r="D30" s="80"/>
      <c r="E30" s="80"/>
      <c r="F30" s="80"/>
      <c r="G30" s="80"/>
      <c r="H30" s="35" t="s">
        <v>290</v>
      </c>
    </row>
    <row r="31" spans="1:8" ht="24.75" customHeight="1" x14ac:dyDescent="0.25">
      <c r="A31" s="11">
        <v>3</v>
      </c>
      <c r="B31" s="80" t="s">
        <v>178</v>
      </c>
      <c r="C31" s="80"/>
      <c r="D31" s="80"/>
      <c r="E31" s="80"/>
      <c r="F31" s="80"/>
      <c r="G31" s="80"/>
      <c r="H31" s="35" t="s">
        <v>291</v>
      </c>
    </row>
    <row r="32" spans="1:8" ht="24.75" customHeight="1" x14ac:dyDescent="0.25">
      <c r="A32" s="11">
        <v>4</v>
      </c>
      <c r="B32" s="72" t="s">
        <v>179</v>
      </c>
      <c r="C32" s="73"/>
      <c r="D32" s="73"/>
      <c r="E32" s="73"/>
      <c r="F32" s="73"/>
      <c r="G32" s="74"/>
      <c r="H32" s="35" t="s">
        <v>292</v>
      </c>
    </row>
    <row r="33" spans="1:8" ht="24.75" customHeight="1" x14ac:dyDescent="0.25">
      <c r="A33" s="11">
        <v>5</v>
      </c>
      <c r="B33" s="72" t="s">
        <v>180</v>
      </c>
      <c r="C33" s="73"/>
      <c r="D33" s="73"/>
      <c r="E33" s="73"/>
      <c r="F33" s="73"/>
      <c r="G33" s="74"/>
      <c r="H33" s="35" t="s">
        <v>293</v>
      </c>
    </row>
    <row r="34" spans="1:8" ht="22.15" customHeight="1" x14ac:dyDescent="0.25">
      <c r="A34" s="30"/>
      <c r="B34" s="30"/>
      <c r="C34" s="30"/>
      <c r="D34" s="30"/>
      <c r="E34" s="30"/>
      <c r="F34" s="30"/>
      <c r="G34" s="30"/>
      <c r="H34" s="36"/>
    </row>
    <row r="35" spans="1:8" ht="24" customHeight="1" x14ac:dyDescent="0.25">
      <c r="B35" s="37" t="str">
        <f>B2</f>
        <v xml:space="preserve">    Grid No:  </v>
      </c>
      <c r="F35" s="37" t="s">
        <v>181</v>
      </c>
      <c r="G35" s="37"/>
    </row>
    <row r="36" spans="1:8" ht="27.6" customHeight="1" x14ac:dyDescent="0.25">
      <c r="A36" s="79" t="s">
        <v>166</v>
      </c>
      <c r="B36" s="79" t="s">
        <v>167</v>
      </c>
      <c r="C36" s="79" t="s">
        <v>168</v>
      </c>
      <c r="D36" s="77" t="s">
        <v>169</v>
      </c>
      <c r="E36" s="79" t="s">
        <v>170</v>
      </c>
      <c r="F36" s="79" t="s">
        <v>171</v>
      </c>
      <c r="G36" s="79"/>
      <c r="H36" s="79" t="s">
        <v>172</v>
      </c>
    </row>
    <row r="37" spans="1:8" ht="67.150000000000006" customHeight="1" x14ac:dyDescent="0.25">
      <c r="A37" s="79"/>
      <c r="B37" s="79"/>
      <c r="C37" s="79"/>
      <c r="D37" s="78"/>
      <c r="E37" s="79"/>
      <c r="F37" s="18" t="s">
        <v>173</v>
      </c>
      <c r="G37" s="18" t="s">
        <v>174</v>
      </c>
      <c r="H37" s="79"/>
    </row>
    <row r="38" spans="1:8" ht="36" customHeight="1" x14ac:dyDescent="0.25">
      <c r="A38" s="11">
        <v>1</v>
      </c>
      <c r="B38" s="18" t="s">
        <v>284</v>
      </c>
      <c r="C38" s="18" t="s">
        <v>286</v>
      </c>
      <c r="D38" s="18">
        <v>4.5</v>
      </c>
      <c r="E38" s="18">
        <v>3</v>
      </c>
      <c r="F38" s="18"/>
      <c r="G38" s="12">
        <f t="shared" ref="G38:G40" si="0">D38*E38</f>
        <v>13.5</v>
      </c>
      <c r="H38" s="18"/>
    </row>
    <row r="39" spans="1:8" ht="36" customHeight="1" x14ac:dyDescent="0.25">
      <c r="A39" s="11">
        <v>2</v>
      </c>
      <c r="B39" s="18" t="s">
        <v>284</v>
      </c>
      <c r="C39" s="18" t="s">
        <v>286</v>
      </c>
      <c r="D39" s="18">
        <v>4.8</v>
      </c>
      <c r="E39" s="18">
        <v>3.5</v>
      </c>
      <c r="F39" s="89" t="s">
        <v>319</v>
      </c>
      <c r="G39" s="12">
        <f t="shared" si="0"/>
        <v>16.8</v>
      </c>
      <c r="H39" s="18"/>
    </row>
    <row r="40" spans="1:8" ht="36" customHeight="1" x14ac:dyDescent="0.25">
      <c r="A40" s="11">
        <v>3</v>
      </c>
      <c r="B40" s="18" t="s">
        <v>284</v>
      </c>
      <c r="C40" s="18" t="s">
        <v>286</v>
      </c>
      <c r="D40" s="18">
        <v>6.5</v>
      </c>
      <c r="E40" s="18">
        <v>5.5</v>
      </c>
      <c r="F40" s="18"/>
      <c r="G40" s="12">
        <f t="shared" si="0"/>
        <v>35.75</v>
      </c>
      <c r="H40" s="18"/>
    </row>
    <row r="41" spans="1:8" ht="36" customHeight="1" x14ac:dyDescent="0.25">
      <c r="A41" s="11">
        <v>4</v>
      </c>
      <c r="B41" s="18"/>
      <c r="C41" s="18"/>
      <c r="D41" s="18"/>
      <c r="E41" s="18"/>
      <c r="F41" s="18"/>
      <c r="G41" s="18"/>
      <c r="H41" s="18"/>
    </row>
    <row r="42" spans="1:8" ht="36" customHeight="1" x14ac:dyDescent="0.25">
      <c r="A42" s="11">
        <v>5</v>
      </c>
      <c r="B42" s="18"/>
      <c r="C42" s="18"/>
      <c r="D42" s="18"/>
      <c r="E42" s="18"/>
      <c r="F42" s="18"/>
      <c r="G42" s="18"/>
      <c r="H42" s="18"/>
    </row>
    <row r="43" spans="1:8" ht="36" customHeight="1" x14ac:dyDescent="0.25">
      <c r="A43" s="11">
        <v>6</v>
      </c>
      <c r="B43" s="18"/>
      <c r="C43" s="18"/>
      <c r="D43" s="18"/>
      <c r="E43" s="18"/>
      <c r="F43" s="18"/>
      <c r="G43" s="18"/>
      <c r="H43" s="18"/>
    </row>
    <row r="44" spans="1:8" ht="36" customHeight="1" x14ac:dyDescent="0.25">
      <c r="A44" s="11">
        <v>7</v>
      </c>
      <c r="B44" s="18"/>
      <c r="C44" s="18"/>
      <c r="D44" s="18"/>
      <c r="E44" s="18"/>
      <c r="F44" s="18"/>
      <c r="G44" s="18"/>
      <c r="H44" s="18"/>
    </row>
    <row r="45" spans="1:8" ht="36" customHeight="1" x14ac:dyDescent="0.25">
      <c r="A45" s="11">
        <v>8</v>
      </c>
      <c r="B45" s="18"/>
      <c r="C45" s="18"/>
      <c r="D45" s="18"/>
      <c r="E45" s="18"/>
      <c r="F45" s="18"/>
      <c r="G45" s="18"/>
      <c r="H45" s="18"/>
    </row>
    <row r="46" spans="1:8" ht="36" customHeight="1" x14ac:dyDescent="0.25">
      <c r="A46" s="11">
        <v>9</v>
      </c>
      <c r="B46" s="18"/>
      <c r="C46" s="18"/>
      <c r="D46" s="18"/>
      <c r="E46" s="18"/>
      <c r="F46" s="18"/>
      <c r="G46" s="18"/>
      <c r="H46" s="18"/>
    </row>
    <row r="47" spans="1:8" ht="36" customHeight="1" x14ac:dyDescent="0.25">
      <c r="A47" s="11">
        <v>10</v>
      </c>
      <c r="B47" s="18"/>
      <c r="C47" s="18"/>
      <c r="D47" s="18"/>
      <c r="E47" s="18"/>
      <c r="F47" s="18"/>
      <c r="G47" s="18"/>
      <c r="H47" s="18"/>
    </row>
    <row r="48" spans="1:8" ht="36" customHeight="1" x14ac:dyDescent="0.25">
      <c r="A48" s="11">
        <v>11</v>
      </c>
      <c r="B48" s="18"/>
      <c r="C48" s="18"/>
      <c r="D48" s="18"/>
      <c r="E48" s="18"/>
      <c r="F48" s="18"/>
      <c r="G48" s="18"/>
      <c r="H48" s="18"/>
    </row>
    <row r="49" spans="1:8" ht="36" customHeight="1" x14ac:dyDescent="0.25">
      <c r="A49" s="11">
        <v>12</v>
      </c>
      <c r="B49" s="18"/>
      <c r="C49" s="18"/>
      <c r="D49" s="18"/>
      <c r="E49" s="18"/>
      <c r="F49" s="18"/>
      <c r="G49" s="18"/>
      <c r="H49" s="18"/>
    </row>
    <row r="50" spans="1:8" ht="36" customHeight="1" x14ac:dyDescent="0.25">
      <c r="A50" s="11">
        <v>13</v>
      </c>
      <c r="B50" s="18"/>
      <c r="C50" s="18"/>
      <c r="D50" s="18"/>
      <c r="E50" s="18"/>
      <c r="F50" s="18"/>
      <c r="G50" s="18"/>
      <c r="H50" s="18"/>
    </row>
    <row r="51" spans="1:8" ht="36" customHeight="1" x14ac:dyDescent="0.25">
      <c r="A51" s="11">
        <v>14</v>
      </c>
      <c r="B51" s="18"/>
      <c r="C51" s="18"/>
      <c r="D51" s="18"/>
      <c r="E51" s="18"/>
      <c r="F51" s="18"/>
      <c r="G51" s="18"/>
      <c r="H51" s="18"/>
    </row>
    <row r="52" spans="1:8" ht="36" customHeight="1" x14ac:dyDescent="0.25">
      <c r="A52" s="11">
        <v>15</v>
      </c>
      <c r="B52" s="18"/>
      <c r="C52" s="18"/>
      <c r="D52" s="18"/>
      <c r="E52" s="18"/>
      <c r="F52" s="18"/>
      <c r="G52" s="18"/>
      <c r="H52" s="18"/>
    </row>
    <row r="53" spans="1:8" ht="36" customHeight="1" x14ac:dyDescent="0.25">
      <c r="A53" s="11">
        <v>16</v>
      </c>
      <c r="B53" s="18"/>
      <c r="C53" s="18"/>
      <c r="D53" s="18"/>
      <c r="E53" s="18"/>
      <c r="F53" s="18"/>
      <c r="G53" s="18"/>
      <c r="H53" s="18"/>
    </row>
    <row r="54" spans="1:8" ht="36" customHeight="1" x14ac:dyDescent="0.25">
      <c r="A54" s="11">
        <v>17</v>
      </c>
      <c r="B54" s="18"/>
      <c r="C54" s="18"/>
      <c r="D54" s="18"/>
      <c r="E54" s="18"/>
      <c r="F54" s="18"/>
      <c r="G54" s="18"/>
      <c r="H54" s="18"/>
    </row>
    <row r="55" spans="1:8" ht="36" customHeight="1" x14ac:dyDescent="0.25">
      <c r="A55" s="11">
        <v>18</v>
      </c>
      <c r="B55" s="18"/>
      <c r="C55" s="18"/>
      <c r="D55" s="18"/>
      <c r="E55" s="18"/>
      <c r="F55" s="18"/>
      <c r="G55" s="18"/>
      <c r="H55" s="18"/>
    </row>
    <row r="56" spans="1:8" ht="36" customHeight="1" x14ac:dyDescent="0.25">
      <c r="A56" s="11">
        <v>19</v>
      </c>
      <c r="B56" s="18"/>
      <c r="C56" s="18"/>
      <c r="D56" s="18"/>
      <c r="E56" s="18"/>
      <c r="F56" s="18"/>
      <c r="G56" s="18"/>
      <c r="H56" s="18"/>
    </row>
    <row r="57" spans="1:8" ht="36" customHeight="1" x14ac:dyDescent="0.25">
      <c r="A57" s="11">
        <v>20</v>
      </c>
      <c r="B57" s="12"/>
      <c r="C57" s="12"/>
      <c r="D57" s="12"/>
      <c r="E57" s="12"/>
      <c r="F57" s="12"/>
      <c r="G57" s="12"/>
      <c r="H57" s="12"/>
    </row>
    <row r="58" spans="1:8" ht="20.45" customHeight="1" x14ac:dyDescent="0.25">
      <c r="A58" s="30"/>
      <c r="B58" s="38"/>
      <c r="C58" s="39"/>
      <c r="D58" s="30"/>
      <c r="E58" s="30"/>
      <c r="F58" s="30"/>
      <c r="G58" s="30"/>
      <c r="H58" s="30"/>
    </row>
    <row r="59" spans="1:8" ht="24.75" customHeight="1" x14ac:dyDescent="0.25">
      <c r="A59" s="79" t="s">
        <v>175</v>
      </c>
      <c r="B59" s="79"/>
      <c r="C59" s="79"/>
      <c r="D59" s="79"/>
      <c r="E59" s="79"/>
      <c r="F59" s="79"/>
      <c r="G59" s="79"/>
      <c r="H59" s="79"/>
    </row>
    <row r="60" spans="1:8" ht="38.25" customHeight="1" x14ac:dyDescent="0.25">
      <c r="A60" s="11">
        <v>1</v>
      </c>
      <c r="B60" s="80" t="s">
        <v>176</v>
      </c>
      <c r="C60" s="80"/>
      <c r="D60" s="80"/>
      <c r="E60" s="80"/>
      <c r="F60" s="80"/>
      <c r="G60" s="80"/>
      <c r="H60" s="11" t="s">
        <v>294</v>
      </c>
    </row>
    <row r="61" spans="1:8" ht="38.25" customHeight="1" x14ac:dyDescent="0.25">
      <c r="A61" s="11">
        <v>2</v>
      </c>
      <c r="B61" s="80" t="s">
        <v>177</v>
      </c>
      <c r="C61" s="80"/>
      <c r="D61" s="80"/>
      <c r="E61" s="80"/>
      <c r="F61" s="80"/>
      <c r="G61" s="80"/>
      <c r="H61" s="11" t="s">
        <v>295</v>
      </c>
    </row>
    <row r="62" spans="1:8" ht="25.5" customHeight="1" x14ac:dyDescent="0.25">
      <c r="A62" s="11">
        <v>3</v>
      </c>
      <c r="B62" s="80" t="s">
        <v>178</v>
      </c>
      <c r="C62" s="80"/>
      <c r="D62" s="80"/>
      <c r="E62" s="80"/>
      <c r="F62" s="80"/>
      <c r="G62" s="80"/>
      <c r="H62" s="11">
        <v>0</v>
      </c>
    </row>
    <row r="63" spans="1:8" ht="25.5" customHeight="1" x14ac:dyDescent="0.25">
      <c r="A63" s="11">
        <v>4</v>
      </c>
      <c r="B63" s="72" t="s">
        <v>182</v>
      </c>
      <c r="C63" s="73"/>
      <c r="D63" s="73"/>
      <c r="E63" s="73"/>
      <c r="F63" s="73"/>
      <c r="G63" s="74"/>
      <c r="H63" s="11" t="s">
        <v>296</v>
      </c>
    </row>
    <row r="64" spans="1:8" ht="24.75" customHeight="1" x14ac:dyDescent="0.25">
      <c r="A64" s="11">
        <v>5</v>
      </c>
      <c r="B64" s="80" t="s">
        <v>183</v>
      </c>
      <c r="C64" s="80"/>
      <c r="D64" s="80"/>
      <c r="E64" s="80"/>
      <c r="F64" s="80"/>
      <c r="G64" s="80"/>
      <c r="H64" s="11" t="s">
        <v>297</v>
      </c>
    </row>
    <row r="65" spans="1:8" ht="20.45" customHeight="1" x14ac:dyDescent="0.25">
      <c r="A65" s="30"/>
      <c r="B65" s="39"/>
      <c r="C65" s="39"/>
      <c r="D65" s="39"/>
      <c r="E65" s="39"/>
      <c r="F65" s="39"/>
      <c r="G65" s="39"/>
      <c r="H65" s="36"/>
    </row>
    <row r="66" spans="1:8" ht="26.25" customHeight="1" x14ac:dyDescent="0.25">
      <c r="B66" s="37" t="str">
        <f>B2</f>
        <v xml:space="preserve">    Grid No:  </v>
      </c>
      <c r="F66" s="29" t="s">
        <v>239</v>
      </c>
      <c r="G66" s="29"/>
    </row>
    <row r="67" spans="1:8" ht="29.45" customHeight="1" x14ac:dyDescent="0.25">
      <c r="A67" s="79" t="s">
        <v>166</v>
      </c>
      <c r="B67" s="79" t="s">
        <v>167</v>
      </c>
      <c r="C67" s="79" t="s">
        <v>168</v>
      </c>
      <c r="D67" s="77" t="s">
        <v>169</v>
      </c>
      <c r="E67" s="79" t="s">
        <v>170</v>
      </c>
      <c r="F67" s="79" t="s">
        <v>171</v>
      </c>
      <c r="G67" s="79"/>
      <c r="H67" s="79" t="s">
        <v>172</v>
      </c>
    </row>
    <row r="68" spans="1:8" ht="63" x14ac:dyDescent="0.25">
      <c r="A68" s="79"/>
      <c r="B68" s="79"/>
      <c r="C68" s="79"/>
      <c r="D68" s="78"/>
      <c r="E68" s="79"/>
      <c r="F68" s="18" t="s">
        <v>173</v>
      </c>
      <c r="G68" s="18" t="s">
        <v>174</v>
      </c>
      <c r="H68" s="79"/>
    </row>
    <row r="69" spans="1:8" s="28" customFormat="1" ht="41.25" customHeight="1" x14ac:dyDescent="0.25">
      <c r="A69" s="11">
        <v>1</v>
      </c>
      <c r="B69" s="40" t="s">
        <v>274</v>
      </c>
      <c r="C69" s="11" t="s">
        <v>298</v>
      </c>
      <c r="D69" s="11">
        <v>4.5</v>
      </c>
      <c r="E69" s="11">
        <v>3</v>
      </c>
      <c r="F69" s="11" t="s">
        <v>320</v>
      </c>
      <c r="G69" s="12">
        <f>D69*E69</f>
        <v>13.5</v>
      </c>
      <c r="H69" s="11"/>
    </row>
    <row r="70" spans="1:8" s="28" customFormat="1" ht="41.25" customHeight="1" x14ac:dyDescent="0.25">
      <c r="A70" s="11">
        <v>2</v>
      </c>
      <c r="B70" s="40"/>
      <c r="C70" s="11"/>
      <c r="D70" s="11"/>
      <c r="E70" s="11"/>
      <c r="F70" s="11"/>
      <c r="G70" s="11"/>
      <c r="H70" s="11"/>
    </row>
    <row r="71" spans="1:8" s="28" customFormat="1" ht="41.25" customHeight="1" x14ac:dyDescent="0.25">
      <c r="A71" s="11">
        <v>3</v>
      </c>
      <c r="B71" s="40"/>
      <c r="C71" s="11"/>
      <c r="D71" s="11"/>
      <c r="E71" s="11"/>
      <c r="F71" s="11"/>
      <c r="G71" s="11"/>
      <c r="H71" s="11"/>
    </row>
    <row r="72" spans="1:8" s="28" customFormat="1" ht="41.25" customHeight="1" x14ac:dyDescent="0.25">
      <c r="A72" s="11">
        <v>4</v>
      </c>
      <c r="B72" s="40"/>
      <c r="C72" s="11"/>
      <c r="D72" s="11"/>
      <c r="E72" s="11"/>
      <c r="F72" s="11"/>
      <c r="G72" s="11"/>
      <c r="H72" s="11"/>
    </row>
    <row r="73" spans="1:8" s="28" customFormat="1" ht="41.25" customHeight="1" x14ac:dyDescent="0.25">
      <c r="A73" s="11">
        <v>5</v>
      </c>
      <c r="B73" s="40"/>
      <c r="C73" s="11"/>
      <c r="D73" s="11"/>
      <c r="E73" s="11"/>
      <c r="F73" s="11"/>
      <c r="G73" s="11"/>
      <c r="H73" s="11"/>
    </row>
    <row r="74" spans="1:8" s="28" customFormat="1" ht="41.25" customHeight="1" x14ac:dyDescent="0.25">
      <c r="A74" s="11">
        <v>6</v>
      </c>
      <c r="B74" s="40"/>
      <c r="C74" s="11"/>
      <c r="D74" s="11"/>
      <c r="E74" s="11"/>
      <c r="F74" s="11"/>
      <c r="G74" s="11"/>
      <c r="H74" s="11"/>
    </row>
    <row r="75" spans="1:8" s="28" customFormat="1" ht="41.25" customHeight="1" x14ac:dyDescent="0.25">
      <c r="A75" s="11">
        <v>7</v>
      </c>
      <c r="B75" s="40"/>
      <c r="C75" s="11"/>
      <c r="D75" s="11"/>
      <c r="E75" s="11"/>
      <c r="F75" s="11"/>
      <c r="G75" s="11"/>
      <c r="H75" s="11"/>
    </row>
    <row r="76" spans="1:8" s="28" customFormat="1" ht="41.25" customHeight="1" x14ac:dyDescent="0.25">
      <c r="A76" s="11">
        <v>8</v>
      </c>
      <c r="B76" s="40"/>
      <c r="C76" s="11"/>
      <c r="D76" s="11"/>
      <c r="E76" s="11"/>
      <c r="F76" s="11"/>
      <c r="G76" s="11"/>
      <c r="H76" s="11"/>
    </row>
    <row r="77" spans="1:8" s="28" customFormat="1" ht="41.25" customHeight="1" x14ac:dyDescent="0.25">
      <c r="A77" s="11">
        <v>9</v>
      </c>
      <c r="B77" s="40"/>
      <c r="C77" s="11"/>
      <c r="D77" s="11"/>
      <c r="E77" s="11"/>
      <c r="F77" s="11"/>
      <c r="G77" s="11"/>
      <c r="H77" s="11"/>
    </row>
    <row r="78" spans="1:8" s="28" customFormat="1" ht="41.25" customHeight="1" x14ac:dyDescent="0.25">
      <c r="A78" s="11">
        <v>10</v>
      </c>
      <c r="B78" s="40"/>
      <c r="C78" s="11"/>
      <c r="D78" s="11"/>
      <c r="E78" s="11"/>
      <c r="F78" s="11"/>
      <c r="G78" s="11"/>
      <c r="H78" s="11"/>
    </row>
    <row r="79" spans="1:8" s="28" customFormat="1" ht="41.25" customHeight="1" x14ac:dyDescent="0.25">
      <c r="A79" s="11">
        <v>11</v>
      </c>
      <c r="B79" s="40"/>
      <c r="C79" s="11"/>
      <c r="D79" s="11"/>
      <c r="E79" s="11"/>
      <c r="F79" s="11"/>
      <c r="G79" s="11"/>
      <c r="H79" s="11"/>
    </row>
    <row r="80" spans="1:8" s="28" customFormat="1" ht="41.25" customHeight="1" x14ac:dyDescent="0.25">
      <c r="A80" s="11">
        <v>12</v>
      </c>
      <c r="B80" s="40"/>
      <c r="C80" s="11"/>
      <c r="D80" s="11"/>
      <c r="E80" s="11"/>
      <c r="F80" s="11"/>
      <c r="G80" s="11"/>
      <c r="H80" s="11"/>
    </row>
    <row r="81" spans="1:8" s="28" customFormat="1" ht="41.25" customHeight="1" x14ac:dyDescent="0.25">
      <c r="A81" s="11">
        <v>13</v>
      </c>
      <c r="B81" s="40"/>
      <c r="C81" s="11"/>
      <c r="D81" s="11"/>
      <c r="E81" s="11"/>
      <c r="F81" s="11"/>
      <c r="G81" s="11"/>
      <c r="H81" s="11"/>
    </row>
    <row r="82" spans="1:8" s="28" customFormat="1" ht="41.25" customHeight="1" x14ac:dyDescent="0.25">
      <c r="A82" s="11">
        <v>14</v>
      </c>
      <c r="B82" s="40"/>
      <c r="C82" s="11"/>
      <c r="D82" s="11"/>
      <c r="E82" s="11"/>
      <c r="F82" s="11"/>
      <c r="G82" s="11"/>
      <c r="H82" s="11"/>
    </row>
    <row r="83" spans="1:8" s="28" customFormat="1" ht="41.25" customHeight="1" x14ac:dyDescent="0.25">
      <c r="A83" s="11">
        <v>15</v>
      </c>
      <c r="B83" s="40"/>
      <c r="C83" s="11"/>
      <c r="D83" s="11"/>
      <c r="E83" s="11"/>
      <c r="F83" s="11"/>
      <c r="G83" s="11"/>
      <c r="H83" s="11"/>
    </row>
    <row r="84" spans="1:8" s="28" customFormat="1" ht="41.25" customHeight="1" x14ac:dyDescent="0.25">
      <c r="A84" s="11">
        <v>16</v>
      </c>
      <c r="B84" s="40"/>
      <c r="C84" s="11"/>
      <c r="D84" s="11"/>
      <c r="E84" s="11"/>
      <c r="F84" s="11"/>
      <c r="G84" s="11"/>
      <c r="H84" s="11"/>
    </row>
    <row r="85" spans="1:8" s="28" customFormat="1" ht="41.25" customHeight="1" x14ac:dyDescent="0.25">
      <c r="A85" s="11">
        <v>17</v>
      </c>
      <c r="B85" s="40"/>
      <c r="C85" s="11"/>
      <c r="D85" s="11"/>
      <c r="E85" s="11"/>
      <c r="F85" s="11"/>
      <c r="G85" s="11"/>
      <c r="H85" s="11"/>
    </row>
    <row r="86" spans="1:8" s="28" customFormat="1" ht="41.25" customHeight="1" x14ac:dyDescent="0.25">
      <c r="A86" s="11">
        <v>18</v>
      </c>
      <c r="B86" s="40"/>
      <c r="C86" s="11"/>
      <c r="D86" s="11"/>
      <c r="E86" s="11"/>
      <c r="F86" s="11"/>
      <c r="G86" s="11"/>
      <c r="H86" s="11"/>
    </row>
    <row r="87" spans="1:8" s="28" customFormat="1" ht="41.25" customHeight="1" x14ac:dyDescent="0.25">
      <c r="A87" s="11">
        <v>19</v>
      </c>
      <c r="B87" s="40"/>
      <c r="C87" s="11"/>
      <c r="D87" s="11"/>
      <c r="E87" s="11"/>
      <c r="F87" s="11"/>
      <c r="G87" s="11"/>
      <c r="H87" s="11"/>
    </row>
    <row r="88" spans="1:8" s="28" customFormat="1" ht="41.25" customHeight="1" x14ac:dyDescent="0.25">
      <c r="A88" s="11">
        <v>20</v>
      </c>
      <c r="B88" s="40"/>
      <c r="C88" s="11"/>
      <c r="D88" s="11"/>
      <c r="E88" s="11"/>
      <c r="F88" s="11"/>
      <c r="G88" s="11"/>
      <c r="H88" s="11"/>
    </row>
    <row r="89" spans="1:8" s="28" customFormat="1" ht="41.25" customHeight="1" x14ac:dyDescent="0.25">
      <c r="A89" s="11">
        <v>21</v>
      </c>
      <c r="B89" s="40"/>
      <c r="C89" s="11"/>
      <c r="D89" s="11"/>
      <c r="E89" s="11"/>
      <c r="F89" s="11"/>
      <c r="G89" s="11"/>
      <c r="H89" s="11"/>
    </row>
    <row r="90" spans="1:8" s="28" customFormat="1" ht="41.25" customHeight="1" x14ac:dyDescent="0.25">
      <c r="A90" s="11">
        <v>22</v>
      </c>
      <c r="B90" s="40"/>
      <c r="C90" s="11"/>
      <c r="D90" s="11"/>
      <c r="E90" s="11"/>
      <c r="F90" s="11"/>
      <c r="G90" s="11"/>
      <c r="H90" s="11"/>
    </row>
    <row r="91" spans="1:8" s="28" customFormat="1" ht="41.25" customHeight="1" x14ac:dyDescent="0.25">
      <c r="A91" s="11">
        <v>23</v>
      </c>
      <c r="B91" s="40"/>
      <c r="C91" s="11"/>
      <c r="D91" s="11"/>
      <c r="E91" s="11"/>
      <c r="F91" s="11"/>
      <c r="G91" s="11"/>
      <c r="H91" s="11"/>
    </row>
    <row r="92" spans="1:8" x14ac:dyDescent="0.25">
      <c r="A92" s="30"/>
      <c r="B92" s="30"/>
      <c r="C92" s="30"/>
      <c r="D92" s="30"/>
      <c r="E92" s="30"/>
      <c r="F92" s="30"/>
      <c r="G92" s="30"/>
      <c r="H92" s="30"/>
    </row>
    <row r="93" spans="1:8" ht="22.9" customHeight="1" x14ac:dyDescent="0.25">
      <c r="B93" s="37" t="str">
        <f>B2</f>
        <v xml:space="preserve">    Grid No:  </v>
      </c>
      <c r="F93" s="81" t="s">
        <v>240</v>
      </c>
      <c r="G93" s="81"/>
      <c r="H93" s="81"/>
    </row>
    <row r="94" spans="1:8" ht="24" customHeight="1" x14ac:dyDescent="0.25">
      <c r="A94" s="77" t="s">
        <v>166</v>
      </c>
      <c r="B94" s="77" t="s">
        <v>167</v>
      </c>
      <c r="C94" s="77" t="s">
        <v>168</v>
      </c>
      <c r="D94" s="77" t="s">
        <v>169</v>
      </c>
      <c r="E94" s="77" t="s">
        <v>170</v>
      </c>
      <c r="F94" s="82" t="s">
        <v>171</v>
      </c>
      <c r="G94" s="83"/>
      <c r="H94" s="77" t="s">
        <v>172</v>
      </c>
    </row>
    <row r="95" spans="1:8" ht="69.599999999999994" customHeight="1" x14ac:dyDescent="0.25">
      <c r="A95" s="78"/>
      <c r="B95" s="78"/>
      <c r="C95" s="78"/>
      <c r="D95" s="78"/>
      <c r="E95" s="78"/>
      <c r="F95" s="18" t="s">
        <v>173</v>
      </c>
      <c r="G95" s="18" t="s">
        <v>174</v>
      </c>
      <c r="H95" s="78"/>
    </row>
    <row r="96" spans="1:8" s="28" customFormat="1" ht="39" customHeight="1" x14ac:dyDescent="0.25">
      <c r="A96" s="41">
        <v>1</v>
      </c>
      <c r="B96" s="40" t="s">
        <v>299</v>
      </c>
      <c r="C96" s="11" t="s">
        <v>312</v>
      </c>
      <c r="D96" s="41">
        <v>3.5</v>
      </c>
      <c r="E96" s="42">
        <v>12</v>
      </c>
      <c r="F96" s="89" t="s">
        <v>322</v>
      </c>
      <c r="G96" s="12">
        <f t="shared" ref="G96:G99" si="1">D96*E96</f>
        <v>42</v>
      </c>
      <c r="H96" s="23" t="s">
        <v>313</v>
      </c>
    </row>
    <row r="97" spans="1:8" s="28" customFormat="1" ht="39" customHeight="1" x14ac:dyDescent="0.25">
      <c r="A97" s="41">
        <v>2</v>
      </c>
      <c r="B97" s="40" t="s">
        <v>276</v>
      </c>
      <c r="C97" s="11" t="s">
        <v>300</v>
      </c>
      <c r="D97" s="41">
        <v>4.8</v>
      </c>
      <c r="E97" s="42">
        <v>3.5</v>
      </c>
      <c r="F97" s="89" t="s">
        <v>321</v>
      </c>
      <c r="G97" s="12">
        <f t="shared" si="1"/>
        <v>16.8</v>
      </c>
      <c r="H97" s="23"/>
    </row>
    <row r="98" spans="1:8" s="28" customFormat="1" ht="39" customHeight="1" x14ac:dyDescent="0.25">
      <c r="A98" s="41">
        <v>3</v>
      </c>
      <c r="B98" s="40" t="s">
        <v>276</v>
      </c>
      <c r="C98" s="11" t="s">
        <v>300</v>
      </c>
      <c r="D98" s="41">
        <v>7.2</v>
      </c>
      <c r="E98" s="42">
        <v>5.5</v>
      </c>
      <c r="F98" s="23"/>
      <c r="G98" s="12">
        <f t="shared" si="1"/>
        <v>39.6</v>
      </c>
      <c r="H98" s="23"/>
    </row>
    <row r="99" spans="1:8" s="28" customFormat="1" ht="39" customHeight="1" x14ac:dyDescent="0.25">
      <c r="A99" s="41">
        <v>4</v>
      </c>
      <c r="B99" s="40" t="s">
        <v>287</v>
      </c>
      <c r="C99" s="11" t="s">
        <v>282</v>
      </c>
      <c r="D99" s="41">
        <v>3.5</v>
      </c>
      <c r="E99" s="42">
        <v>3</v>
      </c>
      <c r="F99" s="23" t="s">
        <v>318</v>
      </c>
      <c r="G99" s="12">
        <f t="shared" si="1"/>
        <v>10.5</v>
      </c>
      <c r="H99" s="23"/>
    </row>
    <row r="100" spans="1:8" s="28" customFormat="1" ht="39" customHeight="1" x14ac:dyDescent="0.25">
      <c r="A100" s="41">
        <v>5</v>
      </c>
      <c r="B100" s="40"/>
      <c r="C100" s="11"/>
      <c r="D100" s="41"/>
      <c r="E100" s="42"/>
      <c r="F100" s="23"/>
      <c r="G100" s="23"/>
      <c r="H100" s="23"/>
    </row>
    <row r="101" spans="1:8" s="28" customFormat="1" ht="39" customHeight="1" x14ac:dyDescent="0.25">
      <c r="A101" s="41">
        <v>6</v>
      </c>
      <c r="B101" s="40"/>
      <c r="C101" s="11"/>
      <c r="D101" s="41"/>
      <c r="E101" s="42"/>
      <c r="F101" s="23"/>
      <c r="G101" s="23"/>
      <c r="H101" s="23"/>
    </row>
    <row r="102" spans="1:8" s="28" customFormat="1" ht="39" customHeight="1" x14ac:dyDescent="0.25">
      <c r="A102" s="41">
        <v>7</v>
      </c>
      <c r="B102" s="40"/>
      <c r="C102" s="11"/>
      <c r="D102" s="41"/>
      <c r="E102" s="42"/>
      <c r="F102" s="23"/>
      <c r="G102" s="23"/>
      <c r="H102" s="23"/>
    </row>
    <row r="103" spans="1:8" s="28" customFormat="1" ht="39" customHeight="1" x14ac:dyDescent="0.25">
      <c r="A103" s="41">
        <v>8</v>
      </c>
      <c r="B103" s="40"/>
      <c r="C103" s="11"/>
      <c r="D103" s="41"/>
      <c r="E103" s="42"/>
      <c r="F103" s="23"/>
      <c r="G103" s="23"/>
      <c r="H103" s="23"/>
    </row>
    <row r="104" spans="1:8" s="28" customFormat="1" ht="39" customHeight="1" x14ac:dyDescent="0.25">
      <c r="A104" s="41">
        <v>9</v>
      </c>
      <c r="B104" s="40"/>
      <c r="C104" s="11"/>
      <c r="D104" s="41"/>
      <c r="E104" s="42"/>
      <c r="F104" s="23"/>
      <c r="G104" s="23"/>
      <c r="H104" s="23"/>
    </row>
    <row r="105" spans="1:8" s="28" customFormat="1" ht="39" customHeight="1" x14ac:dyDescent="0.25">
      <c r="A105" s="41">
        <v>10</v>
      </c>
      <c r="B105" s="40"/>
      <c r="C105" s="11"/>
      <c r="D105" s="41"/>
      <c r="E105" s="42"/>
      <c r="F105" s="23"/>
      <c r="G105" s="23"/>
      <c r="H105" s="23"/>
    </row>
    <row r="106" spans="1:8" s="28" customFormat="1" ht="39" customHeight="1" x14ac:dyDescent="0.25">
      <c r="A106" s="41">
        <v>11</v>
      </c>
      <c r="B106" s="40"/>
      <c r="C106" s="11"/>
      <c r="D106" s="41"/>
      <c r="E106" s="42"/>
      <c r="F106" s="23"/>
      <c r="G106" s="23"/>
      <c r="H106" s="23"/>
    </row>
    <row r="107" spans="1:8" s="28" customFormat="1" ht="39" customHeight="1" x14ac:dyDescent="0.25">
      <c r="A107" s="41">
        <v>12</v>
      </c>
      <c r="B107" s="40"/>
      <c r="C107" s="11"/>
      <c r="D107" s="41"/>
      <c r="E107" s="42"/>
      <c r="F107" s="23"/>
      <c r="G107" s="23"/>
      <c r="H107" s="23"/>
    </row>
    <row r="108" spans="1:8" s="28" customFormat="1" ht="39" customHeight="1" x14ac:dyDescent="0.25">
      <c r="A108" s="41">
        <v>13</v>
      </c>
      <c r="B108" s="40"/>
      <c r="C108" s="11"/>
      <c r="D108" s="41"/>
      <c r="E108" s="42"/>
      <c r="F108" s="23"/>
      <c r="G108" s="23"/>
      <c r="H108" s="23"/>
    </row>
    <row r="109" spans="1:8" s="28" customFormat="1" ht="39" customHeight="1" x14ac:dyDescent="0.25">
      <c r="A109" s="41">
        <v>14</v>
      </c>
      <c r="B109" s="40"/>
      <c r="C109" s="11"/>
      <c r="D109" s="41"/>
      <c r="E109" s="42"/>
      <c r="F109" s="23"/>
      <c r="G109" s="23"/>
      <c r="H109" s="23"/>
    </row>
    <row r="110" spans="1:8" s="28" customFormat="1" ht="39" customHeight="1" x14ac:dyDescent="0.25">
      <c r="A110" s="41">
        <v>15</v>
      </c>
      <c r="B110" s="40"/>
      <c r="C110" s="11"/>
      <c r="D110" s="41"/>
      <c r="E110" s="42"/>
      <c r="F110" s="23"/>
      <c r="G110" s="23"/>
      <c r="H110" s="23"/>
    </row>
    <row r="111" spans="1:8" s="28" customFormat="1" ht="39" customHeight="1" x14ac:dyDescent="0.25">
      <c r="A111" s="41">
        <v>16</v>
      </c>
      <c r="B111" s="40"/>
      <c r="C111" s="11"/>
      <c r="D111" s="41"/>
      <c r="E111" s="42"/>
      <c r="F111" s="23"/>
      <c r="G111" s="23"/>
      <c r="H111" s="23"/>
    </row>
    <row r="112" spans="1:8" s="28" customFormat="1" ht="39" customHeight="1" x14ac:dyDescent="0.25">
      <c r="A112" s="41">
        <v>17</v>
      </c>
      <c r="B112" s="40"/>
      <c r="C112" s="11"/>
      <c r="D112" s="41"/>
      <c r="E112" s="42"/>
      <c r="F112" s="23"/>
      <c r="G112" s="23"/>
      <c r="H112" s="23"/>
    </row>
    <row r="113" spans="1:8" s="28" customFormat="1" ht="39" customHeight="1" x14ac:dyDescent="0.25">
      <c r="A113" s="41">
        <v>18</v>
      </c>
      <c r="B113" s="40"/>
      <c r="C113" s="11"/>
      <c r="D113" s="41"/>
      <c r="E113" s="42"/>
      <c r="F113" s="23"/>
      <c r="G113" s="23"/>
      <c r="H113" s="23"/>
    </row>
    <row r="114" spans="1:8" s="28" customFormat="1" ht="39" customHeight="1" x14ac:dyDescent="0.25">
      <c r="A114" s="41">
        <v>19</v>
      </c>
      <c r="B114" s="40"/>
      <c r="C114" s="11"/>
      <c r="D114" s="41"/>
      <c r="E114" s="42"/>
      <c r="F114" s="23"/>
      <c r="G114" s="23"/>
      <c r="H114" s="23"/>
    </row>
    <row r="115" spans="1:8" s="28" customFormat="1" ht="39" customHeight="1" x14ac:dyDescent="0.25">
      <c r="A115" s="41">
        <v>20</v>
      </c>
      <c r="B115" s="40"/>
      <c r="C115" s="11"/>
      <c r="D115" s="41"/>
      <c r="E115" s="42"/>
      <c r="F115" s="23"/>
      <c r="G115" s="23"/>
      <c r="H115" s="23"/>
    </row>
    <row r="116" spans="1:8" s="28" customFormat="1" ht="39" customHeight="1" x14ac:dyDescent="0.25">
      <c r="A116" s="41">
        <v>21</v>
      </c>
      <c r="B116" s="40"/>
      <c r="C116" s="11"/>
      <c r="D116" s="41"/>
      <c r="E116" s="42"/>
      <c r="F116" s="23"/>
      <c r="G116" s="23"/>
      <c r="H116" s="23"/>
    </row>
    <row r="117" spans="1:8" s="28" customFormat="1" ht="39" customHeight="1" x14ac:dyDescent="0.25">
      <c r="A117" s="41">
        <v>22</v>
      </c>
      <c r="B117" s="40"/>
      <c r="C117" s="11"/>
      <c r="D117" s="41"/>
      <c r="E117" s="42"/>
      <c r="F117" s="23"/>
      <c r="G117" s="23"/>
      <c r="H117" s="23"/>
    </row>
    <row r="118" spans="1:8" s="28" customFormat="1" ht="39" customHeight="1" x14ac:dyDescent="0.25">
      <c r="A118" s="41">
        <v>23</v>
      </c>
      <c r="B118" s="40"/>
      <c r="C118" s="11"/>
      <c r="D118" s="41"/>
      <c r="E118" s="42"/>
      <c r="F118" s="23"/>
      <c r="G118" s="23"/>
      <c r="H118" s="23"/>
    </row>
  </sheetData>
  <mergeCells count="43">
    <mergeCell ref="H67:H68"/>
    <mergeCell ref="F93:H93"/>
    <mergeCell ref="A94:A95"/>
    <mergeCell ref="B94:B95"/>
    <mergeCell ref="C94:C95"/>
    <mergeCell ref="D94:D95"/>
    <mergeCell ref="E94:E95"/>
    <mergeCell ref="F94:G94"/>
    <mergeCell ref="H94:H95"/>
    <mergeCell ref="B64:G64"/>
    <mergeCell ref="A67:A68"/>
    <mergeCell ref="B67:B68"/>
    <mergeCell ref="C67:C68"/>
    <mergeCell ref="D67:D68"/>
    <mergeCell ref="E67:E68"/>
    <mergeCell ref="F67:G67"/>
    <mergeCell ref="H36:H37"/>
    <mergeCell ref="A59:H59"/>
    <mergeCell ref="B60:G60"/>
    <mergeCell ref="B61:G61"/>
    <mergeCell ref="B62:G62"/>
    <mergeCell ref="B63:G63"/>
    <mergeCell ref="A36:A37"/>
    <mergeCell ref="B36:B37"/>
    <mergeCell ref="C36:C37"/>
    <mergeCell ref="D36:D37"/>
    <mergeCell ref="E36:E37"/>
    <mergeCell ref="F36:G36"/>
    <mergeCell ref="B33:G33"/>
    <mergeCell ref="A1:H1"/>
    <mergeCell ref="F2:H2"/>
    <mergeCell ref="A3:A4"/>
    <mergeCell ref="B3:B4"/>
    <mergeCell ref="C3:C4"/>
    <mergeCell ref="D3:D4"/>
    <mergeCell ref="E3:E4"/>
    <mergeCell ref="F3:G3"/>
    <mergeCell ref="H3:H4"/>
    <mergeCell ref="A28:H28"/>
    <mergeCell ref="B29:G29"/>
    <mergeCell ref="B30:G30"/>
    <mergeCell ref="B31:G31"/>
    <mergeCell ref="B32:G32"/>
  </mergeCells>
  <printOptions horizontalCentered="1"/>
  <pageMargins left="0.16" right="0.24" top="0.38" bottom="0.27" header="0.16" footer="0.17"/>
  <pageSetup scale="70" orientation="portrait" r:id="rId1"/>
  <rowBreaks count="3" manualBreakCount="3">
    <brk id="34" max="16383" man="1"/>
    <brk id="64" max="16383" man="1"/>
    <brk id="91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62"/>
  <sheetViews>
    <sheetView tabSelected="1" view="pageBreakPreview" topLeftCell="A7" zoomScale="85" zoomScaleNormal="85" zoomScaleSheetLayoutView="85" workbookViewId="0">
      <selection activeCell="D13" sqref="D13"/>
    </sheetView>
  </sheetViews>
  <sheetFormatPr defaultRowHeight="45.6" customHeight="1" x14ac:dyDescent="0.25"/>
  <cols>
    <col min="1" max="1" width="6.5703125" style="13" customWidth="1"/>
    <col min="2" max="2" width="39.7109375" style="13" customWidth="1"/>
    <col min="3" max="3" width="40.7109375" style="32" customWidth="1"/>
    <col min="4" max="4" width="9.140625" style="13"/>
    <col min="5" max="6" width="10.28515625" style="13" customWidth="1"/>
    <col min="7" max="7" width="30.42578125" style="13" customWidth="1"/>
    <col min="8" max="16384" width="9.140625" style="13"/>
  </cols>
  <sheetData>
    <row r="1" spans="1:7" ht="45.6" customHeight="1" x14ac:dyDescent="0.25">
      <c r="A1" s="75" t="s">
        <v>184</v>
      </c>
      <c r="B1" s="75"/>
      <c r="C1" s="75"/>
      <c r="D1" s="75"/>
      <c r="E1" s="75"/>
      <c r="F1" s="75"/>
      <c r="G1" s="75"/>
    </row>
    <row r="2" spans="1:7" ht="45.6" customHeight="1" x14ac:dyDescent="0.25">
      <c r="E2" s="76" t="s">
        <v>165</v>
      </c>
      <c r="F2" s="76"/>
      <c r="G2" s="76"/>
    </row>
    <row r="3" spans="1:7" ht="45.6" customHeight="1" x14ac:dyDescent="0.25">
      <c r="A3" s="79" t="s">
        <v>166</v>
      </c>
      <c r="B3" s="79" t="s">
        <v>167</v>
      </c>
      <c r="C3" s="59" t="s">
        <v>168</v>
      </c>
      <c r="D3" s="79" t="s">
        <v>185</v>
      </c>
      <c r="E3" s="79" t="s">
        <v>171</v>
      </c>
      <c r="F3" s="79"/>
      <c r="G3" s="79" t="s">
        <v>186</v>
      </c>
    </row>
    <row r="4" spans="1:7" ht="45.6" customHeight="1" x14ac:dyDescent="0.25">
      <c r="A4" s="79"/>
      <c r="B4" s="79"/>
      <c r="C4" s="59"/>
      <c r="D4" s="79"/>
      <c r="E4" s="18" t="s">
        <v>187</v>
      </c>
      <c r="F4" s="18" t="s">
        <v>188</v>
      </c>
      <c r="G4" s="79"/>
    </row>
    <row r="5" spans="1:7" ht="45.6" customHeight="1" x14ac:dyDescent="0.25">
      <c r="A5" s="79"/>
      <c r="B5" s="79"/>
      <c r="C5" s="59"/>
      <c r="D5" s="79"/>
      <c r="E5" s="18" t="s">
        <v>189</v>
      </c>
      <c r="F5" s="18" t="s">
        <v>221</v>
      </c>
      <c r="G5" s="79"/>
    </row>
    <row r="6" spans="1:7" ht="45.6" customHeight="1" x14ac:dyDescent="0.25">
      <c r="A6" s="11">
        <v>1</v>
      </c>
      <c r="B6" s="18" t="s">
        <v>272</v>
      </c>
      <c r="C6" s="45" t="s">
        <v>282</v>
      </c>
      <c r="D6" s="18">
        <v>40</v>
      </c>
      <c r="E6" s="18" t="s">
        <v>318</v>
      </c>
      <c r="F6" s="18">
        <f>0.05*(D6)*(D6)</f>
        <v>80</v>
      </c>
      <c r="G6" s="18"/>
    </row>
    <row r="7" spans="1:7" ht="45.6" customHeight="1" x14ac:dyDescent="0.25">
      <c r="A7" s="11">
        <v>2</v>
      </c>
      <c r="B7" s="18" t="s">
        <v>281</v>
      </c>
      <c r="C7" s="45" t="s">
        <v>314</v>
      </c>
      <c r="D7" s="18">
        <v>32</v>
      </c>
      <c r="E7" s="18"/>
      <c r="F7" s="18">
        <f t="shared" ref="F7:F9" si="0">0.05*(D7)*(D7)</f>
        <v>51.2</v>
      </c>
      <c r="G7" s="18"/>
    </row>
    <row r="8" spans="1:7" ht="45.6" customHeight="1" x14ac:dyDescent="0.25">
      <c r="A8" s="11">
        <v>3</v>
      </c>
      <c r="B8" s="18" t="s">
        <v>281</v>
      </c>
      <c r="C8" s="45" t="s">
        <v>314</v>
      </c>
      <c r="D8" s="18">
        <v>28</v>
      </c>
      <c r="E8" s="89" t="s">
        <v>316</v>
      </c>
      <c r="F8" s="18">
        <f t="shared" si="0"/>
        <v>39.200000000000003</v>
      </c>
      <c r="G8" s="18"/>
    </row>
    <row r="9" spans="1:7" ht="45.6" customHeight="1" x14ac:dyDescent="0.25">
      <c r="A9" s="11">
        <v>4</v>
      </c>
      <c r="B9" s="18" t="s">
        <v>281</v>
      </c>
      <c r="C9" s="45" t="s">
        <v>314</v>
      </c>
      <c r="D9" s="18">
        <v>43</v>
      </c>
      <c r="E9" s="18"/>
      <c r="F9" s="18">
        <f t="shared" si="0"/>
        <v>92.45</v>
      </c>
      <c r="G9" s="18"/>
    </row>
    <row r="10" spans="1:7" ht="45.6" customHeight="1" x14ac:dyDescent="0.25">
      <c r="A10" s="11">
        <v>5</v>
      </c>
      <c r="B10" s="18"/>
      <c r="C10" s="45"/>
      <c r="D10" s="18"/>
      <c r="E10" s="18"/>
      <c r="F10" s="18"/>
      <c r="G10" s="18"/>
    </row>
    <row r="11" spans="1:7" ht="45.6" customHeight="1" x14ac:dyDescent="0.25">
      <c r="A11" s="11">
        <v>6</v>
      </c>
      <c r="B11" s="18"/>
      <c r="C11" s="45"/>
      <c r="D11" s="18"/>
      <c r="E11" s="18"/>
      <c r="F11" s="18"/>
      <c r="G11" s="18"/>
    </row>
    <row r="12" spans="1:7" ht="45.6" customHeight="1" x14ac:dyDescent="0.25">
      <c r="A12" s="11">
        <v>7</v>
      </c>
      <c r="B12" s="18"/>
      <c r="C12" s="45"/>
      <c r="D12" s="18"/>
      <c r="E12" s="18"/>
      <c r="F12" s="18"/>
      <c r="G12" s="18"/>
    </row>
    <row r="13" spans="1:7" ht="45.6" customHeight="1" x14ac:dyDescent="0.25">
      <c r="A13" s="11">
        <v>8</v>
      </c>
      <c r="B13" s="18"/>
      <c r="C13" s="45"/>
      <c r="D13" s="18"/>
      <c r="E13" s="18"/>
      <c r="F13" s="18"/>
      <c r="G13" s="18"/>
    </row>
    <row r="14" spans="1:7" ht="45.6" customHeight="1" x14ac:dyDescent="0.25">
      <c r="A14" s="11">
        <v>9</v>
      </c>
      <c r="B14" s="18"/>
      <c r="C14" s="45"/>
      <c r="D14" s="18"/>
      <c r="E14" s="18"/>
      <c r="F14" s="18"/>
      <c r="G14" s="18"/>
    </row>
    <row r="15" spans="1:7" ht="45.6" customHeight="1" x14ac:dyDescent="0.25">
      <c r="A15" s="11">
        <v>10</v>
      </c>
      <c r="B15" s="18"/>
      <c r="C15" s="45"/>
      <c r="D15" s="18"/>
      <c r="E15" s="18"/>
      <c r="F15" s="18"/>
      <c r="G15" s="18"/>
    </row>
    <row r="16" spans="1:7" ht="45.6" customHeight="1" x14ac:dyDescent="0.25">
      <c r="A16" s="11">
        <v>11</v>
      </c>
      <c r="B16" s="18"/>
      <c r="C16" s="45"/>
      <c r="D16" s="18"/>
      <c r="E16" s="18"/>
      <c r="F16" s="18"/>
      <c r="G16" s="18"/>
    </row>
    <row r="17" spans="1:7" ht="45.6" customHeight="1" x14ac:dyDescent="0.25">
      <c r="A17" s="11">
        <v>12</v>
      </c>
      <c r="B17" s="18"/>
      <c r="C17" s="45"/>
      <c r="D17" s="18"/>
      <c r="E17" s="18"/>
      <c r="F17" s="18"/>
      <c r="G17" s="18"/>
    </row>
    <row r="18" spans="1:7" ht="45.6" customHeight="1" x14ac:dyDescent="0.25">
      <c r="A18" s="11">
        <v>13</v>
      </c>
      <c r="B18" s="18"/>
      <c r="C18" s="45"/>
      <c r="D18" s="18"/>
      <c r="E18" s="18"/>
      <c r="F18" s="18"/>
      <c r="G18" s="18"/>
    </row>
    <row r="19" spans="1:7" ht="45.6" customHeight="1" x14ac:dyDescent="0.25">
      <c r="A19" s="11">
        <v>14</v>
      </c>
      <c r="B19" s="18"/>
      <c r="C19" s="45"/>
      <c r="D19" s="18"/>
      <c r="E19" s="18"/>
      <c r="F19" s="18"/>
      <c r="G19" s="18"/>
    </row>
    <row r="20" spans="1:7" ht="45.6" customHeight="1" x14ac:dyDescent="0.25">
      <c r="A20" s="11">
        <v>15</v>
      </c>
      <c r="B20" s="18"/>
      <c r="C20" s="45"/>
      <c r="D20" s="18"/>
      <c r="E20" s="18"/>
      <c r="F20" s="18"/>
      <c r="G20" s="18"/>
    </row>
    <row r="21" spans="1:7" ht="45.6" customHeight="1" x14ac:dyDescent="0.25">
      <c r="A21" s="11">
        <v>16</v>
      </c>
      <c r="B21" s="18"/>
      <c r="C21" s="45"/>
      <c r="D21" s="18"/>
      <c r="E21" s="18"/>
      <c r="F21" s="18"/>
      <c r="G21" s="18"/>
    </row>
    <row r="22" spans="1:7" ht="45.6" customHeight="1" x14ac:dyDescent="0.25">
      <c r="A22" s="11">
        <v>17</v>
      </c>
      <c r="B22" s="18"/>
      <c r="C22" s="45"/>
      <c r="D22" s="18"/>
      <c r="E22" s="18"/>
      <c r="F22" s="18"/>
      <c r="G22" s="18"/>
    </row>
    <row r="23" spans="1:7" ht="45.6" customHeight="1" x14ac:dyDescent="0.25">
      <c r="A23" s="11">
        <v>18</v>
      </c>
      <c r="B23" s="18"/>
      <c r="C23" s="45"/>
      <c r="D23" s="18"/>
      <c r="E23" s="18"/>
      <c r="F23" s="18"/>
      <c r="G23" s="18"/>
    </row>
    <row r="24" spans="1:7" ht="45.6" customHeight="1" x14ac:dyDescent="0.25">
      <c r="A24" s="11">
        <v>19</v>
      </c>
      <c r="B24" s="18"/>
      <c r="C24" s="45"/>
      <c r="D24" s="18"/>
      <c r="E24" s="18"/>
      <c r="F24" s="18"/>
      <c r="G24" s="18"/>
    </row>
    <row r="25" spans="1:7" ht="45.6" customHeight="1" x14ac:dyDescent="0.25">
      <c r="A25" s="11">
        <v>20</v>
      </c>
      <c r="B25" s="18"/>
      <c r="C25" s="45"/>
      <c r="D25" s="18"/>
      <c r="E25" s="18"/>
      <c r="F25" s="18"/>
      <c r="G25" s="18"/>
    </row>
    <row r="26" spans="1:7" ht="45.6" customHeight="1" x14ac:dyDescent="0.25">
      <c r="A26" s="11">
        <v>21</v>
      </c>
      <c r="B26" s="18"/>
      <c r="C26" s="45"/>
      <c r="D26" s="18"/>
      <c r="E26" s="18"/>
      <c r="F26" s="18"/>
      <c r="G26" s="18"/>
    </row>
    <row r="27" spans="1:7" ht="45.6" customHeight="1" x14ac:dyDescent="0.25">
      <c r="A27" s="11">
        <v>22</v>
      </c>
      <c r="B27" s="18"/>
      <c r="C27" s="45"/>
      <c r="D27" s="18"/>
      <c r="E27" s="18"/>
      <c r="F27" s="18"/>
      <c r="G27" s="18"/>
    </row>
    <row r="28" spans="1:7" ht="45.6" customHeight="1" x14ac:dyDescent="0.25">
      <c r="A28" s="11">
        <v>23</v>
      </c>
      <c r="B28" s="18"/>
      <c r="C28" s="45"/>
      <c r="D28" s="18"/>
      <c r="E28" s="18"/>
      <c r="F28" s="18"/>
      <c r="G28" s="18"/>
    </row>
    <row r="29" spans="1:7" ht="45.6" customHeight="1" x14ac:dyDescent="0.25">
      <c r="A29" s="11">
        <v>24</v>
      </c>
      <c r="B29" s="18"/>
      <c r="C29" s="45"/>
      <c r="D29" s="18"/>
      <c r="E29" s="18"/>
      <c r="F29" s="18"/>
      <c r="G29" s="18"/>
    </row>
    <row r="30" spans="1:7" ht="45.6" customHeight="1" x14ac:dyDescent="0.25">
      <c r="A30" s="11">
        <v>25</v>
      </c>
      <c r="B30" s="18"/>
      <c r="C30" s="45"/>
      <c r="D30" s="18"/>
      <c r="E30" s="18"/>
      <c r="F30" s="18"/>
      <c r="G30" s="18"/>
    </row>
    <row r="31" spans="1:7" ht="45.6" customHeight="1" x14ac:dyDescent="0.25">
      <c r="A31" s="11">
        <v>26</v>
      </c>
      <c r="B31" s="18"/>
      <c r="C31" s="45"/>
      <c r="D31" s="18"/>
      <c r="E31" s="18"/>
      <c r="F31" s="18"/>
      <c r="G31" s="18"/>
    </row>
    <row r="32" spans="1:7" s="28" customFormat="1" ht="45.6" customHeight="1" x14ac:dyDescent="0.25">
      <c r="A32" s="11">
        <v>27</v>
      </c>
      <c r="B32" s="12"/>
      <c r="C32" s="12"/>
      <c r="D32" s="12"/>
      <c r="E32" s="12"/>
      <c r="F32" s="12"/>
      <c r="G32" s="12"/>
    </row>
    <row r="33" spans="1:7" ht="45.6" customHeight="1" x14ac:dyDescent="0.25">
      <c r="A33" s="79" t="s">
        <v>175</v>
      </c>
      <c r="B33" s="79"/>
      <c r="C33" s="79"/>
      <c r="D33" s="79"/>
      <c r="E33" s="79"/>
      <c r="F33" s="79"/>
      <c r="G33" s="79"/>
    </row>
    <row r="34" spans="1:7" ht="45.6" customHeight="1" x14ac:dyDescent="0.25">
      <c r="A34" s="30"/>
      <c r="B34" s="36"/>
      <c r="C34" s="39"/>
      <c r="D34" s="30"/>
      <c r="E34" s="36"/>
      <c r="F34" s="36"/>
      <c r="G34" s="36"/>
    </row>
    <row r="35" spans="1:7" s="28" customFormat="1" ht="45.6" customHeight="1" x14ac:dyDescent="0.25">
      <c r="B35" s="46" t="s">
        <v>191</v>
      </c>
      <c r="C35" s="47"/>
      <c r="E35" s="75" t="s">
        <v>192</v>
      </c>
      <c r="F35" s="75"/>
      <c r="G35" s="75"/>
    </row>
    <row r="36" spans="1:7" ht="45.6" customHeight="1" x14ac:dyDescent="0.25">
      <c r="A36" s="79" t="s">
        <v>166</v>
      </c>
      <c r="B36" s="79" t="s">
        <v>167</v>
      </c>
      <c r="C36" s="84" t="s">
        <v>168</v>
      </c>
      <c r="D36" s="79" t="s">
        <v>185</v>
      </c>
      <c r="E36" s="79" t="s">
        <v>171</v>
      </c>
      <c r="F36" s="79"/>
      <c r="G36" s="79" t="s">
        <v>186</v>
      </c>
    </row>
    <row r="37" spans="1:7" ht="45.6" customHeight="1" x14ac:dyDescent="0.25">
      <c r="A37" s="79"/>
      <c r="B37" s="79"/>
      <c r="C37" s="85"/>
      <c r="D37" s="79"/>
      <c r="E37" s="18" t="s">
        <v>187</v>
      </c>
      <c r="F37" s="18" t="s">
        <v>188</v>
      </c>
      <c r="G37" s="79"/>
    </row>
    <row r="38" spans="1:7" ht="45.6" customHeight="1" x14ac:dyDescent="0.25">
      <c r="A38" s="79"/>
      <c r="B38" s="79"/>
      <c r="C38" s="86"/>
      <c r="D38" s="79"/>
      <c r="E38" s="18" t="s">
        <v>189</v>
      </c>
      <c r="F38" s="18" t="s">
        <v>190</v>
      </c>
      <c r="G38" s="79"/>
    </row>
    <row r="39" spans="1:7" s="28" customFormat="1" ht="45.6" customHeight="1" x14ac:dyDescent="0.25">
      <c r="A39" s="41">
        <v>1</v>
      </c>
      <c r="B39" s="23" t="s">
        <v>283</v>
      </c>
      <c r="C39" s="48" t="s">
        <v>285</v>
      </c>
      <c r="D39" s="41">
        <v>25</v>
      </c>
      <c r="E39" s="89" t="s">
        <v>315</v>
      </c>
      <c r="F39" s="18">
        <f t="shared" ref="F39:F43" si="1">0.05*(D39)*(D39)</f>
        <v>31.25</v>
      </c>
      <c r="G39" s="23"/>
    </row>
    <row r="40" spans="1:7" s="28" customFormat="1" ht="45.6" customHeight="1" x14ac:dyDescent="0.25">
      <c r="A40" s="41">
        <v>2</v>
      </c>
      <c r="B40" s="23" t="s">
        <v>283</v>
      </c>
      <c r="C40" s="48" t="s">
        <v>285</v>
      </c>
      <c r="D40" s="41">
        <v>36</v>
      </c>
      <c r="E40" s="23"/>
      <c r="F40" s="18">
        <f t="shared" si="1"/>
        <v>64.8</v>
      </c>
      <c r="G40" s="23"/>
    </row>
    <row r="41" spans="1:7" s="28" customFormat="1" ht="45.6" customHeight="1" x14ac:dyDescent="0.25">
      <c r="A41" s="41">
        <v>3</v>
      </c>
      <c r="B41" s="23" t="s">
        <v>281</v>
      </c>
      <c r="C41" s="48" t="s">
        <v>314</v>
      </c>
      <c r="D41" s="41">
        <v>40</v>
      </c>
      <c r="E41" s="89" t="s">
        <v>316</v>
      </c>
      <c r="F41" s="18">
        <f t="shared" si="1"/>
        <v>80</v>
      </c>
      <c r="G41" s="23"/>
    </row>
    <row r="42" spans="1:7" s="28" customFormat="1" ht="45.6" customHeight="1" x14ac:dyDescent="0.25">
      <c r="A42" s="41">
        <v>4</v>
      </c>
      <c r="B42" s="23" t="s">
        <v>283</v>
      </c>
      <c r="C42" s="48" t="s">
        <v>285</v>
      </c>
      <c r="D42" s="41">
        <v>41</v>
      </c>
      <c r="E42" s="23"/>
      <c r="F42" s="18">
        <f t="shared" si="1"/>
        <v>84.050000000000011</v>
      </c>
      <c r="G42" s="23"/>
    </row>
    <row r="43" spans="1:7" s="28" customFormat="1" ht="45.6" customHeight="1" x14ac:dyDescent="0.25">
      <c r="A43" s="41">
        <v>5</v>
      </c>
      <c r="B43" s="23" t="s">
        <v>284</v>
      </c>
      <c r="C43" s="48" t="s">
        <v>286</v>
      </c>
      <c r="D43" s="41">
        <v>32</v>
      </c>
      <c r="E43" s="89" t="s">
        <v>317</v>
      </c>
      <c r="F43" s="18">
        <f t="shared" si="1"/>
        <v>51.2</v>
      </c>
      <c r="G43" s="23"/>
    </row>
    <row r="44" spans="1:7" s="28" customFormat="1" ht="45.6" customHeight="1" x14ac:dyDescent="0.25">
      <c r="A44" s="41">
        <v>6</v>
      </c>
      <c r="B44" s="23"/>
      <c r="C44" s="48"/>
      <c r="D44" s="41"/>
      <c r="E44" s="23"/>
      <c r="F44" s="23"/>
      <c r="G44" s="23"/>
    </row>
    <row r="45" spans="1:7" s="28" customFormat="1" ht="45.6" customHeight="1" x14ac:dyDescent="0.25">
      <c r="A45" s="41">
        <v>7</v>
      </c>
      <c r="B45" s="23"/>
      <c r="C45" s="48"/>
      <c r="D45" s="41"/>
      <c r="E45" s="23"/>
      <c r="F45" s="23"/>
      <c r="G45" s="23"/>
    </row>
    <row r="46" spans="1:7" s="28" customFormat="1" ht="45.6" customHeight="1" x14ac:dyDescent="0.25">
      <c r="A46" s="41">
        <v>8</v>
      </c>
      <c r="B46" s="23"/>
      <c r="C46" s="48"/>
      <c r="D46" s="41"/>
      <c r="E46" s="23"/>
      <c r="F46" s="23"/>
      <c r="G46" s="23"/>
    </row>
    <row r="47" spans="1:7" s="28" customFormat="1" ht="45.6" customHeight="1" x14ac:dyDescent="0.25">
      <c r="A47" s="41">
        <v>9</v>
      </c>
      <c r="B47" s="23"/>
      <c r="C47" s="48"/>
      <c r="D47" s="41"/>
      <c r="E47" s="23"/>
      <c r="F47" s="23"/>
      <c r="G47" s="23"/>
    </row>
    <row r="48" spans="1:7" s="28" customFormat="1" ht="45.6" customHeight="1" x14ac:dyDescent="0.25">
      <c r="A48" s="41">
        <v>10</v>
      </c>
      <c r="B48" s="23"/>
      <c r="C48" s="48"/>
      <c r="D48" s="41"/>
      <c r="E48" s="23"/>
      <c r="F48" s="23"/>
      <c r="G48" s="23"/>
    </row>
    <row r="49" spans="1:7" s="28" customFormat="1" ht="45.6" customHeight="1" x14ac:dyDescent="0.25">
      <c r="A49" s="41">
        <v>11</v>
      </c>
      <c r="B49" s="23"/>
      <c r="C49" s="48"/>
      <c r="D49" s="41"/>
      <c r="E49" s="23"/>
      <c r="F49" s="23"/>
      <c r="G49" s="23"/>
    </row>
    <row r="50" spans="1:7" s="28" customFormat="1" ht="45.6" customHeight="1" x14ac:dyDescent="0.25">
      <c r="A50" s="41">
        <v>12</v>
      </c>
      <c r="B50" s="23"/>
      <c r="C50" s="48"/>
      <c r="D50" s="41"/>
      <c r="E50" s="23"/>
      <c r="F50" s="23"/>
      <c r="G50" s="23"/>
    </row>
    <row r="51" spans="1:7" s="28" customFormat="1" ht="45.6" customHeight="1" x14ac:dyDescent="0.25">
      <c r="A51" s="41">
        <v>13</v>
      </c>
      <c r="B51" s="23"/>
      <c r="C51" s="48"/>
      <c r="D51" s="41"/>
      <c r="E51" s="23"/>
      <c r="F51" s="23"/>
      <c r="G51" s="23"/>
    </row>
    <row r="52" spans="1:7" s="28" customFormat="1" ht="45.6" customHeight="1" x14ac:dyDescent="0.25">
      <c r="A52" s="41">
        <v>14</v>
      </c>
      <c r="B52" s="23"/>
      <c r="C52" s="48"/>
      <c r="D52" s="41"/>
      <c r="E52" s="23"/>
      <c r="F52" s="23"/>
      <c r="G52" s="23"/>
    </row>
    <row r="53" spans="1:7" s="28" customFormat="1" ht="45.6" customHeight="1" x14ac:dyDescent="0.25">
      <c r="A53" s="41">
        <v>15</v>
      </c>
      <c r="B53" s="23"/>
      <c r="C53" s="48"/>
      <c r="D53" s="41"/>
      <c r="E53" s="23"/>
      <c r="F53" s="23"/>
      <c r="G53" s="23"/>
    </row>
    <row r="54" spans="1:7" s="28" customFormat="1" ht="45.6" customHeight="1" x14ac:dyDescent="0.25">
      <c r="A54" s="41">
        <v>16</v>
      </c>
      <c r="B54" s="23"/>
      <c r="C54" s="48"/>
      <c r="D54" s="41"/>
      <c r="E54" s="23"/>
      <c r="F54" s="23"/>
      <c r="G54" s="23"/>
    </row>
    <row r="55" spans="1:7" s="28" customFormat="1" ht="45.6" customHeight="1" x14ac:dyDescent="0.25">
      <c r="A55" s="41">
        <v>17</v>
      </c>
      <c r="B55" s="23"/>
      <c r="C55" s="48"/>
      <c r="D55" s="41"/>
      <c r="E55" s="23"/>
      <c r="F55" s="23"/>
      <c r="G55" s="23"/>
    </row>
    <row r="56" spans="1:7" s="28" customFormat="1" ht="45.6" customHeight="1" x14ac:dyDescent="0.25">
      <c r="A56" s="41">
        <v>18</v>
      </c>
      <c r="B56" s="23"/>
      <c r="C56" s="48"/>
      <c r="D56" s="41"/>
      <c r="E56" s="23"/>
      <c r="F56" s="23"/>
      <c r="G56" s="23"/>
    </row>
    <row r="57" spans="1:7" s="28" customFormat="1" ht="45.6" customHeight="1" x14ac:dyDescent="0.25">
      <c r="A57" s="41">
        <v>19</v>
      </c>
      <c r="B57" s="23"/>
      <c r="C57" s="48"/>
      <c r="D57" s="41"/>
      <c r="E57" s="23"/>
      <c r="F57" s="23"/>
      <c r="G57" s="23"/>
    </row>
    <row r="58" spans="1:7" s="28" customFormat="1" ht="45.6" customHeight="1" x14ac:dyDescent="0.25">
      <c r="A58" s="41">
        <v>20</v>
      </c>
      <c r="B58" s="23"/>
      <c r="C58" s="48"/>
      <c r="D58" s="41"/>
      <c r="E58" s="23"/>
      <c r="F58" s="23"/>
      <c r="G58" s="23"/>
    </row>
    <row r="59" spans="1:7" s="28" customFormat="1" ht="45.6" customHeight="1" x14ac:dyDescent="0.25">
      <c r="A59" s="41">
        <v>21</v>
      </c>
      <c r="B59" s="23"/>
      <c r="C59" s="48"/>
      <c r="D59" s="41"/>
      <c r="E59" s="23"/>
      <c r="F59" s="23"/>
      <c r="G59" s="23"/>
    </row>
    <row r="60" spans="1:7" s="28" customFormat="1" ht="45.6" customHeight="1" x14ac:dyDescent="0.25">
      <c r="A60" s="41">
        <v>22</v>
      </c>
      <c r="B60" s="23"/>
      <c r="C60" s="48"/>
      <c r="D60" s="41"/>
      <c r="E60" s="23"/>
      <c r="F60" s="23"/>
      <c r="G60" s="23"/>
    </row>
    <row r="62" spans="1:7" ht="45.6" customHeight="1" x14ac:dyDescent="0.25">
      <c r="A62" s="79" t="s">
        <v>175</v>
      </c>
      <c r="B62" s="79"/>
      <c r="C62" s="79"/>
      <c r="D62" s="79"/>
      <c r="E62" s="79"/>
      <c r="F62" s="79"/>
      <c r="G62" s="79"/>
    </row>
  </sheetData>
  <mergeCells count="17">
    <mergeCell ref="A62:G62"/>
    <mergeCell ref="A33:G33"/>
    <mergeCell ref="E35:G35"/>
    <mergeCell ref="A36:A38"/>
    <mergeCell ref="B36:B38"/>
    <mergeCell ref="C36:C38"/>
    <mergeCell ref="D36:D38"/>
    <mergeCell ref="E36:F36"/>
    <mergeCell ref="G36:G38"/>
    <mergeCell ref="A1:G1"/>
    <mergeCell ref="E2:G2"/>
    <mergeCell ref="A3:A5"/>
    <mergeCell ref="B3:B5"/>
    <mergeCell ref="C3:C5"/>
    <mergeCell ref="D3:D5"/>
    <mergeCell ref="E3:F3"/>
    <mergeCell ref="G3:G5"/>
  </mergeCells>
  <printOptions horizontalCentered="1"/>
  <pageMargins left="0.24" right="0.38" top="0.32" bottom="0.21" header="0.3" footer="0.3"/>
  <pageSetup scale="68" orientation="portrait" verticalDpi="4294967293" r:id="rId1"/>
  <rowBreaks count="1" manualBreakCount="1">
    <brk id="33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22"/>
  <sheetViews>
    <sheetView view="pageBreakPreview" topLeftCell="B9" zoomScaleSheetLayoutView="100" workbookViewId="0">
      <selection activeCell="E13" sqref="E13"/>
    </sheetView>
  </sheetViews>
  <sheetFormatPr defaultRowHeight="15.75" x14ac:dyDescent="0.25"/>
  <cols>
    <col min="1" max="1" width="23.5703125" style="1" customWidth="1"/>
    <col min="2" max="2" width="56.42578125" style="1" customWidth="1"/>
    <col min="3" max="3" width="14.7109375" style="1" customWidth="1"/>
    <col min="4" max="4" width="14.28515625" style="1" customWidth="1"/>
    <col min="5" max="5" width="16.42578125" style="1" customWidth="1"/>
    <col min="6" max="6" width="18.28515625" style="1" customWidth="1"/>
    <col min="7" max="7" width="17.5703125" style="1" customWidth="1"/>
    <col min="8" max="8" width="18.7109375" style="1" customWidth="1"/>
    <col min="9" max="16384" width="9.140625" style="1"/>
  </cols>
  <sheetData>
    <row r="1" spans="1:11" ht="24.75" customHeight="1" x14ac:dyDescent="0.25">
      <c r="A1" s="87" t="s">
        <v>193</v>
      </c>
      <c r="B1" s="87"/>
      <c r="C1" s="87"/>
      <c r="D1" s="87"/>
      <c r="E1" s="87"/>
      <c r="F1" s="87"/>
      <c r="G1" s="87"/>
      <c r="H1" s="87"/>
      <c r="I1" s="87"/>
      <c r="J1" s="87"/>
      <c r="K1" s="87"/>
    </row>
    <row r="2" spans="1:11" x14ac:dyDescent="0.25">
      <c r="A2" s="43"/>
      <c r="B2" s="43"/>
      <c r="C2" s="43"/>
      <c r="D2" s="43"/>
      <c r="E2" s="43"/>
      <c r="F2" s="43"/>
      <c r="G2" s="43"/>
      <c r="H2" s="43"/>
      <c r="I2" s="43"/>
      <c r="J2" s="43"/>
      <c r="K2" s="43"/>
    </row>
    <row r="3" spans="1:11" ht="24.75" customHeight="1" x14ac:dyDescent="0.25">
      <c r="A3" s="64" t="s">
        <v>194</v>
      </c>
      <c r="B3" s="64"/>
      <c r="C3" s="64"/>
      <c r="D3" s="64"/>
      <c r="E3" s="64"/>
      <c r="F3" s="64"/>
      <c r="G3" s="64"/>
      <c r="H3" s="64"/>
      <c r="I3" s="64"/>
      <c r="J3" s="64"/>
      <c r="K3" s="64"/>
    </row>
    <row r="5" spans="1:11" ht="105" customHeight="1" x14ac:dyDescent="0.25">
      <c r="A5" s="2" t="s">
        <v>109</v>
      </c>
      <c r="B5" s="4" t="s">
        <v>195</v>
      </c>
      <c r="C5" s="4" t="s">
        <v>196</v>
      </c>
      <c r="D5" s="4" t="s">
        <v>197</v>
      </c>
      <c r="E5" s="2" t="s">
        <v>198</v>
      </c>
      <c r="F5" s="2" t="s">
        <v>199</v>
      </c>
      <c r="G5" s="4" t="s">
        <v>200</v>
      </c>
      <c r="I5" s="88" t="s">
        <v>201</v>
      </c>
      <c r="J5" s="88"/>
      <c r="K5" s="88"/>
    </row>
    <row r="6" spans="1:11" ht="24.75" customHeight="1" x14ac:dyDescent="0.25">
      <c r="A6" s="2" t="s">
        <v>58</v>
      </c>
      <c r="B6" s="2" t="s">
        <v>59</v>
      </c>
      <c r="C6" s="2" t="s">
        <v>60</v>
      </c>
      <c r="D6" s="2" t="s">
        <v>61</v>
      </c>
      <c r="E6" s="2" t="s">
        <v>202</v>
      </c>
      <c r="F6" s="2" t="s">
        <v>203</v>
      </c>
      <c r="G6" s="2" t="s">
        <v>204</v>
      </c>
      <c r="I6" s="88"/>
      <c r="J6" s="88"/>
      <c r="K6" s="88"/>
    </row>
    <row r="7" spans="1:11" ht="33.75" customHeight="1" x14ac:dyDescent="0.25">
      <c r="A7" s="24"/>
      <c r="B7" s="24">
        <v>10</v>
      </c>
      <c r="C7" s="24"/>
      <c r="D7" s="24"/>
      <c r="E7" s="24"/>
      <c r="F7" s="24"/>
      <c r="G7" s="24"/>
      <c r="I7" s="88" t="s">
        <v>205</v>
      </c>
      <c r="J7" s="88"/>
      <c r="K7" s="88"/>
    </row>
    <row r="9" spans="1:11" ht="36.75" customHeight="1" x14ac:dyDescent="0.25">
      <c r="A9" s="55" t="s">
        <v>206</v>
      </c>
      <c r="B9" s="54" t="s">
        <v>207</v>
      </c>
      <c r="C9" s="54"/>
      <c r="D9" s="54"/>
      <c r="E9" s="54"/>
      <c r="F9" s="54" t="s">
        <v>208</v>
      </c>
      <c r="G9" s="54"/>
      <c r="H9" s="54"/>
    </row>
    <row r="10" spans="1:11" s="44" customFormat="1" ht="75" customHeight="1" x14ac:dyDescent="0.25">
      <c r="A10" s="55"/>
      <c r="B10" s="4" t="s">
        <v>167</v>
      </c>
      <c r="C10" s="4" t="s">
        <v>210</v>
      </c>
      <c r="D10" s="4" t="s">
        <v>231</v>
      </c>
      <c r="E10" s="4" t="s">
        <v>211</v>
      </c>
      <c r="F10" s="4" t="s">
        <v>209</v>
      </c>
      <c r="G10" s="4" t="s">
        <v>231</v>
      </c>
      <c r="H10" s="4" t="s">
        <v>245</v>
      </c>
    </row>
    <row r="11" spans="1:11" ht="24.75" customHeight="1" x14ac:dyDescent="0.25">
      <c r="A11" s="24" t="s">
        <v>64</v>
      </c>
      <c r="B11" s="24" t="s">
        <v>212</v>
      </c>
      <c r="C11" s="24" t="s">
        <v>142</v>
      </c>
      <c r="D11" s="24" t="s">
        <v>91</v>
      </c>
      <c r="E11" s="24" t="s">
        <v>213</v>
      </c>
      <c r="F11" s="24" t="s">
        <v>214</v>
      </c>
      <c r="G11" s="24" t="s">
        <v>215</v>
      </c>
      <c r="H11" s="24" t="s">
        <v>216</v>
      </c>
    </row>
    <row r="12" spans="1:11" ht="39.75" customHeight="1" x14ac:dyDescent="0.25">
      <c r="A12" s="24"/>
      <c r="B12" s="24"/>
      <c r="C12" s="24"/>
      <c r="D12" s="24"/>
      <c r="E12" s="24"/>
      <c r="F12" s="24"/>
      <c r="G12" s="24"/>
      <c r="H12" s="24"/>
    </row>
    <row r="13" spans="1:11" ht="39.75" customHeight="1" x14ac:dyDescent="0.25">
      <c r="A13" s="24"/>
      <c r="B13" s="24"/>
      <c r="C13" s="24"/>
      <c r="D13" s="24"/>
      <c r="E13" s="24"/>
      <c r="F13" s="24"/>
      <c r="G13" s="24"/>
      <c r="H13" s="24"/>
    </row>
    <row r="14" spans="1:11" ht="39.75" customHeight="1" x14ac:dyDescent="0.25">
      <c r="A14" s="24"/>
      <c r="B14" s="24"/>
      <c r="C14" s="24"/>
      <c r="D14" s="24"/>
      <c r="E14" s="24"/>
      <c r="F14" s="24"/>
      <c r="G14" s="24"/>
      <c r="H14" s="24"/>
    </row>
    <row r="15" spans="1:11" ht="39.75" customHeight="1" x14ac:dyDescent="0.25">
      <c r="A15" s="24"/>
      <c r="B15" s="24"/>
      <c r="C15" s="24"/>
      <c r="D15" s="24"/>
      <c r="E15" s="24"/>
      <c r="F15" s="24"/>
      <c r="G15" s="24"/>
      <c r="H15" s="24"/>
    </row>
    <row r="16" spans="1:11" ht="39.75" customHeight="1" x14ac:dyDescent="0.25">
      <c r="A16" s="24"/>
      <c r="B16" s="24"/>
      <c r="C16" s="24"/>
      <c r="D16" s="24"/>
      <c r="E16" s="24"/>
      <c r="F16" s="24"/>
      <c r="G16" s="24"/>
      <c r="H16" s="24"/>
    </row>
    <row r="17" spans="1:8" ht="39.75" customHeight="1" x14ac:dyDescent="0.25">
      <c r="A17" s="24"/>
      <c r="B17" s="24"/>
      <c r="C17" s="24"/>
      <c r="D17" s="24"/>
      <c r="E17" s="24"/>
      <c r="F17" s="24"/>
      <c r="G17" s="24"/>
      <c r="H17" s="24"/>
    </row>
    <row r="18" spans="1:8" ht="39.75" customHeight="1" x14ac:dyDescent="0.25">
      <c r="A18" s="24"/>
      <c r="B18" s="24"/>
      <c r="C18" s="24"/>
      <c r="D18" s="24"/>
      <c r="E18" s="24"/>
      <c r="F18" s="24"/>
      <c r="G18" s="24"/>
      <c r="H18" s="24"/>
    </row>
    <row r="19" spans="1:8" ht="39.75" customHeight="1" x14ac:dyDescent="0.25">
      <c r="A19" s="24"/>
      <c r="B19" s="24"/>
      <c r="C19" s="24"/>
      <c r="D19" s="24"/>
      <c r="E19" s="24"/>
      <c r="F19" s="24"/>
      <c r="G19" s="24"/>
      <c r="H19" s="24"/>
    </row>
    <row r="20" spans="1:8" ht="39.75" customHeight="1" x14ac:dyDescent="0.25">
      <c r="A20" s="24"/>
      <c r="B20" s="24"/>
      <c r="C20" s="24"/>
      <c r="D20" s="24"/>
      <c r="E20" s="24"/>
      <c r="F20" s="24"/>
      <c r="G20" s="24"/>
      <c r="H20" s="24"/>
    </row>
    <row r="21" spans="1:8" ht="39.75" customHeight="1" x14ac:dyDescent="0.25">
      <c r="A21" s="24"/>
      <c r="B21" s="24"/>
      <c r="C21" s="24"/>
      <c r="D21" s="24"/>
      <c r="E21" s="24"/>
      <c r="F21" s="24"/>
      <c r="G21" s="24"/>
      <c r="H21" s="24"/>
    </row>
    <row r="22" spans="1:8" ht="39.75" customHeight="1" x14ac:dyDescent="0.25">
      <c r="A22" s="24"/>
      <c r="B22" s="24"/>
      <c r="C22" s="24"/>
      <c r="D22" s="24"/>
      <c r="E22" s="24"/>
      <c r="F22" s="24"/>
      <c r="G22" s="24"/>
      <c r="H22" s="24"/>
    </row>
  </sheetData>
  <mergeCells count="7">
    <mergeCell ref="A1:K1"/>
    <mergeCell ref="A3:K3"/>
    <mergeCell ref="I5:K6"/>
    <mergeCell ref="I7:K7"/>
    <mergeCell ref="A9:A10"/>
    <mergeCell ref="B9:E9"/>
    <mergeCell ref="F9:H9"/>
  </mergeCells>
  <printOptions horizontalCentered="1"/>
  <pageMargins left="0.2" right="0.2" top="0.22" bottom="0.15" header="0.22" footer="0.21"/>
  <pageSetup paperSize="9" scale="6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7"/>
  <sheetViews>
    <sheetView view="pageBreakPreview" topLeftCell="A16" zoomScale="60" workbookViewId="0">
      <selection activeCell="L12" sqref="L12"/>
    </sheetView>
  </sheetViews>
  <sheetFormatPr defaultRowHeight="25.5" customHeight="1" x14ac:dyDescent="0.25"/>
  <cols>
    <col min="2" max="2" width="51.28515625" customWidth="1"/>
    <col min="3" max="3" width="23" customWidth="1"/>
    <col min="4" max="4" width="21.140625" customWidth="1"/>
    <col min="5" max="5" width="24.140625" customWidth="1"/>
  </cols>
  <sheetData>
    <row r="1" spans="1:8" ht="25.5" customHeight="1" x14ac:dyDescent="0.25">
      <c r="A1" s="54" t="s">
        <v>225</v>
      </c>
      <c r="B1" s="54"/>
      <c r="C1" s="54"/>
      <c r="D1" s="54"/>
      <c r="E1" s="54"/>
    </row>
    <row r="2" spans="1:8" ht="25.5" customHeight="1" x14ac:dyDescent="0.25">
      <c r="A2" s="2" t="s">
        <v>226</v>
      </c>
      <c r="B2" s="2" t="s">
        <v>232</v>
      </c>
      <c r="C2" s="2" t="s">
        <v>233</v>
      </c>
      <c r="D2" s="2" t="s">
        <v>234</v>
      </c>
      <c r="E2" s="2" t="s">
        <v>227</v>
      </c>
    </row>
    <row r="3" spans="1:8" ht="35.25" customHeight="1" x14ac:dyDescent="0.25">
      <c r="A3" s="24">
        <v>1</v>
      </c>
      <c r="B3" s="24"/>
      <c r="C3" s="24"/>
      <c r="D3" s="24"/>
      <c r="E3" s="24"/>
    </row>
    <row r="4" spans="1:8" ht="35.25" customHeight="1" x14ac:dyDescent="0.25">
      <c r="A4" s="24">
        <v>2</v>
      </c>
      <c r="B4" s="24"/>
      <c r="C4" s="24"/>
      <c r="D4" s="24"/>
      <c r="E4" s="24"/>
    </row>
    <row r="5" spans="1:8" ht="35.25" customHeight="1" x14ac:dyDescent="0.25">
      <c r="A5" s="24">
        <v>3</v>
      </c>
      <c r="B5" s="24"/>
      <c r="C5" s="24"/>
      <c r="D5" s="24"/>
      <c r="E5" s="24"/>
    </row>
    <row r="6" spans="1:8" ht="35.25" customHeight="1" x14ac:dyDescent="0.25">
      <c r="A6" s="24">
        <v>4</v>
      </c>
      <c r="B6" s="24"/>
      <c r="C6" s="24"/>
      <c r="D6" s="24"/>
      <c r="E6" s="24"/>
      <c r="H6" t="s">
        <v>228</v>
      </c>
    </row>
    <row r="7" spans="1:8" ht="35.25" customHeight="1" x14ac:dyDescent="0.25">
      <c r="A7" s="24">
        <v>5</v>
      </c>
      <c r="B7" s="24"/>
      <c r="C7" s="24"/>
      <c r="D7" s="24"/>
      <c r="E7" s="24"/>
    </row>
    <row r="8" spans="1:8" ht="35.25" customHeight="1" x14ac:dyDescent="0.25">
      <c r="A8" s="24">
        <v>6</v>
      </c>
      <c r="B8" s="24"/>
      <c r="C8" s="24"/>
      <c r="D8" s="24"/>
      <c r="E8" s="24"/>
    </row>
    <row r="9" spans="1:8" ht="35.25" customHeight="1" x14ac:dyDescent="0.25">
      <c r="A9" s="24">
        <v>7</v>
      </c>
      <c r="B9" s="24"/>
      <c r="C9" s="24"/>
      <c r="D9" s="24"/>
      <c r="E9" s="24"/>
    </row>
    <row r="10" spans="1:8" ht="35.25" customHeight="1" x14ac:dyDescent="0.25">
      <c r="A10" s="24">
        <v>8</v>
      </c>
      <c r="B10" s="24"/>
      <c r="C10" s="24"/>
      <c r="D10" s="24"/>
      <c r="E10" s="24"/>
    </row>
    <row r="11" spans="1:8" ht="35.25" customHeight="1" x14ac:dyDescent="0.25">
      <c r="A11" s="24">
        <v>9</v>
      </c>
      <c r="B11" s="50"/>
      <c r="C11" s="50"/>
      <c r="D11" s="50"/>
      <c r="E11" s="50"/>
    </row>
    <row r="12" spans="1:8" ht="35.25" customHeight="1" x14ac:dyDescent="0.25">
      <c r="A12" s="24">
        <v>10</v>
      </c>
      <c r="B12" s="50"/>
      <c r="C12" s="50"/>
      <c r="D12" s="50"/>
      <c r="E12" s="50"/>
    </row>
    <row r="13" spans="1:8" ht="35.25" customHeight="1" x14ac:dyDescent="0.25">
      <c r="A13" s="24">
        <v>11</v>
      </c>
      <c r="B13" s="50"/>
      <c r="C13" s="50"/>
      <c r="D13" s="50"/>
      <c r="E13" s="50"/>
    </row>
    <row r="14" spans="1:8" ht="35.25" customHeight="1" x14ac:dyDescent="0.25">
      <c r="A14" s="24">
        <v>12</v>
      </c>
      <c r="B14" s="50"/>
      <c r="C14" s="50"/>
      <c r="D14" s="50"/>
      <c r="E14" s="50"/>
    </row>
    <row r="15" spans="1:8" ht="35.25" customHeight="1" x14ac:dyDescent="0.25">
      <c r="A15" s="24">
        <v>13</v>
      </c>
      <c r="B15" s="50"/>
      <c r="C15" s="50"/>
      <c r="D15" s="50"/>
      <c r="E15" s="50"/>
    </row>
    <row r="16" spans="1:8" ht="35.25" customHeight="1" x14ac:dyDescent="0.25">
      <c r="A16" s="24">
        <v>14</v>
      </c>
      <c r="B16" s="50"/>
      <c r="C16" s="50"/>
      <c r="D16" s="50"/>
      <c r="E16" s="50"/>
    </row>
    <row r="17" spans="1:5" ht="35.25" customHeight="1" x14ac:dyDescent="0.25">
      <c r="A17" s="24">
        <v>15</v>
      </c>
      <c r="B17" s="50"/>
      <c r="C17" s="50"/>
      <c r="D17" s="50"/>
      <c r="E17" s="50"/>
    </row>
    <row r="19" spans="1:5" ht="25.5" customHeight="1" x14ac:dyDescent="0.25">
      <c r="A19" s="54" t="s">
        <v>235</v>
      </c>
      <c r="B19" s="54"/>
      <c r="C19" s="54"/>
      <c r="D19" s="54"/>
      <c r="E19" s="54"/>
    </row>
    <row r="20" spans="1:5" ht="36" customHeight="1" x14ac:dyDescent="0.25">
      <c r="A20" s="2" t="s">
        <v>226</v>
      </c>
      <c r="B20" s="2" t="s">
        <v>120</v>
      </c>
      <c r="C20" s="2" t="s">
        <v>236</v>
      </c>
      <c r="D20" s="4" t="s">
        <v>237</v>
      </c>
      <c r="E20" s="2" t="s">
        <v>19</v>
      </c>
    </row>
    <row r="21" spans="1:5" ht="39" customHeight="1" x14ac:dyDescent="0.25">
      <c r="A21" s="24">
        <v>1</v>
      </c>
      <c r="B21" s="50"/>
      <c r="C21" s="50"/>
      <c r="D21" s="50"/>
      <c r="E21" s="50"/>
    </row>
    <row r="22" spans="1:5" ht="39" customHeight="1" x14ac:dyDescent="0.25">
      <c r="A22" s="24">
        <v>2</v>
      </c>
      <c r="B22" s="50"/>
      <c r="C22" s="50"/>
      <c r="D22" s="50"/>
      <c r="E22" s="50"/>
    </row>
    <row r="23" spans="1:5" ht="39" customHeight="1" x14ac:dyDescent="0.25">
      <c r="A23" s="24">
        <v>3</v>
      </c>
      <c r="B23" s="50"/>
      <c r="C23" s="50"/>
      <c r="D23" s="50"/>
      <c r="E23" s="50"/>
    </row>
    <row r="24" spans="1:5" ht="39" customHeight="1" x14ac:dyDescent="0.25">
      <c r="A24" s="24">
        <v>4</v>
      </c>
      <c r="B24" s="50"/>
      <c r="C24" s="50"/>
      <c r="D24" s="50"/>
      <c r="E24" s="50"/>
    </row>
    <row r="25" spans="1:5" ht="39" customHeight="1" x14ac:dyDescent="0.25">
      <c r="A25" s="24">
        <v>5</v>
      </c>
      <c r="B25" s="50"/>
      <c r="C25" s="50"/>
      <c r="D25" s="50"/>
      <c r="E25" s="50"/>
    </row>
    <row r="26" spans="1:5" ht="39" customHeight="1" x14ac:dyDescent="0.25">
      <c r="A26" s="24">
        <v>6</v>
      </c>
      <c r="B26" s="50"/>
      <c r="C26" s="50"/>
      <c r="D26" s="50"/>
      <c r="E26" s="50"/>
    </row>
    <row r="27" spans="1:5" ht="39" customHeight="1" x14ac:dyDescent="0.25">
      <c r="A27" s="24">
        <v>7</v>
      </c>
      <c r="B27" s="50"/>
      <c r="C27" s="50"/>
      <c r="D27" s="50"/>
      <c r="E27" s="50"/>
    </row>
  </sheetData>
  <mergeCells count="2">
    <mergeCell ref="A1:E1"/>
    <mergeCell ref="A19:E19"/>
  </mergeCells>
  <printOptions horizontalCentered="1"/>
  <pageMargins left="0.16" right="0.24" top="0.36" bottom="0.25" header="0.3" footer="0.3"/>
  <pageSetup scale="79" orientation="portrait" r:id="rId1"/>
  <colBreaks count="1" manualBreakCount="1">
    <brk id="5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7</vt:i4>
      </vt:variant>
    </vt:vector>
  </HeadingPairs>
  <TitlesOfParts>
    <vt:vector size="15" baseType="lpstr">
      <vt:lpstr>Form 1</vt:lpstr>
      <vt:lpstr>Form II</vt:lpstr>
      <vt:lpstr>Form No 3</vt:lpstr>
      <vt:lpstr>Form No.04</vt:lpstr>
      <vt:lpstr>F-B</vt:lpstr>
      <vt:lpstr>Form C</vt:lpstr>
      <vt:lpstr>Form 8</vt:lpstr>
      <vt:lpstr>Sheet1</vt:lpstr>
      <vt:lpstr>'Form 8'!Print_Area</vt:lpstr>
      <vt:lpstr>'Form No 3'!Print_Area</vt:lpstr>
      <vt:lpstr>Sheet1!Print_Area</vt:lpstr>
      <vt:lpstr>'F-B'!Print_Titles</vt:lpstr>
      <vt:lpstr>'Form 1'!Print_Titles</vt:lpstr>
      <vt:lpstr>'Form C'!Print_Titles</vt:lpstr>
      <vt:lpstr>'Form II'!Print_Titles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Durgan Fort</cp:lastModifiedBy>
  <cp:lastPrinted>2023-09-22T10:19:16Z</cp:lastPrinted>
  <dcterms:created xsi:type="dcterms:W3CDTF">2023-09-21T06:16:02Z</dcterms:created>
  <dcterms:modified xsi:type="dcterms:W3CDTF">2024-06-15T16:19:13Z</dcterms:modified>
</cp:coreProperties>
</file>