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Kaliya RF,\II-39,\"/>
    </mc:Choice>
  </mc:AlternateContent>
  <xr:revisionPtr revIDLastSave="0" documentId="13_ncr:1_{9605DD0C-36B3-47F0-805E-45CA86D65FB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8" l="1"/>
  <c r="G31" i="8"/>
  <c r="G16" i="8"/>
  <c r="G6" i="8"/>
  <c r="G5" i="8"/>
  <c r="F21" i="9"/>
  <c r="F20" i="9"/>
  <c r="F18" i="9"/>
  <c r="F9" i="9"/>
  <c r="F8" i="9"/>
  <c r="F7" i="9"/>
  <c r="F6" i="9"/>
  <c r="C5" i="5"/>
  <c r="C7" i="5"/>
  <c r="C8" i="5"/>
  <c r="C9" i="5"/>
  <c r="C10" i="5"/>
  <c r="B28" i="8"/>
  <c r="B23" i="8"/>
  <c r="B13" i="8"/>
</calcChain>
</file>

<file path=xl/sharedStrings.xml><?xml version="1.0" encoding="utf-8"?>
<sst xmlns="http://schemas.openxmlformats.org/spreadsheetml/2006/main" count="284" uniqueCount="195">
  <si>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</si>
  <si>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</si>
  <si>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</si>
  <si>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</si>
  <si>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</si>
  <si>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</si>
  <si>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</si>
  <si>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</si>
  <si>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</si>
  <si>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</si>
  <si>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</si>
  <si>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</si>
  <si>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</si>
  <si>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</si>
  <si>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</si>
  <si>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</si>
  <si>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</si>
  <si>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</si>
  <si>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</si>
  <si>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</si>
  <si>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</si>
  <si>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</si>
  <si>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</si>
  <si>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</si>
  <si>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</si>
  <si>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</si>
  <si>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</si>
  <si>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</si>
  <si>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</si>
  <si>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</si>
  <si>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</si>
  <si>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</si>
  <si>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</si>
  <si>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</si>
  <si>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</si>
  <si>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</si>
  <si>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</si>
  <si>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</si>
  <si>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</si>
  <si>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</si>
  <si>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</si>
  <si>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</si>
  <si>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</si>
  <si>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</si>
  <si>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</si>
  <si>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</si>
  <si>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</si>
  <si>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</si>
  <si>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</si>
  <si>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</si>
  <si>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</si>
  <si>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</si>
  <si>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</si>
  <si>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</si>
  <si>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</si>
  <si>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</si>
  <si>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</si>
  <si>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</si>
  <si>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</si>
  <si>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</si>
  <si>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</si>
  <si>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</si>
  <si>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</si>
  <si>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</si>
  <si>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</si>
  <si>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</si>
  <si>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</si>
  <si>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</si>
  <si>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</si>
  <si>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</si>
  <si>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</si>
  <si>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</si>
  <si>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</si>
  <si>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</si>
  <si>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</si>
  <si>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t>Travel from Ujire to Guruvayunkere     upto     N  12.964322   E 75.271571   by vehicle then travel in the bearing of  359 degree upto a distance of  127  m to reach the grid.</t>
  </si>
  <si>
    <t xml:space="preserve">Hopea ponga , Aporosa lindleyana , Mallotus philippensis </t>
  </si>
  <si>
    <t>Tract - Gently slope</t>
  </si>
  <si>
    <t>Canopy Dencity - 0.64</t>
  </si>
  <si>
    <t xml:space="preserve">Weeds - Chromolaena odorata , Spegniticola trilobata </t>
  </si>
  <si>
    <t xml:space="preserve">Bamboos - Bambusa bambos </t>
  </si>
  <si>
    <t>Herbs - Caryota urens , Grasses</t>
  </si>
  <si>
    <t xml:space="preserve">Shrubs - Psychotria flavida , Leea indica , Tabernamontana heyneana , Hopea ponga , Myristica malabarica </t>
  </si>
  <si>
    <t xml:space="preserve">Underwood species – Macaranga peltata , Holigarna arnattiana , Strychnos nux-vomica </t>
  </si>
  <si>
    <t xml:space="preserve">Climbers - Mussaenda frondosa , Smilax spinosa , Acacia concinna </t>
  </si>
  <si>
    <t>NTFP yieding sps – Phyllanthus emblica, Caryota urens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</si>
  <si>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</si>
  <si>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rPr>
        <b/>
        <sz val="12"/>
        <rFont val="Times New Roman"/>
        <family val="1"/>
      </rPr>
      <t xml:space="preserve">Closed Forest </t>
    </r>
    <r>
      <rPr>
        <sz val="12"/>
        <rFont val="Times New Roman"/>
        <family val="1"/>
      </rPr>
      <t>/Dense Forest 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</si>
  <si>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</si>
  <si>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</si>
  <si>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rPr>
        <b/>
        <sz val="12"/>
        <rFont val="Times New Roman"/>
        <family val="1"/>
      </rPr>
      <t>Northern</t>
    </r>
    <r>
      <rPr>
        <sz val="12"/>
        <rFont val="Times New Roman"/>
        <family val="1"/>
      </rPr>
      <t xml:space="preserve"> / NE/Eastern / SE /Southern /SW /Western/ NW /No aspect</t>
    </r>
  </si>
  <si>
    <t>Texture-  Red gravelly</t>
  </si>
  <si>
    <t>Permiability- poor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</si>
  <si>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</si>
  <si>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Anacardium occidentale , Carallia brachiata , Strychnos nux-vomica , Aporosa lindleyana ,  Terminalia paniculata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</si>
  <si>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</si>
  <si>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</si>
  <si>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 xml:space="preserve"> Humans and microbes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</si>
  <si>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</si>
  <si>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</si>
  <si>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</si>
  <si>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Scanty / Absent</t>
    </r>
  </si>
  <si>
    <t xml:space="preserve">Chromolaena odorata 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</si>
  <si>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</si>
  <si>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Anacardium occidentale</t>
  </si>
  <si>
    <t>Glyrisedia sepium</t>
  </si>
  <si>
    <t>Acacia auriculiformis</t>
  </si>
  <si>
    <t>Strychnos nux-vomica</t>
  </si>
  <si>
    <t>Carallia brachiata</t>
  </si>
  <si>
    <t>Caryota urens</t>
  </si>
  <si>
    <t>Xylia xylocarpa</t>
  </si>
  <si>
    <t>Mangifera indica</t>
  </si>
  <si>
    <t>Holigarna arnattiana</t>
  </si>
  <si>
    <t>Psychotria flavida</t>
  </si>
  <si>
    <t>Hopea spp</t>
  </si>
  <si>
    <t>Olea dioca</t>
  </si>
  <si>
    <t>Hopea ponga like climber</t>
  </si>
  <si>
    <t>Pothos scandens</t>
  </si>
  <si>
    <t>Getonia floribunda</t>
  </si>
  <si>
    <t>Cinnamomum malabarica</t>
  </si>
  <si>
    <t>2kg</t>
  </si>
  <si>
    <t>Ixora brachiata</t>
  </si>
  <si>
    <t>Human encroachment</t>
  </si>
  <si>
    <t>Aporosa lindleyana</t>
  </si>
  <si>
    <t>395 ft</t>
  </si>
  <si>
    <t>Belthangady</t>
  </si>
  <si>
    <t>Kaliya RF</t>
  </si>
  <si>
    <t>II-39</t>
  </si>
  <si>
    <t>Aspect - No aspect</t>
  </si>
  <si>
    <t>Soil - Red soil</t>
  </si>
  <si>
    <t xml:space="preserve">Grasses - Opplessima sp </t>
  </si>
  <si>
    <t>Rattans – NIL</t>
  </si>
  <si>
    <t>NIL</t>
  </si>
  <si>
    <t>Depth-  Deep</t>
  </si>
  <si>
    <t xml:space="preserve">Terminalia paniculata </t>
  </si>
  <si>
    <t>73g</t>
  </si>
  <si>
    <t>180g</t>
  </si>
  <si>
    <t>85g</t>
  </si>
  <si>
    <t>460g</t>
  </si>
  <si>
    <t>Mangalore</t>
  </si>
  <si>
    <t>Kumsa Balli</t>
  </si>
  <si>
    <t>Dalchini</t>
  </si>
  <si>
    <t>Gorbale</t>
  </si>
  <si>
    <t>Dalchinni</t>
  </si>
  <si>
    <t>Salle</t>
  </si>
  <si>
    <t>Kaadu coffee</t>
  </si>
  <si>
    <t>Akkerakalu</t>
  </si>
  <si>
    <t>Holegere</t>
  </si>
  <si>
    <t>Beelu Balli</t>
  </si>
  <si>
    <t>5.5kg</t>
  </si>
  <si>
    <t>stems</t>
  </si>
  <si>
    <t>latex, seeds</t>
  </si>
  <si>
    <t>tubers</t>
  </si>
  <si>
    <t>0.5kg</t>
  </si>
  <si>
    <t>1.2kg</t>
  </si>
  <si>
    <t>seeds</t>
  </si>
  <si>
    <t>fruits</t>
  </si>
  <si>
    <t>leavse</t>
  </si>
  <si>
    <t>bark</t>
  </si>
  <si>
    <t>flwoers</t>
  </si>
  <si>
    <t>leaves</t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</si>
  <si>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</si>
  <si>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</si>
  <si>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</si>
  <si>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</si>
  <si>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</si>
  <si>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 xml:space="preserve">ALT: </t>
  </si>
  <si>
    <t>GBH 
(cm)</t>
  </si>
  <si>
    <t>GBH (OB) (cm)</t>
  </si>
  <si>
    <t>Height of selected dominant trees (m)</t>
  </si>
  <si>
    <t>Remarks, if any, about the tree condition</t>
  </si>
  <si>
    <t>Part of the tree</t>
  </si>
  <si>
    <t>Compartment No: II-39</t>
  </si>
  <si>
    <t>Grid No:6172</t>
  </si>
  <si>
    <t>LAT: 12.965455</t>
  </si>
  <si>
    <t>LONG: 75.271488</t>
  </si>
  <si>
    <t>Block /Village: Kaliya RF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</si>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</sst>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6" sqref="C6"/>
    </sheetView>
  </sheetViews>
  <sheetFormatPr defaultRowHeight="24.75" customHeight="1" x14ac:dyDescent="0.25"/>
  <cols>
    <col min="1" max="1" width="8.140625" style="1" customWidth="1"/>
    <col min="2" max="2" width="34.42578125" style="1" bestFit="1" customWidth="1"/>
    <col min="3" max="3" width="53.7109375" style="1" customWidth="1"/>
    <col min="4" max="16384" width="9.140625" style="1"/>
  </cols>
  <sheetData>
    <row r="1" spans="1:3" ht="24.75" customHeight="1" x14ac:dyDescent="0.25">
      <c r="A1" s="45" t="s">
        <v>0</v>
      </c>
      <c r="B1" s="45"/>
      <c r="C1" s="45"/>
    </row>
    <row r="2" spans="1:3" ht="24.75" customHeight="1" x14ac:dyDescent="0.25">
      <c r="A2" s="45" t="s">
        <v>1</v>
      </c>
      <c r="B2" s="45"/>
      <c r="C2" s="45"/>
    </row>
    <row r="3" spans="1:3" s="3" customFormat="1" ht="24.75" customHeight="1" x14ac:dyDescent="0.25">
      <c r="A3" s="45" t="s">
        <v>2</v>
      </c>
      <c r="B3" s="45"/>
      <c r="C3" s="2" t="s">
        <v>139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4" customHeight="1" x14ac:dyDescent="0.25">
      <c r="A5" s="4">
        <v>1</v>
      </c>
      <c r="B5" s="41" t="s">
        <v>6</v>
      </c>
      <c r="C5" s="8" t="s">
        <v>125</v>
      </c>
    </row>
    <row r="6" spans="1:3" ht="24" customHeight="1" x14ac:dyDescent="0.25">
      <c r="A6" s="4">
        <v>2</v>
      </c>
      <c r="B6" s="41" t="s">
        <v>7</v>
      </c>
      <c r="C6" s="8" t="s">
        <v>126</v>
      </c>
    </row>
    <row r="7" spans="1:3" ht="24" customHeight="1" x14ac:dyDescent="0.25">
      <c r="A7" s="4">
        <v>3</v>
      </c>
      <c r="B7" s="41" t="s">
        <v>8</v>
      </c>
      <c r="C7" s="7" t="s">
        <v>127</v>
      </c>
    </row>
    <row r="8" spans="1:3" ht="24" customHeight="1" x14ac:dyDescent="0.25">
      <c r="A8" s="4">
        <v>4</v>
      </c>
      <c r="B8" s="41" t="s">
        <v>9</v>
      </c>
      <c r="C8" s="7">
        <v>6172</v>
      </c>
    </row>
    <row r="9" spans="1:3" ht="24" customHeight="1" x14ac:dyDescent="0.25">
      <c r="A9" s="4">
        <v>5</v>
      </c>
      <c r="B9" s="41" t="s">
        <v>10</v>
      </c>
      <c r="C9" s="8">
        <v>12.965455</v>
      </c>
    </row>
    <row r="10" spans="1:3" ht="24" customHeight="1" x14ac:dyDescent="0.25">
      <c r="A10" s="4">
        <v>6</v>
      </c>
      <c r="B10" s="41" t="s">
        <v>11</v>
      </c>
      <c r="C10" s="8">
        <v>75.271488000000005</v>
      </c>
    </row>
    <row r="11" spans="1:3" ht="63" x14ac:dyDescent="0.25">
      <c r="A11" s="4">
        <v>7</v>
      </c>
      <c r="B11" s="41" t="s">
        <v>12</v>
      </c>
      <c r="C11" s="8" t="s">
        <v>75</v>
      </c>
    </row>
    <row r="12" spans="1:3" ht="24" customHeight="1" x14ac:dyDescent="0.25">
      <c r="A12" s="4">
        <v>8</v>
      </c>
      <c r="B12" s="41" t="s">
        <v>13</v>
      </c>
      <c r="C12" s="9" t="s">
        <v>76</v>
      </c>
    </row>
    <row r="13" spans="1:3" ht="24" customHeight="1" x14ac:dyDescent="0.25">
      <c r="A13" s="46">
        <v>9</v>
      </c>
      <c r="B13" s="47" t="s">
        <v>14</v>
      </c>
      <c r="C13" s="6" t="s">
        <v>77</v>
      </c>
    </row>
    <row r="14" spans="1:3" ht="24" customHeight="1" x14ac:dyDescent="0.25">
      <c r="A14" s="46"/>
      <c r="B14" s="47"/>
      <c r="C14" s="6" t="s">
        <v>128</v>
      </c>
    </row>
    <row r="15" spans="1:3" ht="24" customHeight="1" x14ac:dyDescent="0.25">
      <c r="A15" s="46"/>
      <c r="B15" s="47"/>
      <c r="C15" s="6" t="s">
        <v>78</v>
      </c>
    </row>
    <row r="16" spans="1:3" ht="24" customHeight="1" x14ac:dyDescent="0.25">
      <c r="A16" s="46"/>
      <c r="B16" s="47"/>
      <c r="C16" s="6" t="s">
        <v>129</v>
      </c>
    </row>
    <row r="17" spans="1:3" ht="24" customHeight="1" x14ac:dyDescent="0.25">
      <c r="A17" s="46"/>
      <c r="B17" s="47"/>
      <c r="C17" s="6" t="s">
        <v>130</v>
      </c>
    </row>
    <row r="18" spans="1:3" ht="24" customHeight="1" x14ac:dyDescent="0.25">
      <c r="A18" s="46"/>
      <c r="B18" s="47"/>
      <c r="C18" s="6" t="s">
        <v>79</v>
      </c>
    </row>
    <row r="19" spans="1:3" ht="24" customHeight="1" x14ac:dyDescent="0.25">
      <c r="A19" s="46"/>
      <c r="B19" s="47"/>
      <c r="C19" s="6" t="s">
        <v>80</v>
      </c>
    </row>
    <row r="20" spans="1:3" ht="24" customHeight="1" x14ac:dyDescent="0.25">
      <c r="A20" s="46"/>
      <c r="B20" s="47"/>
      <c r="C20" s="6" t="s">
        <v>81</v>
      </c>
    </row>
    <row r="21" spans="1:3" ht="47.25" x14ac:dyDescent="0.25">
      <c r="A21" s="46"/>
      <c r="B21" s="47"/>
      <c r="C21" s="6" t="s">
        <v>82</v>
      </c>
    </row>
    <row r="22" spans="1:3" ht="31.5" x14ac:dyDescent="0.25">
      <c r="A22" s="46"/>
      <c r="B22" s="47"/>
      <c r="C22" s="6" t="s">
        <v>83</v>
      </c>
    </row>
    <row r="23" spans="1:3" ht="31.5" x14ac:dyDescent="0.25">
      <c r="A23" s="46"/>
      <c r="B23" s="47"/>
      <c r="C23" s="6" t="s">
        <v>84</v>
      </c>
    </row>
    <row r="24" spans="1:3" ht="24" customHeight="1" x14ac:dyDescent="0.25">
      <c r="A24" s="46"/>
      <c r="B24" s="47"/>
      <c r="C24" s="6" t="s">
        <v>131</v>
      </c>
    </row>
    <row r="25" spans="1:3" ht="24" customHeight="1" x14ac:dyDescent="0.25">
      <c r="A25" s="46"/>
      <c r="B25" s="47"/>
      <c r="C25" s="6" t="s">
        <v>85</v>
      </c>
    </row>
    <row r="26" spans="1:3" ht="24" customHeight="1" x14ac:dyDescent="0.25">
      <c r="A26" s="4">
        <v>10</v>
      </c>
      <c r="B26" s="41" t="s">
        <v>15</v>
      </c>
      <c r="C26" s="6" t="s">
        <v>132</v>
      </c>
    </row>
    <row r="27" spans="1:3" ht="24" customHeight="1" x14ac:dyDescent="0.25">
      <c r="A27" s="4">
        <v>11</v>
      </c>
      <c r="B27" s="41" t="s">
        <v>16</v>
      </c>
      <c r="C27" s="6" t="s">
        <v>132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topLeftCell="A7" zoomScaleSheetLayoutView="100" workbookViewId="0">
      <selection activeCell="G17" sqref="G17"/>
    </sheetView>
  </sheetViews>
  <sheetFormatPr defaultRowHeight="25.5" customHeight="1" x14ac:dyDescent="0.25"/>
  <cols>
    <col min="1" max="1" width="6.5703125" style="13" bestFit="1" customWidth="1"/>
    <col min="2" max="2" width="41.5703125" style="13" bestFit="1" customWidth="1"/>
    <col min="3" max="3" width="47.85546875" style="13" customWidth="1"/>
    <col min="4" max="16384" width="9.140625" style="13"/>
  </cols>
  <sheetData>
    <row r="1" spans="1:3" ht="25.5" customHeight="1" x14ac:dyDescent="0.25">
      <c r="A1" s="48" t="s">
        <v>17</v>
      </c>
      <c r="B1" s="48"/>
      <c r="C1" s="48"/>
    </row>
    <row r="2" spans="1:3" ht="25.5" customHeight="1" x14ac:dyDescent="0.25">
      <c r="A2" s="48" t="s">
        <v>18</v>
      </c>
      <c r="B2" s="48"/>
      <c r="C2" s="48"/>
    </row>
    <row r="3" spans="1:3" s="14" customFormat="1" ht="25.5" customHeight="1" x14ac:dyDescent="0.25">
      <c r="A3" s="48" t="s">
        <v>2</v>
      </c>
      <c r="B3" s="48"/>
      <c r="C3" s="16" t="s">
        <v>139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24.75" customHeight="1" x14ac:dyDescent="0.25">
      <c r="A5" s="10">
        <v>1</v>
      </c>
      <c r="B5" s="42" t="s">
        <v>6</v>
      </c>
      <c r="C5" s="19" t="str">
        <f>'Form 1'!C5</f>
        <v>Belthangady</v>
      </c>
    </row>
    <row r="6" spans="1:3" ht="24.75" customHeight="1" x14ac:dyDescent="0.25">
      <c r="A6" s="10">
        <v>2</v>
      </c>
      <c r="B6" s="42" t="s">
        <v>72</v>
      </c>
      <c r="C6" s="19"/>
    </row>
    <row r="7" spans="1:3" ht="24.75" customHeight="1" x14ac:dyDescent="0.25">
      <c r="A7" s="10">
        <v>3</v>
      </c>
      <c r="B7" s="42" t="s">
        <v>69</v>
      </c>
      <c r="C7" s="19" t="str">
        <f>'Form 1'!C6</f>
        <v>Kaliya RF</v>
      </c>
    </row>
    <row r="8" spans="1:3" ht="24.75" customHeight="1" x14ac:dyDescent="0.25">
      <c r="A8" s="10">
        <v>4</v>
      </c>
      <c r="B8" s="42" t="s">
        <v>9</v>
      </c>
      <c r="C8" s="19">
        <f>'Form 1'!C8</f>
        <v>6172</v>
      </c>
    </row>
    <row r="9" spans="1:3" ht="24.75" customHeight="1" x14ac:dyDescent="0.25">
      <c r="A9" s="10">
        <v>5</v>
      </c>
      <c r="B9" s="42" t="s">
        <v>20</v>
      </c>
      <c r="C9" s="19">
        <f>'Form 1'!C9</f>
        <v>12.965455</v>
      </c>
    </row>
    <row r="10" spans="1:3" ht="24.75" customHeight="1" x14ac:dyDescent="0.25">
      <c r="A10" s="10">
        <v>6</v>
      </c>
      <c r="B10" s="42" t="s">
        <v>21</v>
      </c>
      <c r="C10" s="19">
        <f>'Form 1'!C10</f>
        <v>75.271488000000005</v>
      </c>
    </row>
    <row r="11" spans="1:3" ht="24.75" customHeight="1" x14ac:dyDescent="0.25">
      <c r="A11" s="10">
        <v>7</v>
      </c>
      <c r="B11" s="42" t="s">
        <v>22</v>
      </c>
      <c r="C11" s="19" t="s">
        <v>124</v>
      </c>
    </row>
    <row r="12" spans="1:3" ht="31.5" x14ac:dyDescent="0.25">
      <c r="A12" s="10">
        <v>8</v>
      </c>
      <c r="B12" s="42" t="s">
        <v>23</v>
      </c>
      <c r="C12" s="19" t="s">
        <v>86</v>
      </c>
    </row>
    <row r="13" spans="1:3" ht="24.75" customHeight="1" x14ac:dyDescent="0.25">
      <c r="A13" s="10">
        <v>9</v>
      </c>
      <c r="B13" s="42" t="s">
        <v>24</v>
      </c>
      <c r="C13" s="19" t="s">
        <v>87</v>
      </c>
    </row>
    <row r="14" spans="1:3" ht="31.5" x14ac:dyDescent="0.25">
      <c r="A14" s="10">
        <v>10</v>
      </c>
      <c r="B14" s="42" t="s">
        <v>25</v>
      </c>
      <c r="C14" s="19" t="s">
        <v>88</v>
      </c>
    </row>
    <row r="15" spans="1:3" ht="24.75" customHeight="1" x14ac:dyDescent="0.25">
      <c r="A15" s="10">
        <v>11</v>
      </c>
      <c r="B15" s="42" t="s">
        <v>26</v>
      </c>
      <c r="C15" s="20" t="s">
        <v>89</v>
      </c>
    </row>
    <row r="16" spans="1:3" ht="31.5" x14ac:dyDescent="0.25">
      <c r="A16" s="10">
        <v>12</v>
      </c>
      <c r="B16" s="42" t="s">
        <v>27</v>
      </c>
      <c r="C16" s="20" t="s">
        <v>90</v>
      </c>
    </row>
    <row r="17" spans="1:3" ht="31.5" x14ac:dyDescent="0.25">
      <c r="A17" s="10">
        <v>13</v>
      </c>
      <c r="B17" s="42" t="s">
        <v>28</v>
      </c>
      <c r="C17" s="20" t="s">
        <v>29</v>
      </c>
    </row>
    <row r="18" spans="1:3" ht="24.75" customHeight="1" x14ac:dyDescent="0.25">
      <c r="A18" s="49">
        <v>14</v>
      </c>
      <c r="B18" s="50" t="s">
        <v>30</v>
      </c>
      <c r="C18" s="20" t="s">
        <v>91</v>
      </c>
    </row>
    <row r="19" spans="1:3" ht="24.75" customHeight="1" x14ac:dyDescent="0.25">
      <c r="A19" s="49"/>
      <c r="B19" s="50"/>
      <c r="C19" s="20" t="s">
        <v>133</v>
      </c>
    </row>
    <row r="20" spans="1:3" ht="24.75" customHeight="1" x14ac:dyDescent="0.25">
      <c r="A20" s="49"/>
      <c r="B20" s="50"/>
      <c r="C20" s="21" t="s">
        <v>92</v>
      </c>
    </row>
    <row r="21" spans="1:3" ht="24.75" customHeight="1" x14ac:dyDescent="0.25">
      <c r="A21" s="10">
        <v>15</v>
      </c>
      <c r="B21" s="42" t="s">
        <v>31</v>
      </c>
      <c r="C21" s="20" t="s">
        <v>93</v>
      </c>
    </row>
    <row r="22" spans="1:3" ht="47.25" x14ac:dyDescent="0.25">
      <c r="A22" s="10">
        <v>16</v>
      </c>
      <c r="B22" s="42" t="s">
        <v>32</v>
      </c>
      <c r="C22" s="20" t="s">
        <v>94</v>
      </c>
    </row>
    <row r="23" spans="1:3" ht="24.75" customHeight="1" x14ac:dyDescent="0.25">
      <c r="A23" s="10">
        <v>17</v>
      </c>
      <c r="B23" s="42" t="s">
        <v>70</v>
      </c>
      <c r="C23" s="20" t="s">
        <v>95</v>
      </c>
    </row>
    <row r="24" spans="1:3" ht="31.5" x14ac:dyDescent="0.25">
      <c r="A24" s="10">
        <v>18</v>
      </c>
      <c r="B24" s="42" t="s">
        <v>33</v>
      </c>
      <c r="C24" s="20" t="s">
        <v>96</v>
      </c>
    </row>
    <row r="25" spans="1:3" ht="24.75" customHeight="1" x14ac:dyDescent="0.25">
      <c r="A25" s="10">
        <v>19</v>
      </c>
      <c r="B25" s="42" t="s">
        <v>34</v>
      </c>
      <c r="C25" s="20" t="s">
        <v>97</v>
      </c>
    </row>
    <row r="26" spans="1:3" ht="24.75" customHeight="1" x14ac:dyDescent="0.25">
      <c r="A26" s="10">
        <v>20</v>
      </c>
      <c r="B26" s="42" t="s">
        <v>35</v>
      </c>
      <c r="C26" s="21" t="s">
        <v>98</v>
      </c>
    </row>
    <row r="27" spans="1:3" ht="24.75" customHeight="1" x14ac:dyDescent="0.25">
      <c r="A27" s="10">
        <v>21</v>
      </c>
      <c r="B27" s="42" t="s">
        <v>36</v>
      </c>
      <c r="C27" s="20" t="s">
        <v>99</v>
      </c>
    </row>
    <row r="28" spans="1:3" ht="24.75" customHeight="1" x14ac:dyDescent="0.25">
      <c r="A28" s="10">
        <v>22</v>
      </c>
      <c r="B28" s="42" t="s">
        <v>37</v>
      </c>
      <c r="C28" s="20" t="s">
        <v>100</v>
      </c>
    </row>
    <row r="29" spans="1:3" ht="24.75" customHeight="1" x14ac:dyDescent="0.25">
      <c r="A29" s="10">
        <v>23</v>
      </c>
      <c r="B29" s="42" t="s">
        <v>38</v>
      </c>
      <c r="C29" s="20" t="s">
        <v>101</v>
      </c>
    </row>
    <row r="30" spans="1:3" ht="24.75" customHeight="1" x14ac:dyDescent="0.25">
      <c r="A30" s="10">
        <v>24</v>
      </c>
      <c r="B30" s="42" t="s">
        <v>39</v>
      </c>
      <c r="C30" s="20" t="s">
        <v>102</v>
      </c>
    </row>
    <row r="31" spans="1:3" ht="24.75" customHeight="1" x14ac:dyDescent="0.25">
      <c r="A31" s="10">
        <v>25</v>
      </c>
      <c r="B31" s="42" t="s">
        <v>40</v>
      </c>
      <c r="C31" s="20" t="s">
        <v>132</v>
      </c>
    </row>
    <row r="32" spans="1:3" ht="24.75" customHeight="1" x14ac:dyDescent="0.25">
      <c r="A32" s="10">
        <v>26</v>
      </c>
      <c r="B32" s="42" t="s">
        <v>41</v>
      </c>
      <c r="C32" s="20" t="s">
        <v>132</v>
      </c>
    </row>
    <row r="33" spans="1:3" ht="24.75" customHeight="1" x14ac:dyDescent="0.25">
      <c r="A33" s="10">
        <v>27</v>
      </c>
      <c r="B33" s="42" t="s">
        <v>42</v>
      </c>
      <c r="C33" s="19" t="s">
        <v>103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85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B6B0-8019-43B8-9237-20D7FD37E5BC}">
  <dimension ref="A1:I25"/>
  <sheetViews>
    <sheetView workbookViewId="0">
      <selection activeCell="D10" sqref="D10"/>
    </sheetView>
  </sheetViews>
  <sheetFormatPr defaultRowHeight="15" x14ac:dyDescent="0.25"/>
  <cols>
    <col min="1" max="1" width="6.85546875" bestFit="1" customWidth="1"/>
    <col min="2" max="2" width="22.140625" bestFit="1" customWidth="1"/>
    <col min="9" max="9" width="11.42578125" customWidth="1"/>
  </cols>
  <sheetData>
    <row r="1" spans="1:9" s="64" customFormat="1" ht="15.6" customHeight="1" x14ac:dyDescent="0.25">
      <c r="A1" s="63" t="s">
        <v>161</v>
      </c>
      <c r="B1" s="63"/>
      <c r="C1" s="63"/>
      <c r="D1" s="63"/>
      <c r="E1" s="63"/>
      <c r="F1" s="63"/>
      <c r="G1" s="63"/>
      <c r="H1" s="63"/>
      <c r="I1" s="63"/>
    </row>
    <row r="2" spans="1:9" s="64" customFormat="1" ht="15.6" customHeight="1" x14ac:dyDescent="0.25">
      <c r="A2" s="63" t="s">
        <v>162</v>
      </c>
      <c r="B2" s="63"/>
      <c r="C2" s="63"/>
      <c r="D2" s="63"/>
      <c r="E2" s="63"/>
      <c r="F2" s="63"/>
      <c r="G2" s="63"/>
      <c r="H2" s="63"/>
      <c r="I2" s="63"/>
    </row>
    <row r="3" spans="1:9" s="64" customFormat="1" ht="15.6" customHeight="1" x14ac:dyDescent="0.25">
      <c r="A3" s="65"/>
      <c r="B3" s="65"/>
      <c r="C3" s="65"/>
      <c r="D3" s="65"/>
      <c r="E3" s="65"/>
      <c r="F3" s="65"/>
      <c r="G3" s="65"/>
      <c r="H3" s="65"/>
      <c r="I3" s="65"/>
    </row>
    <row r="4" spans="1:9" s="69" customFormat="1" ht="15.75" x14ac:dyDescent="0.25">
      <c r="A4" s="66" t="s">
        <v>172</v>
      </c>
      <c r="B4" s="67"/>
      <c r="C4" s="68"/>
      <c r="D4" s="66" t="s">
        <v>176</v>
      </c>
      <c r="E4" s="67"/>
      <c r="F4" s="67"/>
      <c r="G4" s="68"/>
      <c r="H4" s="66" t="s">
        <v>163</v>
      </c>
      <c r="I4" s="68"/>
    </row>
    <row r="5" spans="1:9" s="69" customFormat="1" ht="15.75" x14ac:dyDescent="0.25">
      <c r="A5" s="66" t="s">
        <v>164</v>
      </c>
      <c r="B5" s="67"/>
      <c r="C5" s="68"/>
      <c r="D5" s="66" t="s">
        <v>165</v>
      </c>
      <c r="E5" s="67"/>
      <c r="F5" s="67"/>
      <c r="G5" s="68"/>
      <c r="H5" s="66" t="s">
        <v>166</v>
      </c>
      <c r="I5" s="68"/>
    </row>
    <row r="6" spans="1:9" s="69" customFormat="1" ht="15.75" x14ac:dyDescent="0.25">
      <c r="A6" s="66" t="s">
        <v>174</v>
      </c>
      <c r="B6" s="67"/>
      <c r="C6" s="68"/>
      <c r="D6" s="66" t="s">
        <v>175</v>
      </c>
      <c r="E6" s="67"/>
      <c r="F6" s="67"/>
      <c r="G6" s="68"/>
      <c r="H6" s="66" t="s">
        <v>173</v>
      </c>
      <c r="I6" s="68"/>
    </row>
    <row r="7" spans="1:9" s="64" customFormat="1" ht="15.6" customHeight="1" x14ac:dyDescent="0.25">
      <c r="A7" s="18"/>
      <c r="B7" s="70"/>
      <c r="C7" s="18"/>
      <c r="D7" s="18"/>
      <c r="E7" s="18"/>
      <c r="F7" s="18"/>
      <c r="G7" s="18"/>
      <c r="H7" s="18"/>
      <c r="I7" s="18"/>
    </row>
    <row r="8" spans="1:9" s="64" customFormat="1" ht="15.75" x14ac:dyDescent="0.25">
      <c r="A8" s="46" t="s">
        <v>46</v>
      </c>
      <c r="B8" s="46" t="s">
        <v>47</v>
      </c>
      <c r="C8" s="46" t="s">
        <v>48</v>
      </c>
      <c r="D8" s="46" t="s">
        <v>167</v>
      </c>
      <c r="E8" s="46" t="s">
        <v>168</v>
      </c>
      <c r="F8" s="46" t="s">
        <v>169</v>
      </c>
      <c r="G8" s="46" t="s">
        <v>51</v>
      </c>
      <c r="H8" s="46"/>
      <c r="I8" s="46" t="s">
        <v>170</v>
      </c>
    </row>
    <row r="9" spans="1:9" s="64" customFormat="1" ht="63" x14ac:dyDescent="0.25">
      <c r="A9" s="46"/>
      <c r="B9" s="46"/>
      <c r="C9" s="46"/>
      <c r="D9" s="46"/>
      <c r="E9" s="46"/>
      <c r="F9" s="46"/>
      <c r="G9" s="43" t="s">
        <v>171</v>
      </c>
      <c r="H9" s="43" t="s">
        <v>54</v>
      </c>
      <c r="I9" s="46"/>
    </row>
    <row r="10" spans="1:9" ht="15.75" x14ac:dyDescent="0.25">
      <c r="A10" s="71">
        <v>1</v>
      </c>
      <c r="B10" s="44" t="s">
        <v>104</v>
      </c>
      <c r="C10" s="71"/>
      <c r="D10" s="44">
        <v>71</v>
      </c>
      <c r="E10" s="71"/>
      <c r="F10" s="71">
        <v>10</v>
      </c>
      <c r="G10" s="71"/>
      <c r="H10" s="71"/>
      <c r="I10" s="71"/>
    </row>
    <row r="11" spans="1:9" ht="15.75" x14ac:dyDescent="0.25">
      <c r="A11" s="71">
        <v>2</v>
      </c>
      <c r="B11" s="44" t="s">
        <v>104</v>
      </c>
      <c r="C11" s="71"/>
      <c r="D11" s="44">
        <v>32</v>
      </c>
      <c r="E11" s="71"/>
      <c r="F11" s="71">
        <v>8</v>
      </c>
      <c r="G11" s="71"/>
      <c r="H11" s="71"/>
      <c r="I11" s="71"/>
    </row>
    <row r="12" spans="1:9" ht="15.75" x14ac:dyDescent="0.25">
      <c r="A12" s="71">
        <v>3</v>
      </c>
      <c r="B12" s="44" t="s">
        <v>105</v>
      </c>
      <c r="C12" s="71"/>
      <c r="D12" s="44">
        <v>36</v>
      </c>
      <c r="E12" s="71"/>
      <c r="F12" s="71">
        <v>9</v>
      </c>
      <c r="G12" s="71"/>
      <c r="H12" s="71"/>
      <c r="I12" s="71"/>
    </row>
    <row r="13" spans="1:9" ht="15.75" x14ac:dyDescent="0.25">
      <c r="A13" s="71">
        <v>4</v>
      </c>
      <c r="B13" s="44" t="s">
        <v>106</v>
      </c>
      <c r="C13" s="71"/>
      <c r="D13" s="44">
        <v>58</v>
      </c>
      <c r="E13" s="71"/>
      <c r="F13" s="71">
        <v>10</v>
      </c>
      <c r="G13" s="71"/>
      <c r="H13" s="71"/>
      <c r="I13" s="71"/>
    </row>
    <row r="14" spans="1:9" ht="15.75" x14ac:dyDescent="0.25">
      <c r="A14" s="71">
        <v>5</v>
      </c>
      <c r="B14" s="44" t="s">
        <v>134</v>
      </c>
      <c r="C14" s="71"/>
      <c r="D14" s="44">
        <v>36</v>
      </c>
      <c r="E14" s="71"/>
      <c r="F14" s="71">
        <v>7.5</v>
      </c>
      <c r="G14" s="71"/>
      <c r="H14" s="71"/>
      <c r="I14" s="71"/>
    </row>
    <row r="15" spans="1:9" ht="15.75" x14ac:dyDescent="0.25">
      <c r="A15" s="71">
        <v>6</v>
      </c>
      <c r="B15" s="44" t="s">
        <v>106</v>
      </c>
      <c r="C15" s="71"/>
      <c r="D15" s="44">
        <v>33</v>
      </c>
      <c r="E15" s="71"/>
      <c r="F15" s="71">
        <v>10</v>
      </c>
      <c r="G15" s="71"/>
      <c r="H15" s="71"/>
      <c r="I15" s="71"/>
    </row>
    <row r="16" spans="1:9" ht="15.75" x14ac:dyDescent="0.25">
      <c r="A16" s="71">
        <v>7</v>
      </c>
      <c r="B16" s="44" t="s">
        <v>107</v>
      </c>
      <c r="C16" s="71"/>
      <c r="D16" s="44">
        <v>73</v>
      </c>
      <c r="E16" s="71"/>
      <c r="F16" s="71">
        <v>8.5</v>
      </c>
      <c r="G16" s="71"/>
      <c r="H16" s="71"/>
      <c r="I16" s="71"/>
    </row>
    <row r="17" spans="1:9" ht="15.75" x14ac:dyDescent="0.25">
      <c r="A17" s="71">
        <v>8</v>
      </c>
      <c r="B17" s="44" t="s">
        <v>107</v>
      </c>
      <c r="C17" s="71"/>
      <c r="D17" s="44">
        <v>64</v>
      </c>
      <c r="E17" s="71"/>
      <c r="F17" s="71">
        <v>6.5</v>
      </c>
      <c r="G17" s="71"/>
      <c r="H17" s="71"/>
      <c r="I17" s="71"/>
    </row>
    <row r="18" spans="1:9" ht="15.75" x14ac:dyDescent="0.25">
      <c r="A18" s="71">
        <v>9</v>
      </c>
      <c r="B18" s="44" t="s">
        <v>106</v>
      </c>
      <c r="C18" s="71"/>
      <c r="D18" s="44">
        <v>46</v>
      </c>
      <c r="E18" s="71"/>
      <c r="F18" s="71">
        <v>9.5</v>
      </c>
      <c r="G18" s="71"/>
      <c r="H18" s="71"/>
      <c r="I18" s="71"/>
    </row>
    <row r="19" spans="1:9" ht="15.75" x14ac:dyDescent="0.25">
      <c r="A19" s="71">
        <v>10</v>
      </c>
      <c r="B19" s="44" t="s">
        <v>106</v>
      </c>
      <c r="C19" s="71"/>
      <c r="D19" s="44">
        <v>84</v>
      </c>
      <c r="E19" s="71"/>
      <c r="F19" s="71">
        <v>13</v>
      </c>
      <c r="G19" s="71"/>
      <c r="H19" s="71"/>
      <c r="I19" s="71"/>
    </row>
    <row r="20" spans="1:9" ht="15.75" x14ac:dyDescent="0.25">
      <c r="A20" s="71">
        <v>11</v>
      </c>
      <c r="B20" s="44" t="s">
        <v>108</v>
      </c>
      <c r="C20" s="71"/>
      <c r="D20" s="44">
        <v>47</v>
      </c>
      <c r="E20" s="71"/>
      <c r="F20" s="71">
        <v>10</v>
      </c>
      <c r="G20" s="71"/>
      <c r="H20" s="71"/>
      <c r="I20" s="71"/>
    </row>
    <row r="21" spans="1:9" ht="15.75" x14ac:dyDescent="0.25">
      <c r="A21" s="71">
        <v>12</v>
      </c>
      <c r="B21" s="44" t="s">
        <v>109</v>
      </c>
      <c r="C21" s="71"/>
      <c r="D21" s="44">
        <v>45</v>
      </c>
      <c r="E21" s="71"/>
      <c r="F21" s="71">
        <v>7.5</v>
      </c>
      <c r="G21" s="71"/>
      <c r="H21" s="71"/>
      <c r="I21" s="71"/>
    </row>
    <row r="22" spans="1:9" ht="15.75" x14ac:dyDescent="0.25">
      <c r="A22" s="71">
        <v>13</v>
      </c>
      <c r="B22" s="44" t="s">
        <v>110</v>
      </c>
      <c r="C22" s="71"/>
      <c r="D22" s="44">
        <v>51</v>
      </c>
      <c r="E22" s="71"/>
      <c r="F22" s="71">
        <v>11</v>
      </c>
      <c r="G22" s="71"/>
      <c r="H22" s="71"/>
      <c r="I22" s="71"/>
    </row>
    <row r="23" spans="1:9" ht="15.75" x14ac:dyDescent="0.25">
      <c r="A23" s="71">
        <v>14</v>
      </c>
      <c r="B23" s="44" t="s">
        <v>111</v>
      </c>
      <c r="C23" s="71"/>
      <c r="D23" s="44">
        <v>107</v>
      </c>
      <c r="E23" s="71"/>
      <c r="F23" s="71">
        <v>13</v>
      </c>
      <c r="G23" s="71"/>
      <c r="H23" s="71"/>
      <c r="I23" s="71"/>
    </row>
    <row r="24" spans="1:9" ht="15.75" x14ac:dyDescent="0.25">
      <c r="A24" s="71">
        <v>15</v>
      </c>
      <c r="B24" s="44" t="s">
        <v>112</v>
      </c>
      <c r="C24" s="71"/>
      <c r="D24" s="44">
        <v>73</v>
      </c>
      <c r="E24" s="71"/>
      <c r="F24" s="71">
        <v>15</v>
      </c>
      <c r="G24" s="71"/>
      <c r="H24" s="71"/>
      <c r="I24" s="71"/>
    </row>
    <row r="25" spans="1:9" ht="15.75" x14ac:dyDescent="0.25">
      <c r="A25" s="71">
        <v>16</v>
      </c>
      <c r="B25" s="44" t="s">
        <v>106</v>
      </c>
      <c r="C25" s="71"/>
      <c r="D25" s="44">
        <v>53</v>
      </c>
      <c r="E25" s="71"/>
      <c r="F25" s="71">
        <v>15</v>
      </c>
      <c r="G25" s="71"/>
      <c r="H25" s="71"/>
      <c r="I25" s="71"/>
    </row>
  </sheetData>
  <mergeCells count="20">
    <mergeCell ref="G8:H8"/>
    <mergeCell ref="I8:I9"/>
    <mergeCell ref="A8:A9"/>
    <mergeCell ref="B8:B9"/>
    <mergeCell ref="C8:C9"/>
    <mergeCell ref="D8:D9"/>
    <mergeCell ref="E8:E9"/>
    <mergeCell ref="F8:F9"/>
    <mergeCell ref="A5:C5"/>
    <mergeCell ref="D5:G5"/>
    <mergeCell ref="H5:I5"/>
    <mergeCell ref="A6:C6"/>
    <mergeCell ref="D6:G6"/>
    <mergeCell ref="H6:I6"/>
    <mergeCell ref="A1:I1"/>
    <mergeCell ref="A2:I2"/>
    <mergeCell ref="A3:I3"/>
    <mergeCell ref="A4:C4"/>
    <mergeCell ref="D4:G4"/>
    <mergeCell ref="H4:I4"/>
  </mergeCells>
  <printOptions horizontalCentered="1"/>
  <pageMargins left="0.17" right="0.17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8802-4398-4D8D-B165-555DFADC3670}">
  <dimension ref="A1:Q10"/>
  <sheetViews>
    <sheetView workbookViewId="0">
      <selection activeCell="I28" sqref="I28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3" customFormat="1" ht="20.25" x14ac:dyDescent="0.25">
      <c r="A1" s="72" t="s">
        <v>177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 s="73" customFormat="1" ht="20.25" x14ac:dyDescent="0.25">
      <c r="A2" s="72" t="s">
        <v>178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17" s="73" customFormat="1" x14ac:dyDescent="0.25">
      <c r="A3" s="74"/>
    </row>
    <row r="4" spans="1:17" s="73" customFormat="1" ht="15.75" thickBot="1" x14ac:dyDescent="0.3">
      <c r="A4" s="74"/>
    </row>
    <row r="5" spans="1:17" s="73" customFormat="1" ht="16.5" thickBot="1" x14ac:dyDescent="0.3">
      <c r="A5" s="75" t="s">
        <v>46</v>
      </c>
      <c r="B5" s="75" t="s">
        <v>47</v>
      </c>
      <c r="C5" s="75" t="s">
        <v>48</v>
      </c>
      <c r="D5" s="75" t="s">
        <v>179</v>
      </c>
      <c r="E5" s="76" t="s">
        <v>180</v>
      </c>
      <c r="F5" s="77"/>
      <c r="G5" s="77"/>
      <c r="H5" s="77"/>
      <c r="I5" s="77"/>
      <c r="J5" s="77"/>
      <c r="K5" s="77"/>
      <c r="L5" s="77"/>
      <c r="M5" s="78"/>
      <c r="N5" s="75" t="s">
        <v>181</v>
      </c>
      <c r="O5" s="76" t="s">
        <v>182</v>
      </c>
      <c r="P5" s="78"/>
      <c r="Q5" s="75" t="s">
        <v>183</v>
      </c>
    </row>
    <row r="6" spans="1:17" s="73" customFormat="1" ht="15.75" x14ac:dyDescent="0.25">
      <c r="A6" s="79"/>
      <c r="B6" s="79"/>
      <c r="C6" s="79"/>
      <c r="D6" s="79"/>
      <c r="E6" s="80" t="s">
        <v>184</v>
      </c>
      <c r="F6" s="81"/>
      <c r="G6" s="82"/>
      <c r="H6" s="80" t="s">
        <v>185</v>
      </c>
      <c r="I6" s="81"/>
      <c r="J6" s="82"/>
      <c r="K6" s="80" t="s">
        <v>186</v>
      </c>
      <c r="L6" s="81"/>
      <c r="M6" s="82"/>
      <c r="N6" s="79"/>
      <c r="O6" s="75" t="s">
        <v>187</v>
      </c>
      <c r="P6" s="75" t="s">
        <v>188</v>
      </c>
      <c r="Q6" s="79"/>
    </row>
    <row r="7" spans="1:17" s="73" customFormat="1" ht="16.5" thickBot="1" x14ac:dyDescent="0.3">
      <c r="A7" s="79"/>
      <c r="B7" s="79"/>
      <c r="C7" s="83"/>
      <c r="D7" s="79"/>
      <c r="E7" s="84" t="s">
        <v>189</v>
      </c>
      <c r="F7" s="85"/>
      <c r="G7" s="86"/>
      <c r="H7" s="84" t="s">
        <v>190</v>
      </c>
      <c r="I7" s="85"/>
      <c r="J7" s="86"/>
      <c r="K7" s="84" t="s">
        <v>189</v>
      </c>
      <c r="L7" s="85"/>
      <c r="M7" s="86"/>
      <c r="N7" s="79"/>
      <c r="O7" s="79"/>
      <c r="P7" s="79"/>
      <c r="Q7" s="79"/>
    </row>
    <row r="8" spans="1:17" s="73" customFormat="1" ht="16.5" thickBot="1" x14ac:dyDescent="0.3">
      <c r="A8" s="87"/>
      <c r="B8" s="87"/>
      <c r="C8" s="87"/>
      <c r="D8" s="87"/>
      <c r="E8" s="88" t="s">
        <v>191</v>
      </c>
      <c r="F8" s="88" t="s">
        <v>192</v>
      </c>
      <c r="G8" s="88" t="s">
        <v>193</v>
      </c>
      <c r="H8" s="88" t="s">
        <v>191</v>
      </c>
      <c r="I8" s="88" t="s">
        <v>192</v>
      </c>
      <c r="J8" s="88" t="s">
        <v>193</v>
      </c>
      <c r="K8" s="88" t="s">
        <v>191</v>
      </c>
      <c r="L8" s="88" t="s">
        <v>192</v>
      </c>
      <c r="M8" s="88" t="s">
        <v>193</v>
      </c>
      <c r="N8" s="87"/>
      <c r="O8" s="87"/>
      <c r="P8" s="87"/>
      <c r="Q8" s="87"/>
    </row>
    <row r="9" spans="1:17" s="73" customFormat="1" ht="15.75" x14ac:dyDescent="0.25">
      <c r="A9" s="43">
        <v>1</v>
      </c>
      <c r="B9" s="89" t="s">
        <v>194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1"/>
    </row>
    <row r="10" spans="1:17" s="73" customFormat="1" x14ac:dyDescent="0.25"/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view="pageBreakPreview" zoomScaleSheetLayoutView="100" workbookViewId="0">
      <selection activeCell="B21" sqref="B21:G22"/>
    </sheetView>
  </sheetViews>
  <sheetFormatPr defaultRowHeight="15.75" x14ac:dyDescent="0.25"/>
  <cols>
    <col min="1" max="1" width="6.85546875" style="12" bestFit="1" customWidth="1"/>
    <col min="2" max="2" width="26.42578125" style="12" bestFit="1" customWidth="1"/>
    <col min="3" max="3" width="12" style="12" bestFit="1" customWidth="1"/>
    <col min="4" max="4" width="9.28515625" style="12" customWidth="1"/>
    <col min="5" max="5" width="7.7109375" style="12" customWidth="1"/>
    <col min="6" max="7" width="9.140625" style="12"/>
    <col min="8" max="8" width="18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1" t="s">
        <v>43</v>
      </c>
      <c r="B1" s="51"/>
      <c r="C1" s="51"/>
      <c r="D1" s="51"/>
      <c r="E1" s="51"/>
      <c r="F1" s="51"/>
      <c r="G1" s="51"/>
      <c r="H1" s="51"/>
    </row>
    <row r="2" spans="1:8" s="22" customFormat="1" x14ac:dyDescent="0.25">
      <c r="B2" s="23" t="s">
        <v>44</v>
      </c>
      <c r="F2" s="52" t="s">
        <v>45</v>
      </c>
      <c r="G2" s="52"/>
      <c r="H2" s="52"/>
    </row>
    <row r="3" spans="1:8" x14ac:dyDescent="0.25">
      <c r="A3" s="53" t="s">
        <v>46</v>
      </c>
      <c r="B3" s="53" t="s">
        <v>47</v>
      </c>
      <c r="C3" s="53" t="s">
        <v>48</v>
      </c>
      <c r="D3" s="53" t="s">
        <v>49</v>
      </c>
      <c r="E3" s="53" t="s">
        <v>50</v>
      </c>
      <c r="F3" s="55" t="s">
        <v>51</v>
      </c>
      <c r="G3" s="55"/>
      <c r="H3" s="53" t="s">
        <v>52</v>
      </c>
    </row>
    <row r="4" spans="1:8" ht="63" x14ac:dyDescent="0.25">
      <c r="A4" s="54"/>
      <c r="B4" s="54"/>
      <c r="C4" s="54"/>
      <c r="D4" s="54"/>
      <c r="E4" s="54"/>
      <c r="F4" s="17" t="s">
        <v>53</v>
      </c>
      <c r="G4" s="17" t="s">
        <v>54</v>
      </c>
      <c r="H4" s="54"/>
    </row>
    <row r="5" spans="1:8" x14ac:dyDescent="0.25">
      <c r="A5" s="10">
        <v>1</v>
      </c>
      <c r="B5" s="11" t="s">
        <v>118</v>
      </c>
      <c r="C5" s="11" t="s">
        <v>140</v>
      </c>
      <c r="D5" s="11">
        <v>4.5</v>
      </c>
      <c r="E5" s="11">
        <v>8</v>
      </c>
      <c r="F5" s="11" t="s">
        <v>160</v>
      </c>
      <c r="G5" s="11">
        <f>D5*E5</f>
        <v>36</v>
      </c>
      <c r="H5" s="11"/>
    </row>
    <row r="6" spans="1:8" x14ac:dyDescent="0.25">
      <c r="A6" s="10">
        <v>2</v>
      </c>
      <c r="B6" s="11" t="s">
        <v>119</v>
      </c>
      <c r="C6" s="11" t="s">
        <v>141</v>
      </c>
      <c r="D6" s="11">
        <v>6</v>
      </c>
      <c r="E6" s="11">
        <v>6.7</v>
      </c>
      <c r="F6" s="11" t="s">
        <v>158</v>
      </c>
      <c r="G6" s="11">
        <f>D6*E6</f>
        <v>40.200000000000003</v>
      </c>
      <c r="H6" s="11"/>
    </row>
    <row r="7" spans="1:8" x14ac:dyDescent="0.25">
      <c r="A7" s="24"/>
      <c r="B7" s="25"/>
      <c r="C7" s="26"/>
      <c r="D7" s="27"/>
      <c r="E7" s="28"/>
    </row>
    <row r="8" spans="1:8" x14ac:dyDescent="0.25">
      <c r="A8" s="55" t="s">
        <v>55</v>
      </c>
      <c r="B8" s="55"/>
      <c r="C8" s="55"/>
      <c r="D8" s="55"/>
      <c r="E8" s="55"/>
      <c r="F8" s="55"/>
      <c r="G8" s="55"/>
      <c r="H8" s="55"/>
    </row>
    <row r="9" spans="1:8" ht="38.25" customHeight="1" x14ac:dyDescent="0.25">
      <c r="A9" s="10">
        <v>1</v>
      </c>
      <c r="B9" s="56" t="s">
        <v>56</v>
      </c>
      <c r="C9" s="56"/>
      <c r="D9" s="56"/>
      <c r="E9" s="56"/>
      <c r="F9" s="56"/>
      <c r="G9" s="56"/>
      <c r="H9" s="29" t="s">
        <v>137</v>
      </c>
    </row>
    <row r="10" spans="1:8" x14ac:dyDescent="0.25">
      <c r="A10" s="10">
        <v>2</v>
      </c>
      <c r="B10" s="56" t="s">
        <v>57</v>
      </c>
      <c r="C10" s="56"/>
      <c r="D10" s="56"/>
      <c r="E10" s="56"/>
      <c r="F10" s="56"/>
      <c r="G10" s="56"/>
      <c r="H10" s="29" t="s">
        <v>138</v>
      </c>
    </row>
    <row r="11" spans="1:8" x14ac:dyDescent="0.25">
      <c r="A11" s="10">
        <v>3</v>
      </c>
      <c r="B11" s="56" t="s">
        <v>58</v>
      </c>
      <c r="C11" s="56"/>
      <c r="D11" s="56"/>
      <c r="E11" s="56"/>
      <c r="F11" s="56"/>
      <c r="G11" s="56"/>
      <c r="H11" s="29" t="s">
        <v>120</v>
      </c>
    </row>
    <row r="12" spans="1:8" x14ac:dyDescent="0.25">
      <c r="A12" s="24"/>
      <c r="B12" s="24"/>
      <c r="C12" s="24"/>
      <c r="D12" s="24"/>
      <c r="E12" s="24"/>
      <c r="F12" s="24"/>
      <c r="G12" s="24"/>
      <c r="H12" s="30"/>
    </row>
    <row r="13" spans="1:8" x14ac:dyDescent="0.25">
      <c r="B13" s="31" t="str">
        <f>B2</f>
        <v xml:space="preserve">    Grid No:  </v>
      </c>
      <c r="F13" s="31" t="s">
        <v>59</v>
      </c>
      <c r="G13" s="31"/>
    </row>
    <row r="14" spans="1:8" x14ac:dyDescent="0.25">
      <c r="A14" s="55" t="s">
        <v>46</v>
      </c>
      <c r="B14" s="55" t="s">
        <v>47</v>
      </c>
      <c r="C14" s="55" t="s">
        <v>48</v>
      </c>
      <c r="D14" s="53" t="s">
        <v>49</v>
      </c>
      <c r="E14" s="55" t="s">
        <v>50</v>
      </c>
      <c r="F14" s="55" t="s">
        <v>51</v>
      </c>
      <c r="G14" s="55"/>
      <c r="H14" s="55" t="s">
        <v>52</v>
      </c>
    </row>
    <row r="15" spans="1:8" ht="63" x14ac:dyDescent="0.25">
      <c r="A15" s="55"/>
      <c r="B15" s="55"/>
      <c r="C15" s="55"/>
      <c r="D15" s="54"/>
      <c r="E15" s="55"/>
      <c r="F15" s="17" t="s">
        <v>53</v>
      </c>
      <c r="G15" s="17" t="s">
        <v>54</v>
      </c>
      <c r="H15" s="55"/>
    </row>
    <row r="16" spans="1:8" x14ac:dyDescent="0.25">
      <c r="A16" s="10">
        <v>1</v>
      </c>
      <c r="B16" s="17" t="s">
        <v>121</v>
      </c>
      <c r="C16" s="17" t="s">
        <v>142</v>
      </c>
      <c r="D16" s="17">
        <v>3.5</v>
      </c>
      <c r="E16" s="17">
        <v>4</v>
      </c>
      <c r="F16" s="17" t="s">
        <v>159</v>
      </c>
      <c r="G16" s="11">
        <f>D16*E16</f>
        <v>14</v>
      </c>
      <c r="H16" s="17"/>
    </row>
    <row r="17" spans="1:8" x14ac:dyDescent="0.25">
      <c r="A17" s="24"/>
      <c r="B17" s="32"/>
      <c r="C17" s="33"/>
      <c r="D17" s="24"/>
      <c r="E17" s="24"/>
      <c r="F17" s="24"/>
      <c r="G17" s="24"/>
      <c r="H17" s="24"/>
    </row>
    <row r="18" spans="1:8" x14ac:dyDescent="0.25">
      <c r="A18" s="55" t="s">
        <v>55</v>
      </c>
      <c r="B18" s="55"/>
      <c r="C18" s="55"/>
      <c r="D18" s="55"/>
      <c r="E18" s="55"/>
      <c r="F18" s="55"/>
      <c r="G18" s="55"/>
      <c r="H18" s="55"/>
    </row>
    <row r="19" spans="1:8" ht="32.25" customHeight="1" x14ac:dyDescent="0.25">
      <c r="A19" s="10">
        <v>1</v>
      </c>
      <c r="B19" s="56" t="s">
        <v>56</v>
      </c>
      <c r="C19" s="56"/>
      <c r="D19" s="56"/>
      <c r="E19" s="56"/>
      <c r="F19" s="56"/>
      <c r="G19" s="56"/>
      <c r="H19" s="10" t="s">
        <v>135</v>
      </c>
    </row>
    <row r="20" spans="1:8" x14ac:dyDescent="0.25">
      <c r="A20" s="10">
        <v>2</v>
      </c>
      <c r="B20" s="56" t="s">
        <v>57</v>
      </c>
      <c r="C20" s="56"/>
      <c r="D20" s="56"/>
      <c r="E20" s="56"/>
      <c r="F20" s="56"/>
      <c r="G20" s="56"/>
      <c r="H20" s="10" t="s">
        <v>136</v>
      </c>
    </row>
    <row r="21" spans="1:8" x14ac:dyDescent="0.25">
      <c r="A21" s="10">
        <v>3</v>
      </c>
      <c r="B21" s="56" t="s">
        <v>58</v>
      </c>
      <c r="C21" s="56"/>
      <c r="D21" s="56"/>
      <c r="E21" s="56"/>
      <c r="F21" s="56"/>
      <c r="G21" s="56"/>
      <c r="H21" s="10">
        <v>0</v>
      </c>
    </row>
    <row r="22" spans="1:8" x14ac:dyDescent="0.25">
      <c r="A22" s="24"/>
      <c r="B22" s="33"/>
      <c r="C22" s="33"/>
      <c r="D22" s="33"/>
      <c r="E22" s="33"/>
      <c r="F22" s="33"/>
      <c r="G22" s="33"/>
      <c r="H22" s="30"/>
    </row>
    <row r="23" spans="1:8" x14ac:dyDescent="0.25">
      <c r="B23" s="31" t="str">
        <f>B2</f>
        <v xml:space="preserve">    Grid No:  </v>
      </c>
      <c r="F23" s="23" t="s">
        <v>73</v>
      </c>
      <c r="G23" s="23"/>
    </row>
    <row r="24" spans="1:8" x14ac:dyDescent="0.25">
      <c r="A24" s="55" t="s">
        <v>46</v>
      </c>
      <c r="B24" s="55" t="s">
        <v>47</v>
      </c>
      <c r="C24" s="55" t="s">
        <v>48</v>
      </c>
      <c r="D24" s="53" t="s">
        <v>49</v>
      </c>
      <c r="E24" s="55" t="s">
        <v>50</v>
      </c>
      <c r="F24" s="55" t="s">
        <v>51</v>
      </c>
      <c r="G24" s="55"/>
      <c r="H24" s="55" t="s">
        <v>52</v>
      </c>
    </row>
    <row r="25" spans="1:8" ht="63" x14ac:dyDescent="0.25">
      <c r="A25" s="55"/>
      <c r="B25" s="55"/>
      <c r="C25" s="55"/>
      <c r="D25" s="54"/>
      <c r="E25" s="55"/>
      <c r="F25" s="17" t="s">
        <v>53</v>
      </c>
      <c r="G25" s="17" t="s">
        <v>54</v>
      </c>
      <c r="H25" s="55"/>
    </row>
    <row r="26" spans="1:8" s="22" customFormat="1" x14ac:dyDescent="0.25">
      <c r="A26" s="10">
        <v>1</v>
      </c>
      <c r="B26" s="34" t="s">
        <v>122</v>
      </c>
      <c r="C26" s="10"/>
      <c r="D26" s="10"/>
      <c r="E26" s="10"/>
      <c r="F26" s="10"/>
      <c r="G26" s="10"/>
      <c r="H26" s="10"/>
    </row>
    <row r="27" spans="1:8" x14ac:dyDescent="0.25">
      <c r="A27" s="24"/>
      <c r="B27" s="24"/>
      <c r="C27" s="24"/>
      <c r="D27" s="24"/>
      <c r="E27" s="24"/>
      <c r="F27" s="24"/>
      <c r="G27" s="24"/>
      <c r="H27" s="24"/>
    </row>
    <row r="28" spans="1:8" x14ac:dyDescent="0.25">
      <c r="B28" s="31" t="str">
        <f>B2</f>
        <v xml:space="preserve">    Grid No:  </v>
      </c>
      <c r="F28" s="57" t="s">
        <v>74</v>
      </c>
      <c r="G28" s="57"/>
      <c r="H28" s="57"/>
    </row>
    <row r="29" spans="1:8" x14ac:dyDescent="0.25">
      <c r="A29" s="53" t="s">
        <v>46</v>
      </c>
      <c r="B29" s="53" t="s">
        <v>47</v>
      </c>
      <c r="C29" s="53" t="s">
        <v>48</v>
      </c>
      <c r="D29" s="53" t="s">
        <v>49</v>
      </c>
      <c r="E29" s="53" t="s">
        <v>50</v>
      </c>
      <c r="F29" s="58" t="s">
        <v>51</v>
      </c>
      <c r="G29" s="59"/>
      <c r="H29" s="53" t="s">
        <v>52</v>
      </c>
    </row>
    <row r="30" spans="1:8" ht="63" x14ac:dyDescent="0.25">
      <c r="A30" s="54"/>
      <c r="B30" s="54"/>
      <c r="C30" s="54"/>
      <c r="D30" s="54"/>
      <c r="E30" s="54"/>
      <c r="F30" s="17" t="s">
        <v>53</v>
      </c>
      <c r="G30" s="17" t="s">
        <v>54</v>
      </c>
      <c r="H30" s="54"/>
    </row>
    <row r="31" spans="1:8" s="22" customFormat="1" x14ac:dyDescent="0.25">
      <c r="A31" s="35">
        <v>1</v>
      </c>
      <c r="B31" s="34" t="s">
        <v>119</v>
      </c>
      <c r="C31" s="10" t="s">
        <v>143</v>
      </c>
      <c r="D31" s="35">
        <v>4</v>
      </c>
      <c r="E31" s="36">
        <v>6</v>
      </c>
      <c r="F31" s="21" t="s">
        <v>158</v>
      </c>
      <c r="G31" s="11">
        <f t="shared" ref="G31:G32" si="0">D31*E31</f>
        <v>24</v>
      </c>
      <c r="H31" s="21"/>
    </row>
    <row r="32" spans="1:8" s="22" customFormat="1" x14ac:dyDescent="0.25">
      <c r="A32" s="35">
        <v>2</v>
      </c>
      <c r="B32" s="34" t="s">
        <v>123</v>
      </c>
      <c r="C32" s="10" t="s">
        <v>144</v>
      </c>
      <c r="D32" s="35">
        <v>2.5</v>
      </c>
      <c r="E32" s="36">
        <v>3.5</v>
      </c>
      <c r="F32" s="21" t="s">
        <v>155</v>
      </c>
      <c r="G32" s="11">
        <f t="shared" si="0"/>
        <v>8.75</v>
      </c>
      <c r="H32" s="21"/>
    </row>
  </sheetData>
  <mergeCells count="39">
    <mergeCell ref="H24:H25"/>
    <mergeCell ref="F28:H28"/>
    <mergeCell ref="A29:A30"/>
    <mergeCell ref="B29:B30"/>
    <mergeCell ref="C29:C30"/>
    <mergeCell ref="D29:D30"/>
    <mergeCell ref="E29:E30"/>
    <mergeCell ref="F29:G29"/>
    <mergeCell ref="H29:H30"/>
    <mergeCell ref="A24:A25"/>
    <mergeCell ref="B24:B25"/>
    <mergeCell ref="C24:C25"/>
    <mergeCell ref="D24:D25"/>
    <mergeCell ref="E24:E25"/>
    <mergeCell ref="F24:G24"/>
    <mergeCell ref="H14:H15"/>
    <mergeCell ref="A18:H18"/>
    <mergeCell ref="B19:G19"/>
    <mergeCell ref="B20:G20"/>
    <mergeCell ref="B21:G21"/>
    <mergeCell ref="A14:A15"/>
    <mergeCell ref="B14:B15"/>
    <mergeCell ref="C14:C15"/>
    <mergeCell ref="D14:D15"/>
    <mergeCell ref="E14:E15"/>
    <mergeCell ref="F14:G14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8:H8"/>
    <mergeCell ref="B9:G9"/>
    <mergeCell ref="B10:G10"/>
    <mergeCell ref="B11:G11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tabSelected="1" view="pageBreakPreview" zoomScaleNormal="85" workbookViewId="0">
      <selection activeCell="B29" sqref="B29"/>
    </sheetView>
  </sheetViews>
  <sheetFormatPr defaultRowHeight="15.75" x14ac:dyDescent="0.25"/>
  <cols>
    <col min="1" max="1" width="4" style="12" bestFit="1" customWidth="1"/>
    <col min="2" max="2" width="23.5703125" style="12" bestFit="1" customWidth="1"/>
    <col min="3" max="3" width="13.85546875" style="26" bestFit="1" customWidth="1"/>
    <col min="4" max="4" width="9.140625" style="12"/>
    <col min="5" max="6" width="10.28515625" style="12" customWidth="1"/>
    <col min="7" max="7" width="14.7109375" style="12" customWidth="1"/>
    <col min="8" max="16384" width="9.140625" style="12"/>
  </cols>
  <sheetData>
    <row r="1" spans="1:7" x14ac:dyDescent="0.25">
      <c r="A1" s="51" t="s">
        <v>60</v>
      </c>
      <c r="B1" s="51"/>
      <c r="C1" s="51"/>
      <c r="D1" s="51"/>
      <c r="E1" s="51"/>
      <c r="F1" s="51"/>
      <c r="G1" s="51"/>
    </row>
    <row r="2" spans="1:7" x14ac:dyDescent="0.25">
      <c r="E2" s="52" t="s">
        <v>45</v>
      </c>
      <c r="F2" s="52"/>
      <c r="G2" s="52"/>
    </row>
    <row r="3" spans="1:7" x14ac:dyDescent="0.25">
      <c r="A3" s="55" t="s">
        <v>46</v>
      </c>
      <c r="B3" s="55" t="s">
        <v>47</v>
      </c>
      <c r="C3" s="50" t="s">
        <v>48</v>
      </c>
      <c r="D3" s="55" t="s">
        <v>61</v>
      </c>
      <c r="E3" s="55" t="s">
        <v>51</v>
      </c>
      <c r="F3" s="55"/>
      <c r="G3" s="55" t="s">
        <v>62</v>
      </c>
    </row>
    <row r="4" spans="1:7" ht="31.5" x14ac:dyDescent="0.25">
      <c r="A4" s="55"/>
      <c r="B4" s="55"/>
      <c r="C4" s="50"/>
      <c r="D4" s="55"/>
      <c r="E4" s="17" t="s">
        <v>63</v>
      </c>
      <c r="F4" s="17" t="s">
        <v>64</v>
      </c>
      <c r="G4" s="55"/>
    </row>
    <row r="5" spans="1:7" x14ac:dyDescent="0.25">
      <c r="A5" s="55"/>
      <c r="B5" s="55"/>
      <c r="C5" s="50"/>
      <c r="D5" s="55"/>
      <c r="E5" s="17" t="s">
        <v>65</v>
      </c>
      <c r="F5" s="17" t="s">
        <v>71</v>
      </c>
      <c r="G5" s="55"/>
    </row>
    <row r="6" spans="1:7" x14ac:dyDescent="0.25">
      <c r="A6" s="10">
        <v>1</v>
      </c>
      <c r="B6" s="17" t="s">
        <v>113</v>
      </c>
      <c r="C6" s="17" t="s">
        <v>145</v>
      </c>
      <c r="D6" s="17">
        <v>20</v>
      </c>
      <c r="E6" s="17" t="s">
        <v>150</v>
      </c>
      <c r="F6" s="17">
        <f>0.05*(D6)*(D6)</f>
        <v>20</v>
      </c>
      <c r="G6" s="17"/>
    </row>
    <row r="7" spans="1:7" x14ac:dyDescent="0.25">
      <c r="A7" s="10">
        <v>2</v>
      </c>
      <c r="B7" s="17" t="s">
        <v>113</v>
      </c>
      <c r="C7" s="17" t="s">
        <v>145</v>
      </c>
      <c r="D7" s="17">
        <v>30</v>
      </c>
      <c r="E7" s="17" t="s">
        <v>157</v>
      </c>
      <c r="F7" s="17">
        <f t="shared" ref="F7:F9" si="0">0.05*(D7)*(D7)</f>
        <v>45</v>
      </c>
      <c r="G7" s="17"/>
    </row>
    <row r="8" spans="1:7" x14ac:dyDescent="0.25">
      <c r="A8" s="10">
        <v>3</v>
      </c>
      <c r="B8" s="17" t="s">
        <v>113</v>
      </c>
      <c r="C8" s="17" t="s">
        <v>145</v>
      </c>
      <c r="D8" s="17">
        <v>15</v>
      </c>
      <c r="E8" s="17"/>
      <c r="F8" s="17">
        <f t="shared" si="0"/>
        <v>11.25</v>
      </c>
      <c r="G8" s="17"/>
    </row>
    <row r="9" spans="1:7" x14ac:dyDescent="0.25">
      <c r="A9" s="10">
        <v>4</v>
      </c>
      <c r="B9" s="17" t="s">
        <v>113</v>
      </c>
      <c r="C9" s="17" t="s">
        <v>145</v>
      </c>
      <c r="D9" s="17">
        <v>25</v>
      </c>
      <c r="E9" s="17"/>
      <c r="F9" s="17">
        <f t="shared" si="0"/>
        <v>31.25</v>
      </c>
      <c r="G9" s="17"/>
    </row>
    <row r="10" spans="1:7" x14ac:dyDescent="0.25">
      <c r="A10" s="10">
        <v>5</v>
      </c>
      <c r="B10" s="17" t="s">
        <v>114</v>
      </c>
      <c r="C10" s="37"/>
      <c r="D10" s="17">
        <v>180</v>
      </c>
      <c r="E10" s="17" t="s">
        <v>155</v>
      </c>
      <c r="F10" s="17" t="s">
        <v>154</v>
      </c>
      <c r="G10" s="17"/>
    </row>
    <row r="11" spans="1:7" x14ac:dyDescent="0.25">
      <c r="A11" s="10">
        <v>6</v>
      </c>
      <c r="B11" s="17" t="s">
        <v>115</v>
      </c>
      <c r="C11" s="37" t="s">
        <v>146</v>
      </c>
      <c r="D11" s="17">
        <v>100</v>
      </c>
      <c r="E11" s="17" t="s">
        <v>156</v>
      </c>
      <c r="F11" s="17" t="s">
        <v>153</v>
      </c>
      <c r="G11" s="17"/>
    </row>
    <row r="12" spans="1:7" x14ac:dyDescent="0.25">
      <c r="A12" s="55" t="s">
        <v>55</v>
      </c>
      <c r="B12" s="55"/>
      <c r="C12" s="55"/>
      <c r="D12" s="55"/>
      <c r="E12" s="55"/>
      <c r="F12" s="55"/>
      <c r="G12" s="55"/>
    </row>
    <row r="13" spans="1:7" x14ac:dyDescent="0.25">
      <c r="A13" s="24"/>
      <c r="B13" s="30"/>
      <c r="C13" s="33"/>
      <c r="D13" s="24"/>
      <c r="E13" s="30"/>
      <c r="F13" s="30"/>
      <c r="G13" s="30"/>
    </row>
    <row r="14" spans="1:7" s="22" customFormat="1" x14ac:dyDescent="0.25">
      <c r="B14" s="38" t="s">
        <v>67</v>
      </c>
      <c r="C14" s="39"/>
      <c r="E14" s="51" t="s">
        <v>68</v>
      </c>
      <c r="F14" s="51"/>
      <c r="G14" s="51"/>
    </row>
    <row r="15" spans="1:7" x14ac:dyDescent="0.25">
      <c r="A15" s="55" t="s">
        <v>46</v>
      </c>
      <c r="B15" s="55" t="s">
        <v>47</v>
      </c>
      <c r="C15" s="60" t="s">
        <v>48</v>
      </c>
      <c r="D15" s="55" t="s">
        <v>61</v>
      </c>
      <c r="E15" s="55" t="s">
        <v>51</v>
      </c>
      <c r="F15" s="55"/>
      <c r="G15" s="55" t="s">
        <v>62</v>
      </c>
    </row>
    <row r="16" spans="1:7" ht="31.5" x14ac:dyDescent="0.25">
      <c r="A16" s="55"/>
      <c r="B16" s="55"/>
      <c r="C16" s="61"/>
      <c r="D16" s="55"/>
      <c r="E16" s="17" t="s">
        <v>63</v>
      </c>
      <c r="F16" s="17" t="s">
        <v>64</v>
      </c>
      <c r="G16" s="55"/>
    </row>
    <row r="17" spans="1:7" ht="31.5" x14ac:dyDescent="0.25">
      <c r="A17" s="55"/>
      <c r="B17" s="55"/>
      <c r="C17" s="62"/>
      <c r="D17" s="55"/>
      <c r="E17" s="17" t="s">
        <v>65</v>
      </c>
      <c r="F17" s="17" t="s">
        <v>66</v>
      </c>
      <c r="G17" s="55"/>
    </row>
    <row r="18" spans="1:7" s="22" customFormat="1" x14ac:dyDescent="0.25">
      <c r="A18" s="35">
        <v>1</v>
      </c>
      <c r="B18" s="21" t="s">
        <v>113</v>
      </c>
      <c r="C18" s="40" t="s">
        <v>145</v>
      </c>
      <c r="D18" s="35">
        <v>63</v>
      </c>
      <c r="E18" s="21" t="s">
        <v>150</v>
      </c>
      <c r="F18" s="17">
        <f t="shared" ref="F18:F21" si="1">0.05*(D18)*(D18)</f>
        <v>198.45000000000002</v>
      </c>
      <c r="G18" s="21"/>
    </row>
    <row r="19" spans="1:7" s="22" customFormat="1" x14ac:dyDescent="0.25">
      <c r="A19" s="35">
        <v>2</v>
      </c>
      <c r="B19" s="21" t="s">
        <v>116</v>
      </c>
      <c r="C19" s="40"/>
      <c r="D19" s="35">
        <v>340</v>
      </c>
      <c r="E19" s="21"/>
      <c r="F19" s="17" t="s">
        <v>149</v>
      </c>
      <c r="G19" s="21"/>
    </row>
    <row r="20" spans="1:7" s="22" customFormat="1" x14ac:dyDescent="0.25">
      <c r="A20" s="35">
        <v>3</v>
      </c>
      <c r="B20" s="21" t="s">
        <v>112</v>
      </c>
      <c r="C20" s="40" t="s">
        <v>147</v>
      </c>
      <c r="D20" s="35">
        <v>51</v>
      </c>
      <c r="E20" s="21" t="s">
        <v>151</v>
      </c>
      <c r="F20" s="17">
        <f t="shared" si="1"/>
        <v>130.05000000000001</v>
      </c>
      <c r="G20" s="21"/>
    </row>
    <row r="21" spans="1:7" s="22" customFormat="1" x14ac:dyDescent="0.25">
      <c r="A21" s="35">
        <v>4</v>
      </c>
      <c r="B21" s="21" t="s">
        <v>117</v>
      </c>
      <c r="C21" s="40" t="s">
        <v>148</v>
      </c>
      <c r="D21" s="35">
        <v>40</v>
      </c>
      <c r="E21" s="21" t="s">
        <v>152</v>
      </c>
      <c r="F21" s="17">
        <f t="shared" si="1"/>
        <v>80</v>
      </c>
      <c r="G21" s="21"/>
    </row>
  </sheetData>
  <mergeCells count="16">
    <mergeCell ref="A12:G12"/>
    <mergeCell ref="E14:G14"/>
    <mergeCell ref="A15:A17"/>
    <mergeCell ref="B15:B17"/>
    <mergeCell ref="C15:C17"/>
    <mergeCell ref="D15:D17"/>
    <mergeCell ref="E15:F15"/>
    <mergeCell ref="G15:G17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2024-10-25T10:26:24Z</cp:lastPrinted>
  <dcterms:created xsi:type="dcterms:W3CDTF">2023-09-21T06:16:02Z</dcterms:created>
  <dcterms:modified xsi:type="dcterms:W3CDTF">2024-10-25T10:26:25Z</dcterms:modified>
</cp:coreProperties>
</file>