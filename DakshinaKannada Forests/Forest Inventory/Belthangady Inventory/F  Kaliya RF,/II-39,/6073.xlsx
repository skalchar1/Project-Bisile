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Kaliya RF,\II-39,\"/>
    </mc:Choice>
  </mc:AlternateContent>
  <xr:revisionPtr revIDLastSave="0" documentId="13_ncr:1_{A19270C9-733A-49D5-B1E6-8E6C3D79F2F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8" l="1"/>
  <c r="G40" i="8"/>
  <c r="G39" i="8"/>
  <c r="G38" i="8"/>
  <c r="G37" i="8"/>
  <c r="G36" i="8"/>
  <c r="G35" i="8"/>
  <c r="G30" i="8"/>
  <c r="G29" i="8"/>
  <c r="G19" i="8"/>
  <c r="G18" i="8"/>
  <c r="G17" i="8"/>
  <c r="G7" i="8"/>
  <c r="G6" i="8"/>
  <c r="G5" i="8"/>
  <c r="F18" i="9"/>
  <c r="F17" i="9"/>
  <c r="F16" i="9"/>
  <c r="F15" i="9"/>
  <c r="F14" i="9"/>
  <c r="F7" i="9"/>
  <c r="F6" i="9"/>
  <c r="C5" i="5"/>
  <c r="C7" i="5"/>
  <c r="C8" i="5"/>
  <c r="C9" i="5"/>
  <c r="C10" i="5"/>
  <c r="B32" i="8"/>
  <c r="B26" i="8"/>
  <c r="B14" i="8"/>
</calcChain>
</file>

<file path=xl/sharedStrings.xml><?xml version="1.0" encoding="utf-8"?>
<sst xmlns="http://schemas.openxmlformats.org/spreadsheetml/2006/main" count="315" uniqueCount="194">
  <si>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</si>
  <si>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</si>
  <si>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</si>
  <si>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</si>
  <si>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</si>
  <si>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</si>
  <si>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</si>
  <si>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</si>
  <si>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</si>
  <si>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</si>
  <si>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</si>
  <si>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</si>
  <si>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</si>
  <si>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</si>
  <si>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</si>
  <si>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</si>
  <si>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</si>
  <si>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</si>
  <si>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</si>
  <si>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</si>
  <si>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</si>
  <si>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</si>
  <si>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</si>
  <si>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</si>
  <si>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</si>
  <si>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</si>
  <si>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</si>
  <si>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</si>
  <si>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</si>
  <si>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</si>
  <si>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</si>
  <si>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</si>
  <si>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</si>
  <si>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</si>
  <si>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</si>
  <si>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</si>
  <si>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</si>
  <si>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</si>
  <si>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</si>
  <si>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</si>
  <si>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</si>
  <si>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</si>
  <si>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</si>
  <si>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</si>
  <si>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</si>
  <si>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</si>
  <si>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</si>
  <si>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</si>
  <si>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</si>
  <si>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</si>
  <si>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</si>
  <si>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</si>
  <si>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</si>
  <si>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</si>
  <si>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</si>
  <si>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</si>
  <si>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</si>
  <si>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</si>
  <si>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</si>
  <si>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</si>
  <si>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</si>
  <si>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</si>
  <si>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</si>
  <si>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</si>
  <si>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</si>
  <si>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</si>
  <si>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</si>
  <si>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</si>
  <si>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</si>
  <si>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</si>
  <si>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</si>
  <si>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</si>
  <si>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</si>
  <si>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</si>
  <si>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</si>
  <si>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</si>
  <si>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Guruvayukere  upto   N  12.957781  E 75.274522   by vehicle then travel in the bearing of  358 degree upto a distance of    89 m to reach the grid.</t>
  </si>
  <si>
    <t xml:space="preserve">Acacia auriculiformis , Anacardium occidentale </t>
  </si>
  <si>
    <t>Tract - Genlty rolling</t>
  </si>
  <si>
    <t>Canopy Dencity - 0.65</t>
  </si>
  <si>
    <t>Soil - Red gravelly laterite soil</t>
  </si>
  <si>
    <t>Grasses -Opplessima grass, Digiteria sp , Panicum penicellum</t>
  </si>
  <si>
    <t xml:space="preserve">Weeds - Chromolaena odorata </t>
  </si>
  <si>
    <t>Herbs - Rubia tinctoria</t>
  </si>
  <si>
    <t xml:space="preserve">Shrubs - Rubia cossinia chinensis, Ziziphus oenoplia , Catunaregam spinosa </t>
  </si>
  <si>
    <t xml:space="preserve">Underwood species – Syzygium caryophyllateum , Tabernamontana heyneana , Buchanania lanzan ,Aporosa lindleyana </t>
  </si>
  <si>
    <t xml:space="preserve">Climbers - Getonia floribunda </t>
  </si>
  <si>
    <t>NTFP yieding sps – Buchanania lanzan , Catunaregam spinosa , Artocarpus heterophyllus</t>
  </si>
  <si>
    <t>376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</si>
  <si>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</si>
  <si>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</si>
  <si>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</si>
  <si>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</si>
  <si>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</si>
  <si>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Permiability- moderate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</si>
  <si>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</si>
  <si>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</si>
  <si>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</si>
  <si>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</si>
  <si>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</si>
  <si>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</si>
  <si>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t xml:space="preserve">Anacardium occidentale , Acacia auriculiformis , Buchanania lanzan Aporosa lindleyana </t>
  </si>
  <si>
    <t xml:space="preserve">Ficus tsjahala </t>
  </si>
  <si>
    <t>Acacia auriculiformis</t>
  </si>
  <si>
    <t>Anacardium occidentale</t>
  </si>
  <si>
    <t>Careya arborea</t>
  </si>
  <si>
    <t>Buchanania lanzan</t>
  </si>
  <si>
    <t>Aporosa lindleyana</t>
  </si>
  <si>
    <t>Carallia brachiata</t>
  </si>
  <si>
    <t xml:space="preserve">Macaranga peltata </t>
  </si>
  <si>
    <t>Ziziphus oenoplia</t>
  </si>
  <si>
    <t>Getonia floribunda</t>
  </si>
  <si>
    <t>Ixora brachiata</t>
  </si>
  <si>
    <t>Tabernamontana heyneana</t>
  </si>
  <si>
    <t>Glochidiom climber</t>
  </si>
  <si>
    <t>Psychotria dalzelli</t>
  </si>
  <si>
    <t>Macaranga peltata</t>
  </si>
  <si>
    <t>Smilax spinosa</t>
  </si>
  <si>
    <t>Psychotria flavida</t>
  </si>
  <si>
    <t xml:space="preserve">Jasminum malabaricum </t>
  </si>
  <si>
    <t>climber</t>
  </si>
  <si>
    <t>32g</t>
  </si>
  <si>
    <t>230g</t>
  </si>
  <si>
    <t>55g</t>
  </si>
  <si>
    <t>210g</t>
  </si>
  <si>
    <t>Belthangady</t>
  </si>
  <si>
    <t>Kaliya RF</t>
  </si>
  <si>
    <t>II-39</t>
  </si>
  <si>
    <t>Aspect - No aspect</t>
  </si>
  <si>
    <t>Bamboos - NIL</t>
  </si>
  <si>
    <t>Rattans – NIL</t>
  </si>
  <si>
    <t>NIL</t>
  </si>
  <si>
    <t>Near areca plantation</t>
  </si>
  <si>
    <t>Texture-  Coarse</t>
  </si>
  <si>
    <t>Depth-  Shallow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</si>
  <si>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</si>
  <si>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>Humans , Microbes and Insects</t>
  </si>
  <si>
    <t>Mangalore</t>
  </si>
  <si>
    <t>Gorbale</t>
  </si>
  <si>
    <t>Maddarasa</t>
  </si>
  <si>
    <t>Acacia</t>
  </si>
  <si>
    <t>Konanakivi</t>
  </si>
  <si>
    <t>Chandalike</t>
  </si>
  <si>
    <t>Paragi</t>
  </si>
  <si>
    <t>Salle</t>
  </si>
  <si>
    <t>Kumsa Balli</t>
  </si>
  <si>
    <t>Kaadu coffee</t>
  </si>
  <si>
    <t>Kaadu Mallige</t>
  </si>
  <si>
    <t>tubers</t>
  </si>
  <si>
    <t>leaves</t>
  </si>
  <si>
    <t>flowers</t>
  </si>
  <si>
    <t>stems</t>
  </si>
  <si>
    <t>fruits</t>
  </si>
  <si>
    <t>bark, roots</t>
  </si>
  <si>
    <t>pods</t>
  </si>
  <si>
    <t>seeds</t>
  </si>
  <si>
    <t>Flowers and leaves</t>
  </si>
  <si>
    <t>leas</t>
  </si>
  <si>
    <t>Edible fruits, Fiber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</si>
  <si>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</t>
    </r>
  </si>
  <si>
    <t>FORM – A1</t>
  </si>
  <si>
    <t>PLOT ENUMERATION (31.62mX 31.62m Central Plot/lateral plot)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</si>
  <si>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</si>
  <si>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</si>
  <si>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</si>
  <si>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</si>
  <si>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</si>
  <si>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</si>
  <si>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</si>
  <si>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</si>
  <si>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</si>
  <si>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Compartment No: II-39</t>
  </si>
  <si>
    <t>Grid No:6073</t>
  </si>
  <si>
    <t>LAT: 12.958673</t>
  </si>
  <si>
    <t>LONG: 75.271481</t>
  </si>
  <si>
    <t>ALT: 376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</si>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</sst>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34.42578125" style="1" bestFit="1" customWidth="1"/>
    <col min="3" max="3" width="53.8554687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3" customFormat="1" ht="24.75" customHeight="1" x14ac:dyDescent="0.25">
      <c r="A3" s="46" t="s">
        <v>2</v>
      </c>
      <c r="B3" s="46"/>
      <c r="C3" s="2" t="s">
        <v>137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3.25" customHeight="1" x14ac:dyDescent="0.25">
      <c r="A5" s="4">
        <v>1</v>
      </c>
      <c r="B5" s="41" t="s">
        <v>6</v>
      </c>
      <c r="C5" s="8" t="s">
        <v>125</v>
      </c>
    </row>
    <row r="6" spans="1:3" ht="23.25" customHeight="1" x14ac:dyDescent="0.25">
      <c r="A6" s="4">
        <v>2</v>
      </c>
      <c r="B6" s="41" t="s">
        <v>7</v>
      </c>
      <c r="C6" s="8" t="s">
        <v>126</v>
      </c>
    </row>
    <row r="7" spans="1:3" ht="23.25" customHeight="1" x14ac:dyDescent="0.25">
      <c r="A7" s="4">
        <v>3</v>
      </c>
      <c r="B7" s="41" t="s">
        <v>8</v>
      </c>
      <c r="C7" s="7" t="s">
        <v>127</v>
      </c>
    </row>
    <row r="8" spans="1:3" ht="23.25" customHeight="1" x14ac:dyDescent="0.25">
      <c r="A8" s="4">
        <v>4</v>
      </c>
      <c r="B8" s="41" t="s">
        <v>9</v>
      </c>
      <c r="C8" s="7">
        <v>6073</v>
      </c>
    </row>
    <row r="9" spans="1:3" ht="23.25" customHeight="1" x14ac:dyDescent="0.25">
      <c r="A9" s="4">
        <v>5</v>
      </c>
      <c r="B9" s="41" t="s">
        <v>10</v>
      </c>
      <c r="C9" s="8">
        <v>12.958672999999999</v>
      </c>
    </row>
    <row r="10" spans="1:3" ht="23.25" customHeight="1" x14ac:dyDescent="0.25">
      <c r="A10" s="4">
        <v>6</v>
      </c>
      <c r="B10" s="41" t="s">
        <v>11</v>
      </c>
      <c r="C10" s="8">
        <v>75.271480999999994</v>
      </c>
    </row>
    <row r="11" spans="1:3" ht="47.25" x14ac:dyDescent="0.25">
      <c r="A11" s="4">
        <v>7</v>
      </c>
      <c r="B11" s="41" t="s">
        <v>12</v>
      </c>
      <c r="C11" s="8" t="s">
        <v>76</v>
      </c>
    </row>
    <row r="12" spans="1:3" ht="21.75" customHeight="1" x14ac:dyDescent="0.25">
      <c r="A12" s="4">
        <v>8</v>
      </c>
      <c r="B12" s="41" t="s">
        <v>13</v>
      </c>
      <c r="C12" s="9" t="s">
        <v>77</v>
      </c>
    </row>
    <row r="13" spans="1:3" ht="23.25" customHeight="1" x14ac:dyDescent="0.25">
      <c r="A13" s="47">
        <v>9</v>
      </c>
      <c r="B13" s="48" t="s">
        <v>14</v>
      </c>
      <c r="C13" s="6" t="s">
        <v>78</v>
      </c>
    </row>
    <row r="14" spans="1:3" ht="23.25" customHeight="1" x14ac:dyDescent="0.25">
      <c r="A14" s="47"/>
      <c r="B14" s="48"/>
      <c r="C14" s="6" t="s">
        <v>128</v>
      </c>
    </row>
    <row r="15" spans="1:3" ht="23.25" customHeight="1" x14ac:dyDescent="0.25">
      <c r="A15" s="47"/>
      <c r="B15" s="48"/>
      <c r="C15" s="6" t="s">
        <v>79</v>
      </c>
    </row>
    <row r="16" spans="1:3" ht="23.25" customHeight="1" x14ac:dyDescent="0.25">
      <c r="A16" s="47"/>
      <c r="B16" s="48"/>
      <c r="C16" s="6" t="s">
        <v>80</v>
      </c>
    </row>
    <row r="17" spans="1:3" ht="23.25" customHeight="1" x14ac:dyDescent="0.25">
      <c r="A17" s="47"/>
      <c r="B17" s="48"/>
      <c r="C17" s="6" t="s">
        <v>81</v>
      </c>
    </row>
    <row r="18" spans="1:3" ht="23.25" customHeight="1" x14ac:dyDescent="0.25">
      <c r="A18" s="47"/>
      <c r="B18" s="48"/>
      <c r="C18" s="6" t="s">
        <v>82</v>
      </c>
    </row>
    <row r="19" spans="1:3" ht="23.25" customHeight="1" x14ac:dyDescent="0.25">
      <c r="A19" s="47"/>
      <c r="B19" s="48"/>
      <c r="C19" s="6" t="s">
        <v>129</v>
      </c>
    </row>
    <row r="20" spans="1:3" ht="23.25" customHeight="1" x14ac:dyDescent="0.25">
      <c r="A20" s="47"/>
      <c r="B20" s="48"/>
      <c r="C20" s="6" t="s">
        <v>83</v>
      </c>
    </row>
    <row r="21" spans="1:3" ht="31.5" x14ac:dyDescent="0.25">
      <c r="A21" s="47"/>
      <c r="B21" s="48"/>
      <c r="C21" s="6" t="s">
        <v>84</v>
      </c>
    </row>
    <row r="22" spans="1:3" ht="47.25" x14ac:dyDescent="0.25">
      <c r="A22" s="47"/>
      <c r="B22" s="48"/>
      <c r="C22" s="6" t="s">
        <v>85</v>
      </c>
    </row>
    <row r="23" spans="1:3" ht="23.25" customHeight="1" x14ac:dyDescent="0.25">
      <c r="A23" s="47"/>
      <c r="B23" s="48"/>
      <c r="C23" s="6" t="s">
        <v>86</v>
      </c>
    </row>
    <row r="24" spans="1:3" ht="23.25" customHeight="1" x14ac:dyDescent="0.25">
      <c r="A24" s="47"/>
      <c r="B24" s="48"/>
      <c r="C24" s="6" t="s">
        <v>130</v>
      </c>
    </row>
    <row r="25" spans="1:3" ht="31.5" x14ac:dyDescent="0.25">
      <c r="A25" s="47"/>
      <c r="B25" s="48"/>
      <c r="C25" s="6" t="s">
        <v>87</v>
      </c>
    </row>
    <row r="26" spans="1:3" ht="23.25" customHeight="1" x14ac:dyDescent="0.25">
      <c r="A26" s="4">
        <v>10</v>
      </c>
      <c r="B26" s="41" t="s">
        <v>15</v>
      </c>
      <c r="C26" s="6" t="s">
        <v>132</v>
      </c>
    </row>
    <row r="27" spans="1:3" ht="23.25" customHeight="1" x14ac:dyDescent="0.25">
      <c r="A27" s="4">
        <v>11</v>
      </c>
      <c r="B27" s="41" t="s">
        <v>16</v>
      </c>
      <c r="C27" s="6" t="s">
        <v>131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RowHeight="25.5" customHeight="1" x14ac:dyDescent="0.25"/>
  <cols>
    <col min="1" max="1" width="6.5703125" style="13" bestFit="1" customWidth="1"/>
    <col min="2" max="2" width="41.5703125" style="13" bestFit="1" customWidth="1"/>
    <col min="3" max="3" width="48.1406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16" t="s">
        <v>137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4" customHeight="1" x14ac:dyDescent="0.25">
      <c r="A5" s="10">
        <v>1</v>
      </c>
      <c r="B5" s="42" t="s">
        <v>6</v>
      </c>
      <c r="C5" s="19" t="str">
        <f>'Form 1'!C5</f>
        <v>Belthangady</v>
      </c>
    </row>
    <row r="6" spans="1:3" ht="24" customHeight="1" x14ac:dyDescent="0.25">
      <c r="A6" s="10">
        <v>2</v>
      </c>
      <c r="B6" s="42" t="s">
        <v>72</v>
      </c>
      <c r="C6" s="19"/>
    </row>
    <row r="7" spans="1:3" ht="24" customHeight="1" x14ac:dyDescent="0.25">
      <c r="A7" s="10">
        <v>3</v>
      </c>
      <c r="B7" s="42" t="s">
        <v>69</v>
      </c>
      <c r="C7" s="19" t="str">
        <f>'Form 1'!C6</f>
        <v>Kaliya RF</v>
      </c>
    </row>
    <row r="8" spans="1:3" ht="24" customHeight="1" x14ac:dyDescent="0.25">
      <c r="A8" s="10">
        <v>4</v>
      </c>
      <c r="B8" s="42" t="s">
        <v>9</v>
      </c>
      <c r="C8" s="19">
        <f>'Form 1'!C8</f>
        <v>6073</v>
      </c>
    </row>
    <row r="9" spans="1:3" ht="24" customHeight="1" x14ac:dyDescent="0.25">
      <c r="A9" s="10">
        <v>5</v>
      </c>
      <c r="B9" s="42" t="s">
        <v>20</v>
      </c>
      <c r="C9" s="19">
        <f>'Form 1'!C9</f>
        <v>12.958672999999999</v>
      </c>
    </row>
    <row r="10" spans="1:3" ht="24" customHeight="1" x14ac:dyDescent="0.25">
      <c r="A10" s="10">
        <v>6</v>
      </c>
      <c r="B10" s="42" t="s">
        <v>21</v>
      </c>
      <c r="C10" s="19">
        <f>'Form 1'!C10</f>
        <v>75.271480999999994</v>
      </c>
    </row>
    <row r="11" spans="1:3" ht="24" customHeight="1" x14ac:dyDescent="0.25">
      <c r="A11" s="10">
        <v>7</v>
      </c>
      <c r="B11" s="42" t="s">
        <v>22</v>
      </c>
      <c r="C11" s="19" t="s">
        <v>88</v>
      </c>
    </row>
    <row r="12" spans="1:3" ht="31.5" x14ac:dyDescent="0.25">
      <c r="A12" s="10">
        <v>8</v>
      </c>
      <c r="B12" s="42" t="s">
        <v>23</v>
      </c>
      <c r="C12" s="19" t="s">
        <v>89</v>
      </c>
    </row>
    <row r="13" spans="1:3" ht="24" customHeight="1" x14ac:dyDescent="0.25">
      <c r="A13" s="10">
        <v>9</v>
      </c>
      <c r="B13" s="42" t="s">
        <v>24</v>
      </c>
      <c r="C13" s="19" t="s">
        <v>90</v>
      </c>
    </row>
    <row r="14" spans="1:3" ht="31.5" x14ac:dyDescent="0.25">
      <c r="A14" s="10">
        <v>10</v>
      </c>
      <c r="B14" s="42" t="s">
        <v>25</v>
      </c>
      <c r="C14" s="19" t="s">
        <v>91</v>
      </c>
    </row>
    <row r="15" spans="1:3" ht="24" customHeight="1" x14ac:dyDescent="0.25">
      <c r="A15" s="10">
        <v>11</v>
      </c>
      <c r="B15" s="42" t="s">
        <v>26</v>
      </c>
      <c r="C15" s="20" t="s">
        <v>92</v>
      </c>
    </row>
    <row r="16" spans="1:3" ht="31.5" x14ac:dyDescent="0.25">
      <c r="A16" s="10">
        <v>12</v>
      </c>
      <c r="B16" s="42" t="s">
        <v>27</v>
      </c>
      <c r="C16" s="20" t="s">
        <v>93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" customHeight="1" x14ac:dyDescent="0.25">
      <c r="A18" s="50">
        <v>14</v>
      </c>
      <c r="B18" s="51" t="s">
        <v>30</v>
      </c>
      <c r="C18" s="20" t="s">
        <v>133</v>
      </c>
    </row>
    <row r="19" spans="1:3" ht="24" customHeight="1" x14ac:dyDescent="0.25">
      <c r="A19" s="50"/>
      <c r="B19" s="51"/>
      <c r="C19" s="20" t="s">
        <v>134</v>
      </c>
    </row>
    <row r="20" spans="1:3" ht="24" customHeight="1" x14ac:dyDescent="0.25">
      <c r="A20" s="50"/>
      <c r="B20" s="51"/>
      <c r="C20" s="21" t="s">
        <v>94</v>
      </c>
    </row>
    <row r="21" spans="1:3" ht="24" customHeight="1" x14ac:dyDescent="0.25">
      <c r="A21" s="10">
        <v>15</v>
      </c>
      <c r="B21" s="42" t="s">
        <v>31</v>
      </c>
      <c r="C21" s="20" t="s">
        <v>135</v>
      </c>
    </row>
    <row r="22" spans="1:3" ht="31.5" x14ac:dyDescent="0.25">
      <c r="A22" s="10">
        <v>16</v>
      </c>
      <c r="B22" s="42" t="s">
        <v>32</v>
      </c>
      <c r="C22" s="20" t="s">
        <v>101</v>
      </c>
    </row>
    <row r="23" spans="1:3" ht="24" customHeight="1" x14ac:dyDescent="0.25">
      <c r="A23" s="10">
        <v>17</v>
      </c>
      <c r="B23" s="42" t="s">
        <v>70</v>
      </c>
      <c r="C23" s="20" t="s">
        <v>95</v>
      </c>
    </row>
    <row r="24" spans="1:3" ht="31.5" x14ac:dyDescent="0.25">
      <c r="A24" s="10">
        <v>18</v>
      </c>
      <c r="B24" s="42" t="s">
        <v>33</v>
      </c>
      <c r="C24" s="20" t="s">
        <v>96</v>
      </c>
    </row>
    <row r="25" spans="1:3" ht="24" customHeight="1" x14ac:dyDescent="0.25">
      <c r="A25" s="10">
        <v>19</v>
      </c>
      <c r="B25" s="42" t="s">
        <v>34</v>
      </c>
      <c r="C25" s="20" t="s">
        <v>136</v>
      </c>
    </row>
    <row r="26" spans="1:3" ht="24" customHeight="1" x14ac:dyDescent="0.25">
      <c r="A26" s="10">
        <v>20</v>
      </c>
      <c r="B26" s="42" t="s">
        <v>35</v>
      </c>
      <c r="C26" s="21" t="s">
        <v>97</v>
      </c>
    </row>
    <row r="27" spans="1:3" ht="24" customHeight="1" x14ac:dyDescent="0.25">
      <c r="A27" s="10">
        <v>21</v>
      </c>
      <c r="B27" s="42" t="s">
        <v>36</v>
      </c>
      <c r="C27" s="20" t="s">
        <v>98</v>
      </c>
    </row>
    <row r="28" spans="1:3" ht="24" customHeight="1" x14ac:dyDescent="0.25">
      <c r="A28" s="10">
        <v>22</v>
      </c>
      <c r="B28" s="42" t="s">
        <v>37</v>
      </c>
      <c r="C28" s="20" t="s">
        <v>99</v>
      </c>
    </row>
    <row r="29" spans="1:3" ht="24" customHeight="1" x14ac:dyDescent="0.25">
      <c r="A29" s="10">
        <v>23</v>
      </c>
      <c r="B29" s="42" t="s">
        <v>38</v>
      </c>
      <c r="C29" s="20" t="s">
        <v>99</v>
      </c>
    </row>
    <row r="30" spans="1:3" ht="24" customHeight="1" x14ac:dyDescent="0.25">
      <c r="A30" s="10">
        <v>24</v>
      </c>
      <c r="B30" s="42" t="s">
        <v>39</v>
      </c>
      <c r="C30" s="20" t="s">
        <v>100</v>
      </c>
    </row>
    <row r="31" spans="1:3" ht="24" customHeight="1" x14ac:dyDescent="0.25">
      <c r="A31" s="10">
        <v>25</v>
      </c>
      <c r="B31" s="42" t="s">
        <v>40</v>
      </c>
      <c r="C31" s="20" t="s">
        <v>131</v>
      </c>
    </row>
    <row r="32" spans="1:3" ht="24" customHeight="1" x14ac:dyDescent="0.25">
      <c r="A32" s="10">
        <v>26</v>
      </c>
      <c r="B32" s="42" t="s">
        <v>41</v>
      </c>
      <c r="C32" s="20" t="s">
        <v>131</v>
      </c>
    </row>
    <row r="33" spans="1:3" ht="24" customHeight="1" x14ac:dyDescent="0.25">
      <c r="A33" s="10">
        <v>27</v>
      </c>
      <c r="B33" s="42" t="s">
        <v>42</v>
      </c>
      <c r="C33" s="19" t="s">
        <v>159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80A2-DA12-4166-847C-7D67EA7165E5}">
  <dimension ref="A1:I40"/>
  <sheetViews>
    <sheetView workbookViewId="0">
      <selection activeCell="K8" sqref="K8"/>
    </sheetView>
  </sheetViews>
  <sheetFormatPr defaultRowHeight="15" x14ac:dyDescent="0.25"/>
  <cols>
    <col min="1" max="1" width="6.85546875" bestFit="1" customWidth="1"/>
    <col min="2" max="2" width="22.140625" bestFit="1" customWidth="1"/>
  </cols>
  <sheetData>
    <row r="1" spans="1:9" s="65" customFormat="1" ht="15.6" customHeight="1" x14ac:dyDescent="0.25">
      <c r="A1" s="64" t="s">
        <v>73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160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161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171</v>
      </c>
      <c r="B5" s="68"/>
      <c r="C5" s="69"/>
      <c r="D5" s="67" t="s">
        <v>162</v>
      </c>
      <c r="E5" s="68"/>
      <c r="F5" s="68"/>
      <c r="G5" s="69"/>
      <c r="H5" s="67" t="s">
        <v>163</v>
      </c>
      <c r="I5" s="69"/>
    </row>
    <row r="6" spans="1:9" s="70" customFormat="1" ht="33" customHeight="1" x14ac:dyDescent="0.25">
      <c r="A6" s="67" t="s">
        <v>164</v>
      </c>
      <c r="B6" s="68"/>
      <c r="C6" s="69"/>
      <c r="D6" s="67" t="s">
        <v>165</v>
      </c>
      <c r="E6" s="68"/>
      <c r="F6" s="68"/>
      <c r="G6" s="69"/>
      <c r="H6" s="67" t="s">
        <v>175</v>
      </c>
      <c r="I6" s="69"/>
    </row>
    <row r="7" spans="1:9" s="70" customFormat="1" ht="33" customHeight="1" x14ac:dyDescent="0.25">
      <c r="A7" s="67" t="s">
        <v>173</v>
      </c>
      <c r="B7" s="68"/>
      <c r="C7" s="69"/>
      <c r="D7" s="67" t="s">
        <v>174</v>
      </c>
      <c r="E7" s="68"/>
      <c r="F7" s="68"/>
      <c r="G7" s="69"/>
      <c r="H7" s="67" t="s">
        <v>172</v>
      </c>
      <c r="I7" s="69"/>
    </row>
    <row r="8" spans="1:9" s="65" customFormat="1" ht="15.6" customHeight="1" x14ac:dyDescent="0.25">
      <c r="A8" s="18"/>
      <c r="B8" s="71"/>
      <c r="C8" s="18"/>
      <c r="D8" s="18"/>
      <c r="E8" s="18"/>
      <c r="F8" s="18"/>
      <c r="G8" s="18"/>
      <c r="H8" s="18"/>
      <c r="I8" s="18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166</v>
      </c>
      <c r="E9" s="47" t="s">
        <v>167</v>
      </c>
      <c r="F9" s="47" t="s">
        <v>168</v>
      </c>
      <c r="G9" s="47" t="s">
        <v>51</v>
      </c>
      <c r="H9" s="47"/>
      <c r="I9" s="47" t="s">
        <v>169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3" t="s">
        <v>170</v>
      </c>
      <c r="H10" s="43" t="s">
        <v>54</v>
      </c>
      <c r="I10" s="47"/>
    </row>
    <row r="11" spans="1:9" ht="15.75" x14ac:dyDescent="0.25">
      <c r="A11" s="72">
        <v>1</v>
      </c>
      <c r="B11" s="44" t="s">
        <v>102</v>
      </c>
      <c r="C11" s="72"/>
      <c r="D11" s="44">
        <v>141</v>
      </c>
      <c r="E11" s="72"/>
      <c r="F11" s="72">
        <v>8</v>
      </c>
      <c r="G11" s="72"/>
      <c r="H11" s="72"/>
      <c r="I11" s="72"/>
    </row>
    <row r="12" spans="1:9" ht="15.75" x14ac:dyDescent="0.25">
      <c r="A12" s="72">
        <v>2</v>
      </c>
      <c r="B12" s="44" t="s">
        <v>103</v>
      </c>
      <c r="C12" s="72"/>
      <c r="D12" s="44">
        <v>108</v>
      </c>
      <c r="E12" s="72"/>
      <c r="F12" s="72">
        <v>16</v>
      </c>
      <c r="G12" s="72"/>
      <c r="H12" s="72"/>
      <c r="I12" s="72"/>
    </row>
    <row r="13" spans="1:9" ht="15.75" x14ac:dyDescent="0.25">
      <c r="A13" s="72">
        <v>3</v>
      </c>
      <c r="B13" s="44" t="s">
        <v>103</v>
      </c>
      <c r="C13" s="72"/>
      <c r="D13" s="44">
        <v>48</v>
      </c>
      <c r="E13" s="72"/>
      <c r="F13" s="72">
        <v>14.5</v>
      </c>
      <c r="G13" s="72"/>
      <c r="H13" s="72"/>
      <c r="I13" s="72"/>
    </row>
    <row r="14" spans="1:9" ht="15.75" x14ac:dyDescent="0.25">
      <c r="A14" s="72">
        <v>4</v>
      </c>
      <c r="B14" s="44" t="s">
        <v>104</v>
      </c>
      <c r="C14" s="72"/>
      <c r="D14" s="44">
        <v>41</v>
      </c>
      <c r="E14" s="72"/>
      <c r="F14" s="72">
        <v>5.5</v>
      </c>
      <c r="G14" s="72"/>
      <c r="H14" s="72"/>
      <c r="I14" s="72"/>
    </row>
    <row r="15" spans="1:9" ht="15.75" x14ac:dyDescent="0.25">
      <c r="A15" s="72">
        <v>5</v>
      </c>
      <c r="B15" s="44" t="s">
        <v>103</v>
      </c>
      <c r="C15" s="72"/>
      <c r="D15" s="44">
        <v>78</v>
      </c>
      <c r="E15" s="72"/>
      <c r="F15" s="72">
        <v>15</v>
      </c>
      <c r="G15" s="72"/>
      <c r="H15" s="72"/>
      <c r="I15" s="72"/>
    </row>
    <row r="16" spans="1:9" ht="15.75" x14ac:dyDescent="0.25">
      <c r="A16" s="72">
        <v>6</v>
      </c>
      <c r="B16" s="44" t="s">
        <v>103</v>
      </c>
      <c r="C16" s="72"/>
      <c r="D16" s="44">
        <v>56</v>
      </c>
      <c r="E16" s="72"/>
      <c r="F16" s="72">
        <v>16</v>
      </c>
      <c r="G16" s="72"/>
      <c r="H16" s="72"/>
      <c r="I16" s="72"/>
    </row>
    <row r="17" spans="1:9" ht="15.75" x14ac:dyDescent="0.25">
      <c r="A17" s="72">
        <v>7</v>
      </c>
      <c r="B17" s="44" t="s">
        <v>103</v>
      </c>
      <c r="C17" s="72"/>
      <c r="D17" s="44">
        <v>64</v>
      </c>
      <c r="E17" s="72"/>
      <c r="F17" s="72">
        <v>14</v>
      </c>
      <c r="G17" s="72"/>
      <c r="H17" s="72"/>
      <c r="I17" s="72"/>
    </row>
    <row r="18" spans="1:9" ht="15.75" x14ac:dyDescent="0.25">
      <c r="A18" s="72">
        <v>8</v>
      </c>
      <c r="B18" s="44" t="s">
        <v>105</v>
      </c>
      <c r="C18" s="72"/>
      <c r="D18" s="44">
        <v>107</v>
      </c>
      <c r="E18" s="72"/>
      <c r="F18" s="72">
        <v>11</v>
      </c>
      <c r="G18" s="72"/>
      <c r="H18" s="72"/>
      <c r="I18" s="72"/>
    </row>
    <row r="19" spans="1:9" ht="15.75" x14ac:dyDescent="0.25">
      <c r="A19" s="72">
        <v>9</v>
      </c>
      <c r="B19" s="44" t="s">
        <v>104</v>
      </c>
      <c r="C19" s="72"/>
      <c r="D19" s="44">
        <v>72</v>
      </c>
      <c r="E19" s="72"/>
      <c r="F19" s="72">
        <v>10</v>
      </c>
      <c r="G19" s="72"/>
      <c r="H19" s="72"/>
      <c r="I19" s="72"/>
    </row>
    <row r="20" spans="1:9" ht="15.75" x14ac:dyDescent="0.25">
      <c r="A20" s="72">
        <v>10</v>
      </c>
      <c r="B20" s="44" t="s">
        <v>106</v>
      </c>
      <c r="C20" s="72"/>
      <c r="D20" s="44">
        <v>51</v>
      </c>
      <c r="E20" s="72"/>
      <c r="F20" s="72">
        <v>12</v>
      </c>
      <c r="G20" s="72"/>
      <c r="H20" s="72"/>
      <c r="I20" s="72"/>
    </row>
    <row r="21" spans="1:9" ht="15.75" x14ac:dyDescent="0.25">
      <c r="A21" s="72">
        <v>11</v>
      </c>
      <c r="B21" s="44" t="s">
        <v>103</v>
      </c>
      <c r="C21" s="72"/>
      <c r="D21" s="44">
        <v>82</v>
      </c>
      <c r="E21" s="72"/>
      <c r="F21" s="72">
        <v>14.5</v>
      </c>
      <c r="G21" s="72"/>
      <c r="H21" s="72"/>
      <c r="I21" s="72"/>
    </row>
    <row r="22" spans="1:9" ht="15.75" x14ac:dyDescent="0.25">
      <c r="A22" s="72">
        <v>12</v>
      </c>
      <c r="B22" s="44" t="s">
        <v>107</v>
      </c>
      <c r="C22" s="72"/>
      <c r="D22" s="44">
        <v>46</v>
      </c>
      <c r="E22" s="72"/>
      <c r="F22" s="72">
        <v>12</v>
      </c>
      <c r="G22" s="72"/>
      <c r="H22" s="72"/>
      <c r="I22" s="72"/>
    </row>
    <row r="23" spans="1:9" ht="15.75" x14ac:dyDescent="0.25">
      <c r="A23" s="72">
        <v>13</v>
      </c>
      <c r="B23" s="44" t="s">
        <v>104</v>
      </c>
      <c r="C23" s="72"/>
      <c r="D23" s="44">
        <v>48</v>
      </c>
      <c r="E23" s="72"/>
      <c r="F23" s="72">
        <v>9</v>
      </c>
      <c r="G23" s="72"/>
      <c r="H23" s="72"/>
      <c r="I23" s="72"/>
    </row>
    <row r="24" spans="1:9" ht="15.75" x14ac:dyDescent="0.25">
      <c r="A24" s="72">
        <v>14</v>
      </c>
      <c r="B24" s="44" t="s">
        <v>103</v>
      </c>
      <c r="C24" s="72"/>
      <c r="D24" s="44">
        <v>49</v>
      </c>
      <c r="E24" s="72"/>
      <c r="F24" s="72">
        <v>15</v>
      </c>
      <c r="G24" s="72"/>
      <c r="H24" s="72"/>
      <c r="I24" s="72"/>
    </row>
    <row r="25" spans="1:9" ht="15.75" x14ac:dyDescent="0.25">
      <c r="A25" s="72">
        <v>15</v>
      </c>
      <c r="B25" s="44" t="s">
        <v>103</v>
      </c>
      <c r="C25" s="72"/>
      <c r="D25" s="44">
        <v>53</v>
      </c>
      <c r="E25" s="72"/>
      <c r="F25" s="72">
        <v>15</v>
      </c>
      <c r="G25" s="72"/>
      <c r="H25" s="72"/>
      <c r="I25" s="72"/>
    </row>
    <row r="26" spans="1:9" ht="15.75" x14ac:dyDescent="0.25">
      <c r="A26" s="72">
        <v>16</v>
      </c>
      <c r="B26" s="44" t="s">
        <v>108</v>
      </c>
      <c r="C26" s="72"/>
      <c r="D26" s="44">
        <v>54</v>
      </c>
      <c r="E26" s="72"/>
      <c r="F26" s="72">
        <v>11</v>
      </c>
      <c r="G26" s="72"/>
      <c r="H26" s="72"/>
      <c r="I26" s="72"/>
    </row>
    <row r="27" spans="1:9" ht="15.75" x14ac:dyDescent="0.25">
      <c r="A27" s="72">
        <v>17</v>
      </c>
      <c r="B27" s="44" t="s">
        <v>104</v>
      </c>
      <c r="C27" s="72"/>
      <c r="D27" s="44">
        <v>39</v>
      </c>
      <c r="E27" s="72"/>
      <c r="F27" s="72">
        <v>10</v>
      </c>
      <c r="G27" s="72"/>
      <c r="H27" s="72"/>
      <c r="I27" s="72"/>
    </row>
    <row r="28" spans="1:9" ht="15.75" x14ac:dyDescent="0.25">
      <c r="A28" s="72">
        <v>18</v>
      </c>
      <c r="B28" s="44" t="s">
        <v>104</v>
      </c>
      <c r="C28" s="72"/>
      <c r="D28" s="44">
        <v>45</v>
      </c>
      <c r="E28" s="72"/>
      <c r="F28" s="72">
        <v>8</v>
      </c>
      <c r="G28" s="72"/>
      <c r="H28" s="72"/>
      <c r="I28" s="72"/>
    </row>
    <row r="29" spans="1:9" ht="15.75" x14ac:dyDescent="0.25">
      <c r="A29" s="72">
        <v>19</v>
      </c>
      <c r="B29" s="44" t="s">
        <v>103</v>
      </c>
      <c r="C29" s="72"/>
      <c r="D29" s="44">
        <v>76</v>
      </c>
      <c r="E29" s="72"/>
      <c r="F29" s="72">
        <v>14</v>
      </c>
      <c r="G29" s="72"/>
      <c r="H29" s="72"/>
      <c r="I29" s="72"/>
    </row>
    <row r="30" spans="1:9" ht="15.75" x14ac:dyDescent="0.25">
      <c r="A30" s="72">
        <v>20</v>
      </c>
      <c r="B30" s="44" t="s">
        <v>103</v>
      </c>
      <c r="C30" s="72"/>
      <c r="D30" s="44">
        <v>61</v>
      </c>
      <c r="E30" s="72"/>
      <c r="F30" s="72">
        <v>15</v>
      </c>
      <c r="G30" s="72"/>
      <c r="H30" s="72"/>
      <c r="I30" s="72"/>
    </row>
    <row r="31" spans="1:9" ht="15.75" x14ac:dyDescent="0.25">
      <c r="A31" s="72">
        <v>21</v>
      </c>
      <c r="B31" s="44" t="s">
        <v>103</v>
      </c>
      <c r="C31" s="72"/>
      <c r="D31" s="44">
        <v>36</v>
      </c>
      <c r="E31" s="72"/>
      <c r="F31" s="72">
        <v>12</v>
      </c>
      <c r="G31" s="72"/>
      <c r="H31" s="72"/>
      <c r="I31" s="72"/>
    </row>
    <row r="32" spans="1:9" ht="15.75" x14ac:dyDescent="0.25">
      <c r="A32" s="72">
        <v>22</v>
      </c>
      <c r="B32" s="44" t="s">
        <v>103</v>
      </c>
      <c r="C32" s="72"/>
      <c r="D32" s="44">
        <v>53</v>
      </c>
      <c r="E32" s="72"/>
      <c r="F32" s="72">
        <v>14</v>
      </c>
      <c r="G32" s="72"/>
      <c r="H32" s="72"/>
      <c r="I32" s="72"/>
    </row>
    <row r="33" spans="1:9" ht="15.75" x14ac:dyDescent="0.25">
      <c r="A33" s="72">
        <v>23</v>
      </c>
      <c r="B33" s="44" t="s">
        <v>104</v>
      </c>
      <c r="C33" s="72"/>
      <c r="D33" s="44">
        <v>43</v>
      </c>
      <c r="E33" s="72"/>
      <c r="F33" s="72">
        <v>15</v>
      </c>
      <c r="G33" s="72"/>
      <c r="H33" s="72"/>
      <c r="I33" s="72"/>
    </row>
    <row r="34" spans="1:9" ht="15.75" x14ac:dyDescent="0.25">
      <c r="A34" s="72">
        <v>24</v>
      </c>
      <c r="B34" s="44" t="s">
        <v>104</v>
      </c>
      <c r="C34" s="72"/>
      <c r="D34" s="44">
        <v>48</v>
      </c>
      <c r="E34" s="72"/>
      <c r="F34" s="72">
        <v>13</v>
      </c>
      <c r="G34" s="72"/>
      <c r="H34" s="72"/>
      <c r="I34" s="72"/>
    </row>
    <row r="35" spans="1:9" ht="15.75" x14ac:dyDescent="0.25">
      <c r="A35" s="72">
        <v>25</v>
      </c>
      <c r="B35" s="44" t="s">
        <v>103</v>
      </c>
      <c r="C35" s="72"/>
      <c r="D35" s="44">
        <v>36</v>
      </c>
      <c r="E35" s="72"/>
      <c r="F35" s="72">
        <v>14</v>
      </c>
      <c r="G35" s="72"/>
      <c r="H35" s="72"/>
      <c r="I35" s="72"/>
    </row>
    <row r="36" spans="1:9" ht="15.75" x14ac:dyDescent="0.25">
      <c r="A36" s="72">
        <v>26</v>
      </c>
      <c r="B36" s="44" t="s">
        <v>103</v>
      </c>
      <c r="C36" s="72"/>
      <c r="D36" s="44">
        <v>96</v>
      </c>
      <c r="E36" s="72"/>
      <c r="F36" s="72">
        <v>18</v>
      </c>
      <c r="G36" s="72"/>
      <c r="H36" s="72"/>
      <c r="I36" s="72"/>
    </row>
    <row r="37" spans="1:9" ht="15.75" x14ac:dyDescent="0.25">
      <c r="A37" s="72">
        <v>27</v>
      </c>
      <c r="B37" s="44" t="s">
        <v>103</v>
      </c>
      <c r="C37" s="72"/>
      <c r="D37" s="44">
        <v>31</v>
      </c>
      <c r="E37" s="72"/>
      <c r="F37" s="72">
        <v>11</v>
      </c>
      <c r="G37" s="72"/>
      <c r="H37" s="72"/>
      <c r="I37" s="72"/>
    </row>
    <row r="38" spans="1:9" ht="15.75" x14ac:dyDescent="0.25">
      <c r="A38" s="72">
        <v>28</v>
      </c>
      <c r="B38" s="44" t="s">
        <v>103</v>
      </c>
      <c r="C38" s="72"/>
      <c r="D38" s="44">
        <v>53</v>
      </c>
      <c r="E38" s="72"/>
      <c r="F38" s="72">
        <v>15</v>
      </c>
      <c r="G38" s="72"/>
      <c r="H38" s="72"/>
      <c r="I38" s="72"/>
    </row>
    <row r="39" spans="1:9" ht="15.75" x14ac:dyDescent="0.25">
      <c r="A39" s="72">
        <v>29</v>
      </c>
      <c r="B39" s="44" t="s">
        <v>103</v>
      </c>
      <c r="C39" s="72"/>
      <c r="D39" s="44">
        <v>42</v>
      </c>
      <c r="E39" s="72"/>
      <c r="F39" s="72">
        <v>13</v>
      </c>
      <c r="G39" s="72"/>
      <c r="H39" s="72"/>
      <c r="I39" s="72"/>
    </row>
    <row r="40" spans="1:9" ht="15.75" x14ac:dyDescent="0.25">
      <c r="A40" s="72">
        <v>30</v>
      </c>
      <c r="B40" s="44" t="s">
        <v>109</v>
      </c>
      <c r="C40" s="72"/>
      <c r="D40" s="44">
        <v>43</v>
      </c>
      <c r="E40" s="72"/>
      <c r="F40" s="72">
        <v>15.5</v>
      </c>
      <c r="G40" s="72"/>
      <c r="H40" s="72"/>
      <c r="I40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ageMargins left="0.31" right="0.7" top="0.35" bottom="0.3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0E8C-71A3-447D-B6BD-CDB1441CD812}">
  <dimension ref="A1:Q9"/>
  <sheetViews>
    <sheetView workbookViewId="0">
      <selection sqref="A1:XFD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176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177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178</v>
      </c>
      <c r="E5" s="77" t="s">
        <v>179</v>
      </c>
      <c r="F5" s="78"/>
      <c r="G5" s="78"/>
      <c r="H5" s="78"/>
      <c r="I5" s="78"/>
      <c r="J5" s="78"/>
      <c r="K5" s="78"/>
      <c r="L5" s="78"/>
      <c r="M5" s="79"/>
      <c r="N5" s="76" t="s">
        <v>180</v>
      </c>
      <c r="O5" s="77" t="s">
        <v>181</v>
      </c>
      <c r="P5" s="79"/>
      <c r="Q5" s="76" t="s">
        <v>182</v>
      </c>
    </row>
    <row r="6" spans="1:17" s="74" customFormat="1" ht="15.75" x14ac:dyDescent="0.25">
      <c r="A6" s="80"/>
      <c r="B6" s="80"/>
      <c r="C6" s="80"/>
      <c r="D6" s="80"/>
      <c r="E6" s="81" t="s">
        <v>183</v>
      </c>
      <c r="F6" s="82"/>
      <c r="G6" s="83"/>
      <c r="H6" s="81" t="s">
        <v>184</v>
      </c>
      <c r="I6" s="82"/>
      <c r="J6" s="83"/>
      <c r="K6" s="81" t="s">
        <v>185</v>
      </c>
      <c r="L6" s="82"/>
      <c r="M6" s="83"/>
      <c r="N6" s="80"/>
      <c r="O6" s="76" t="s">
        <v>186</v>
      </c>
      <c r="P6" s="76" t="s">
        <v>187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188</v>
      </c>
      <c r="F7" s="86"/>
      <c r="G7" s="87"/>
      <c r="H7" s="85" t="s">
        <v>189</v>
      </c>
      <c r="I7" s="86"/>
      <c r="J7" s="87"/>
      <c r="K7" s="85" t="s">
        <v>188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190</v>
      </c>
      <c r="F8" s="89" t="s">
        <v>191</v>
      </c>
      <c r="G8" s="89" t="s">
        <v>192</v>
      </c>
      <c r="H8" s="89" t="s">
        <v>190</v>
      </c>
      <c r="I8" s="89" t="s">
        <v>191</v>
      </c>
      <c r="J8" s="89" t="s">
        <v>192</v>
      </c>
      <c r="K8" s="89" t="s">
        <v>190</v>
      </c>
      <c r="L8" s="89" t="s">
        <v>191</v>
      </c>
      <c r="M8" s="89" t="s">
        <v>192</v>
      </c>
      <c r="N8" s="88"/>
      <c r="O8" s="88"/>
      <c r="P8" s="88"/>
      <c r="Q8" s="88"/>
    </row>
    <row r="9" spans="1:17" s="74" customFormat="1" ht="15.75" x14ac:dyDescent="0.25">
      <c r="A9" s="43">
        <v>1</v>
      </c>
      <c r="B9" s="90" t="s">
        <v>193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view="pageBreakPreview" zoomScale="60" workbookViewId="0">
      <selection activeCell="O19" sqref="O19"/>
    </sheetView>
  </sheetViews>
  <sheetFormatPr defaultRowHeight="15.75" x14ac:dyDescent="0.25"/>
  <cols>
    <col min="1" max="1" width="6.85546875" style="12" bestFit="1" customWidth="1"/>
    <col min="2" max="2" width="33.28515625" style="12" bestFit="1" customWidth="1"/>
    <col min="3" max="3" width="17.5703125" style="12" bestFit="1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44</v>
      </c>
      <c r="F2" s="60" t="s">
        <v>45</v>
      </c>
      <c r="G2" s="60"/>
      <c r="H2" s="60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2" t="s">
        <v>51</v>
      </c>
      <c r="G3" s="52"/>
      <c r="H3" s="54" t="s">
        <v>52</v>
      </c>
    </row>
    <row r="4" spans="1:8" ht="63" x14ac:dyDescent="0.25">
      <c r="A4" s="55"/>
      <c r="B4" s="55"/>
      <c r="C4" s="55"/>
      <c r="D4" s="55"/>
      <c r="E4" s="55"/>
      <c r="F4" s="17" t="s">
        <v>53</v>
      </c>
      <c r="G4" s="17" t="s">
        <v>54</v>
      </c>
      <c r="H4" s="55"/>
    </row>
    <row r="5" spans="1:8" x14ac:dyDescent="0.25">
      <c r="A5" s="10">
        <v>1</v>
      </c>
      <c r="B5" s="11" t="s">
        <v>112</v>
      </c>
      <c r="C5" s="11" t="s">
        <v>138</v>
      </c>
      <c r="D5" s="11">
        <v>3.5</v>
      </c>
      <c r="E5" s="11">
        <v>3.5</v>
      </c>
      <c r="F5" s="11" t="s">
        <v>150</v>
      </c>
      <c r="G5" s="11">
        <f>D5*E5</f>
        <v>12.25</v>
      </c>
      <c r="H5" s="11"/>
    </row>
    <row r="6" spans="1:8" ht="31.5" x14ac:dyDescent="0.25">
      <c r="A6" s="10">
        <v>2</v>
      </c>
      <c r="B6" s="11" t="s">
        <v>113</v>
      </c>
      <c r="C6" s="11" t="s">
        <v>139</v>
      </c>
      <c r="D6" s="11">
        <v>5</v>
      </c>
      <c r="E6" s="11">
        <v>4</v>
      </c>
      <c r="F6" s="11" t="s">
        <v>153</v>
      </c>
      <c r="G6" s="11">
        <f t="shared" ref="G6:G7" si="0">D6*E6</f>
        <v>20</v>
      </c>
      <c r="H6" s="11"/>
    </row>
    <row r="7" spans="1:8" x14ac:dyDescent="0.25">
      <c r="A7" s="10">
        <v>3</v>
      </c>
      <c r="B7" s="11" t="s">
        <v>114</v>
      </c>
      <c r="C7" s="11"/>
      <c r="D7" s="11">
        <v>2.5</v>
      </c>
      <c r="E7" s="11">
        <v>7</v>
      </c>
      <c r="F7" s="11"/>
      <c r="G7" s="11">
        <f t="shared" si="0"/>
        <v>17.5</v>
      </c>
      <c r="H7" s="11"/>
    </row>
    <row r="8" spans="1:8" x14ac:dyDescent="0.25">
      <c r="A8" s="24"/>
      <c r="B8" s="25"/>
      <c r="C8" s="26"/>
      <c r="D8" s="27"/>
      <c r="E8" s="28"/>
    </row>
    <row r="9" spans="1:8" x14ac:dyDescent="0.25">
      <c r="A9" s="52" t="s">
        <v>55</v>
      </c>
      <c r="B9" s="52"/>
      <c r="C9" s="52"/>
      <c r="D9" s="52"/>
      <c r="E9" s="52"/>
      <c r="F9" s="52"/>
      <c r="G9" s="52"/>
      <c r="H9" s="52"/>
    </row>
    <row r="10" spans="1:8" x14ac:dyDescent="0.25">
      <c r="A10" s="10">
        <v>1</v>
      </c>
      <c r="B10" s="58" t="s">
        <v>56</v>
      </c>
      <c r="C10" s="58"/>
      <c r="D10" s="58"/>
      <c r="E10" s="58"/>
      <c r="F10" s="58"/>
      <c r="G10" s="58"/>
      <c r="H10" s="29" t="s">
        <v>123</v>
      </c>
    </row>
    <row r="11" spans="1:8" x14ac:dyDescent="0.25">
      <c r="A11" s="10">
        <v>2</v>
      </c>
      <c r="B11" s="58" t="s">
        <v>57</v>
      </c>
      <c r="C11" s="58"/>
      <c r="D11" s="58"/>
      <c r="E11" s="58"/>
      <c r="F11" s="58"/>
      <c r="G11" s="58"/>
      <c r="H11" s="29" t="s">
        <v>124</v>
      </c>
    </row>
    <row r="12" spans="1:8" x14ac:dyDescent="0.25">
      <c r="A12" s="10">
        <v>3</v>
      </c>
      <c r="B12" s="58" t="s">
        <v>58</v>
      </c>
      <c r="C12" s="58"/>
      <c r="D12" s="58"/>
      <c r="E12" s="58"/>
      <c r="F12" s="58"/>
      <c r="G12" s="58"/>
      <c r="H12" s="29">
        <v>0</v>
      </c>
    </row>
    <row r="13" spans="1:8" x14ac:dyDescent="0.25">
      <c r="A13" s="24"/>
      <c r="B13" s="24"/>
      <c r="C13" s="24"/>
      <c r="D13" s="24"/>
      <c r="E13" s="24"/>
      <c r="F13" s="24"/>
      <c r="G13" s="24"/>
      <c r="H13" s="30"/>
    </row>
    <row r="14" spans="1:8" x14ac:dyDescent="0.25">
      <c r="B14" s="31" t="str">
        <f>B2</f>
        <v xml:space="preserve">    Grid No:  </v>
      </c>
      <c r="F14" s="31" t="s">
        <v>59</v>
      </c>
      <c r="G14" s="31"/>
    </row>
    <row r="15" spans="1:8" x14ac:dyDescent="0.25">
      <c r="A15" s="52" t="s">
        <v>46</v>
      </c>
      <c r="B15" s="52" t="s">
        <v>47</v>
      </c>
      <c r="C15" s="52" t="s">
        <v>48</v>
      </c>
      <c r="D15" s="54" t="s">
        <v>49</v>
      </c>
      <c r="E15" s="52" t="s">
        <v>50</v>
      </c>
      <c r="F15" s="52" t="s">
        <v>51</v>
      </c>
      <c r="G15" s="52"/>
      <c r="H15" s="52" t="s">
        <v>52</v>
      </c>
    </row>
    <row r="16" spans="1:8" ht="63" x14ac:dyDescent="0.25">
      <c r="A16" s="52"/>
      <c r="B16" s="52"/>
      <c r="C16" s="52"/>
      <c r="D16" s="55"/>
      <c r="E16" s="52"/>
      <c r="F16" s="17" t="s">
        <v>53</v>
      </c>
      <c r="G16" s="17" t="s">
        <v>54</v>
      </c>
      <c r="H16" s="52"/>
    </row>
    <row r="17" spans="1:8" x14ac:dyDescent="0.25">
      <c r="A17" s="10">
        <v>1</v>
      </c>
      <c r="B17" s="17" t="s">
        <v>103</v>
      </c>
      <c r="C17" s="17" t="s">
        <v>140</v>
      </c>
      <c r="D17" s="17">
        <v>5</v>
      </c>
      <c r="E17" s="17">
        <v>5.5</v>
      </c>
      <c r="F17" s="17" t="s">
        <v>154</v>
      </c>
      <c r="G17" s="11">
        <f t="shared" ref="G17:G19" si="1">D17*E17</f>
        <v>27.5</v>
      </c>
      <c r="H17" s="17"/>
    </row>
    <row r="18" spans="1:8" x14ac:dyDescent="0.25">
      <c r="A18" s="10">
        <v>2</v>
      </c>
      <c r="B18" s="17" t="s">
        <v>115</v>
      </c>
      <c r="C18" s="17" t="s">
        <v>141</v>
      </c>
      <c r="D18" s="17">
        <v>3.5</v>
      </c>
      <c r="E18" s="17">
        <v>2.5</v>
      </c>
      <c r="F18" s="17" t="s">
        <v>157</v>
      </c>
      <c r="G18" s="11">
        <f t="shared" si="1"/>
        <v>8.75</v>
      </c>
      <c r="H18" s="17"/>
    </row>
    <row r="19" spans="1:8" x14ac:dyDescent="0.25">
      <c r="A19" s="10">
        <v>3</v>
      </c>
      <c r="B19" s="17" t="s">
        <v>116</v>
      </c>
      <c r="C19" s="17" t="s">
        <v>142</v>
      </c>
      <c r="D19" s="17">
        <v>2.5</v>
      </c>
      <c r="E19" s="17">
        <v>4</v>
      </c>
      <c r="F19" s="45" t="s">
        <v>158</v>
      </c>
      <c r="G19" s="11">
        <f t="shared" si="1"/>
        <v>10</v>
      </c>
      <c r="H19" s="17"/>
    </row>
    <row r="20" spans="1:8" x14ac:dyDescent="0.25">
      <c r="A20" s="24"/>
      <c r="B20" s="32"/>
      <c r="C20" s="33"/>
      <c r="D20" s="24"/>
      <c r="E20" s="24"/>
      <c r="F20" s="24"/>
      <c r="G20" s="24"/>
      <c r="H20" s="24"/>
    </row>
    <row r="21" spans="1:8" x14ac:dyDescent="0.25">
      <c r="A21" s="52" t="s">
        <v>55</v>
      </c>
      <c r="B21" s="52"/>
      <c r="C21" s="52"/>
      <c r="D21" s="52"/>
      <c r="E21" s="52"/>
      <c r="F21" s="52"/>
      <c r="G21" s="52"/>
      <c r="H21" s="52"/>
    </row>
    <row r="22" spans="1:8" x14ac:dyDescent="0.25">
      <c r="A22" s="10">
        <v>1</v>
      </c>
      <c r="B22" s="58" t="s">
        <v>56</v>
      </c>
      <c r="C22" s="58"/>
      <c r="D22" s="58"/>
      <c r="E22" s="58"/>
      <c r="F22" s="58"/>
      <c r="G22" s="58"/>
      <c r="H22" s="10" t="s">
        <v>121</v>
      </c>
    </row>
    <row r="23" spans="1:8" x14ac:dyDescent="0.25">
      <c r="A23" s="10">
        <v>2</v>
      </c>
      <c r="B23" s="58" t="s">
        <v>57</v>
      </c>
      <c r="C23" s="58"/>
      <c r="D23" s="58"/>
      <c r="E23" s="58"/>
      <c r="F23" s="58"/>
      <c r="G23" s="58"/>
      <c r="H23" s="10" t="s">
        <v>122</v>
      </c>
    </row>
    <row r="24" spans="1:8" x14ac:dyDescent="0.25">
      <c r="A24" s="10">
        <v>3</v>
      </c>
      <c r="B24" s="58" t="s">
        <v>58</v>
      </c>
      <c r="C24" s="58"/>
      <c r="D24" s="58"/>
      <c r="E24" s="58"/>
      <c r="F24" s="58"/>
      <c r="G24" s="58"/>
      <c r="H24" s="10">
        <v>0</v>
      </c>
    </row>
    <row r="25" spans="1:8" x14ac:dyDescent="0.25">
      <c r="A25" s="24"/>
      <c r="B25" s="33"/>
      <c r="C25" s="33"/>
      <c r="D25" s="33"/>
      <c r="E25" s="33"/>
      <c r="F25" s="33"/>
      <c r="G25" s="33"/>
      <c r="H25" s="30"/>
    </row>
    <row r="26" spans="1:8" x14ac:dyDescent="0.25">
      <c r="B26" s="31" t="str">
        <f>B2</f>
        <v xml:space="preserve">    Grid No:  </v>
      </c>
      <c r="F26" s="23" t="s">
        <v>74</v>
      </c>
      <c r="G26" s="23"/>
    </row>
    <row r="27" spans="1:8" x14ac:dyDescent="0.25">
      <c r="A27" s="52" t="s">
        <v>46</v>
      </c>
      <c r="B27" s="52" t="s">
        <v>47</v>
      </c>
      <c r="C27" s="52" t="s">
        <v>48</v>
      </c>
      <c r="D27" s="54" t="s">
        <v>49</v>
      </c>
      <c r="E27" s="52" t="s">
        <v>50</v>
      </c>
      <c r="F27" s="52" t="s">
        <v>51</v>
      </c>
      <c r="G27" s="52"/>
      <c r="H27" s="52" t="s">
        <v>52</v>
      </c>
    </row>
    <row r="28" spans="1:8" ht="63" x14ac:dyDescent="0.25">
      <c r="A28" s="52"/>
      <c r="B28" s="52"/>
      <c r="C28" s="52"/>
      <c r="D28" s="55"/>
      <c r="E28" s="52"/>
      <c r="F28" s="17" t="s">
        <v>53</v>
      </c>
      <c r="G28" s="17" t="s">
        <v>54</v>
      </c>
      <c r="H28" s="52"/>
    </row>
    <row r="29" spans="1:8" s="22" customFormat="1" x14ac:dyDescent="0.25">
      <c r="A29" s="10">
        <v>1</v>
      </c>
      <c r="B29" s="34" t="s">
        <v>110</v>
      </c>
      <c r="C29" s="10" t="s">
        <v>143</v>
      </c>
      <c r="D29" s="10">
        <v>3.5</v>
      </c>
      <c r="E29" s="10">
        <v>8</v>
      </c>
      <c r="F29" s="10" t="s">
        <v>152</v>
      </c>
      <c r="G29" s="11">
        <f t="shared" ref="G29:G30" si="2">D29*E29</f>
        <v>28</v>
      </c>
      <c r="H29" s="10"/>
    </row>
    <row r="30" spans="1:8" s="22" customFormat="1" x14ac:dyDescent="0.25">
      <c r="A30" s="10">
        <v>2</v>
      </c>
      <c r="B30" s="34" t="s">
        <v>107</v>
      </c>
      <c r="C30" s="10" t="s">
        <v>144</v>
      </c>
      <c r="D30" s="10">
        <v>4</v>
      </c>
      <c r="E30" s="10">
        <v>5</v>
      </c>
      <c r="F30" s="10" t="s">
        <v>155</v>
      </c>
      <c r="G30" s="11">
        <f t="shared" si="2"/>
        <v>20</v>
      </c>
      <c r="H30" s="10"/>
    </row>
    <row r="31" spans="1:8" x14ac:dyDescent="0.25">
      <c r="A31" s="24"/>
      <c r="B31" s="24"/>
      <c r="C31" s="24"/>
      <c r="D31" s="24"/>
      <c r="E31" s="24"/>
      <c r="F31" s="24"/>
      <c r="G31" s="24"/>
      <c r="H31" s="24"/>
    </row>
    <row r="32" spans="1:8" x14ac:dyDescent="0.25">
      <c r="B32" s="31" t="str">
        <f>B2</f>
        <v xml:space="preserve">    Grid No:  </v>
      </c>
      <c r="F32" s="53" t="s">
        <v>75</v>
      </c>
      <c r="G32" s="53"/>
      <c r="H32" s="53"/>
    </row>
    <row r="33" spans="1:8" x14ac:dyDescent="0.25">
      <c r="A33" s="54" t="s">
        <v>46</v>
      </c>
      <c r="B33" s="54" t="s">
        <v>47</v>
      </c>
      <c r="C33" s="54" t="s">
        <v>48</v>
      </c>
      <c r="D33" s="54" t="s">
        <v>49</v>
      </c>
      <c r="E33" s="54" t="s">
        <v>50</v>
      </c>
      <c r="F33" s="56" t="s">
        <v>51</v>
      </c>
      <c r="G33" s="57"/>
      <c r="H33" s="54" t="s">
        <v>52</v>
      </c>
    </row>
    <row r="34" spans="1:8" ht="63" x14ac:dyDescent="0.25">
      <c r="A34" s="55"/>
      <c r="B34" s="55"/>
      <c r="C34" s="55"/>
      <c r="D34" s="55"/>
      <c r="E34" s="55"/>
      <c r="F34" s="17" t="s">
        <v>53</v>
      </c>
      <c r="G34" s="17" t="s">
        <v>54</v>
      </c>
      <c r="H34" s="55"/>
    </row>
    <row r="35" spans="1:8" s="22" customFormat="1" x14ac:dyDescent="0.25">
      <c r="A35" s="35">
        <v>1</v>
      </c>
      <c r="B35" s="34" t="s">
        <v>103</v>
      </c>
      <c r="C35" s="10"/>
      <c r="D35" s="35">
        <v>5</v>
      </c>
      <c r="E35" s="36">
        <v>6</v>
      </c>
      <c r="F35" s="21" t="s">
        <v>154</v>
      </c>
      <c r="G35" s="11">
        <f t="shared" ref="G35:G41" si="3">D35*E35</f>
        <v>30</v>
      </c>
      <c r="H35" s="21"/>
    </row>
    <row r="36" spans="1:8" s="22" customFormat="1" x14ac:dyDescent="0.25">
      <c r="A36" s="35">
        <v>2</v>
      </c>
      <c r="B36" s="34" t="s">
        <v>103</v>
      </c>
      <c r="C36" s="10"/>
      <c r="D36" s="35">
        <v>6</v>
      </c>
      <c r="E36" s="36">
        <v>6.5</v>
      </c>
      <c r="F36" s="21"/>
      <c r="G36" s="11">
        <f t="shared" si="3"/>
        <v>39</v>
      </c>
      <c r="H36" s="21"/>
    </row>
    <row r="37" spans="1:8" s="22" customFormat="1" x14ac:dyDescent="0.25">
      <c r="A37" s="35">
        <v>3</v>
      </c>
      <c r="B37" s="34" t="s">
        <v>111</v>
      </c>
      <c r="C37" s="10" t="s">
        <v>145</v>
      </c>
      <c r="D37" s="35">
        <v>7</v>
      </c>
      <c r="E37" s="36">
        <v>12</v>
      </c>
      <c r="F37" s="21"/>
      <c r="G37" s="11">
        <f t="shared" si="3"/>
        <v>84</v>
      </c>
      <c r="H37" s="21" t="s">
        <v>120</v>
      </c>
    </row>
    <row r="38" spans="1:8" s="22" customFormat="1" x14ac:dyDescent="0.25">
      <c r="A38" s="35">
        <v>4</v>
      </c>
      <c r="B38" s="34" t="s">
        <v>107</v>
      </c>
      <c r="C38" s="10" t="s">
        <v>144</v>
      </c>
      <c r="D38" s="35">
        <v>4.5</v>
      </c>
      <c r="E38" s="36">
        <v>3</v>
      </c>
      <c r="F38" s="21" t="s">
        <v>155</v>
      </c>
      <c r="G38" s="11">
        <f t="shared" si="3"/>
        <v>13.5</v>
      </c>
      <c r="H38" s="21"/>
    </row>
    <row r="39" spans="1:8" s="22" customFormat="1" x14ac:dyDescent="0.25">
      <c r="A39" s="35">
        <v>5</v>
      </c>
      <c r="B39" s="34" t="s">
        <v>111</v>
      </c>
      <c r="C39" s="10" t="s">
        <v>145</v>
      </c>
      <c r="D39" s="35">
        <v>3</v>
      </c>
      <c r="E39" s="36">
        <v>6</v>
      </c>
      <c r="F39" s="21"/>
      <c r="G39" s="11">
        <f t="shared" si="3"/>
        <v>18</v>
      </c>
      <c r="H39" s="21" t="s">
        <v>120</v>
      </c>
    </row>
    <row r="40" spans="1:8" s="22" customFormat="1" x14ac:dyDescent="0.25">
      <c r="A40" s="35">
        <v>6</v>
      </c>
      <c r="B40" s="34" t="s">
        <v>111</v>
      </c>
      <c r="C40" s="10" t="s">
        <v>145</v>
      </c>
      <c r="D40" s="35">
        <v>7</v>
      </c>
      <c r="E40" s="36">
        <v>8</v>
      </c>
      <c r="F40" s="45" t="s">
        <v>156</v>
      </c>
      <c r="G40" s="11">
        <f t="shared" si="3"/>
        <v>56</v>
      </c>
      <c r="H40" s="21" t="s">
        <v>120</v>
      </c>
    </row>
    <row r="41" spans="1:8" s="22" customFormat="1" x14ac:dyDescent="0.25">
      <c r="A41" s="35">
        <v>7</v>
      </c>
      <c r="B41" s="34" t="s">
        <v>111</v>
      </c>
      <c r="C41" s="10" t="s">
        <v>145</v>
      </c>
      <c r="D41" s="35">
        <v>5</v>
      </c>
      <c r="E41" s="36">
        <v>10</v>
      </c>
      <c r="F41" s="21"/>
      <c r="G41" s="11">
        <f t="shared" si="3"/>
        <v>50</v>
      </c>
      <c r="H41" s="21" t="s">
        <v>120</v>
      </c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  <mergeCell ref="A15:A16"/>
    <mergeCell ref="B15:B16"/>
    <mergeCell ref="C15:C16"/>
    <mergeCell ref="D15:D16"/>
    <mergeCell ref="E15:E16"/>
    <mergeCell ref="F15:G15"/>
    <mergeCell ref="H15:H16"/>
    <mergeCell ref="A21:H21"/>
    <mergeCell ref="B22:G22"/>
    <mergeCell ref="B23:G23"/>
    <mergeCell ref="B24:G24"/>
    <mergeCell ref="A27:A28"/>
    <mergeCell ref="B27:B28"/>
    <mergeCell ref="C27:C28"/>
    <mergeCell ref="D27:D28"/>
    <mergeCell ref="E27:E28"/>
    <mergeCell ref="F27:G27"/>
    <mergeCell ref="H27:H28"/>
    <mergeCell ref="F32:H32"/>
    <mergeCell ref="A33:A34"/>
    <mergeCell ref="B33:B34"/>
    <mergeCell ref="C33:C34"/>
    <mergeCell ref="D33:D34"/>
    <mergeCell ref="E33:E34"/>
    <mergeCell ref="F33:G33"/>
    <mergeCell ref="H33:H34"/>
  </mergeCells>
  <printOptions horizontalCentered="1"/>
  <pageMargins left="0.15748031496062992" right="0.23622047244094491" top="0.39370078740157483" bottom="0.27559055118110237" header="0.15748031496062992" footer="0.15748031496062992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abSelected="1" view="pageBreakPreview" zoomScale="60" zoomScaleNormal="85" workbookViewId="0">
      <selection activeCell="C33" sqref="C33"/>
    </sheetView>
  </sheetViews>
  <sheetFormatPr defaultRowHeight="15.75" x14ac:dyDescent="0.25"/>
  <cols>
    <col min="1" max="1" width="5.5703125" style="12" bestFit="1" customWidth="1"/>
    <col min="2" max="2" width="35.140625" style="12" customWidth="1"/>
    <col min="3" max="3" width="17.5703125" style="26" bestFit="1" customWidth="1"/>
    <col min="4" max="4" width="9.140625" style="12"/>
    <col min="5" max="6" width="10.28515625" style="12" customWidth="1"/>
    <col min="7" max="7" width="20" style="12" customWidth="1"/>
    <col min="8" max="16384" width="9.140625" style="12"/>
  </cols>
  <sheetData>
    <row r="1" spans="1:7" x14ac:dyDescent="0.25">
      <c r="A1" s="59" t="s">
        <v>60</v>
      </c>
      <c r="B1" s="59"/>
      <c r="C1" s="59"/>
      <c r="D1" s="59"/>
      <c r="E1" s="59"/>
      <c r="F1" s="59"/>
      <c r="G1" s="59"/>
    </row>
    <row r="2" spans="1:7" x14ac:dyDescent="0.25">
      <c r="E2" s="60" t="s">
        <v>45</v>
      </c>
      <c r="F2" s="60"/>
      <c r="G2" s="60"/>
    </row>
    <row r="3" spans="1:7" x14ac:dyDescent="0.25">
      <c r="A3" s="52" t="s">
        <v>46</v>
      </c>
      <c r="B3" s="52" t="s">
        <v>47</v>
      </c>
      <c r="C3" s="51" t="s">
        <v>48</v>
      </c>
      <c r="D3" s="52" t="s">
        <v>61</v>
      </c>
      <c r="E3" s="52" t="s">
        <v>51</v>
      </c>
      <c r="F3" s="52"/>
      <c r="G3" s="52" t="s">
        <v>62</v>
      </c>
    </row>
    <row r="4" spans="1:7" ht="31.5" x14ac:dyDescent="0.25">
      <c r="A4" s="52"/>
      <c r="B4" s="52"/>
      <c r="C4" s="51"/>
      <c r="D4" s="52"/>
      <c r="E4" s="17" t="s">
        <v>63</v>
      </c>
      <c r="F4" s="17" t="s">
        <v>64</v>
      </c>
      <c r="G4" s="52"/>
    </row>
    <row r="5" spans="1:7" x14ac:dyDescent="0.25">
      <c r="A5" s="52"/>
      <c r="B5" s="52"/>
      <c r="C5" s="51"/>
      <c r="D5" s="52"/>
      <c r="E5" s="17" t="s">
        <v>65</v>
      </c>
      <c r="F5" s="17" t="s">
        <v>71</v>
      </c>
      <c r="G5" s="52"/>
    </row>
    <row r="6" spans="1:7" ht="31.5" x14ac:dyDescent="0.25">
      <c r="A6" s="10">
        <v>1</v>
      </c>
      <c r="B6" s="17" t="s">
        <v>113</v>
      </c>
      <c r="C6" s="37" t="s">
        <v>139</v>
      </c>
      <c r="D6" s="17">
        <v>30</v>
      </c>
      <c r="E6" s="17" t="s">
        <v>153</v>
      </c>
      <c r="F6" s="17">
        <f>0.05*(D6)*(D6)</f>
        <v>45</v>
      </c>
      <c r="G6" s="17"/>
    </row>
    <row r="7" spans="1:7" x14ac:dyDescent="0.25">
      <c r="A7" s="10">
        <v>2</v>
      </c>
      <c r="B7" s="17" t="s">
        <v>110</v>
      </c>
      <c r="C7" s="37" t="s">
        <v>143</v>
      </c>
      <c r="D7" s="17">
        <v>20</v>
      </c>
      <c r="E7" s="17" t="s">
        <v>152</v>
      </c>
      <c r="F7" s="17">
        <f>0.05*(D7)*(D7)</f>
        <v>20</v>
      </c>
      <c r="G7" s="17"/>
    </row>
    <row r="8" spans="1:7" x14ac:dyDescent="0.25">
      <c r="A8" s="52" t="s">
        <v>55</v>
      </c>
      <c r="B8" s="52"/>
      <c r="C8" s="52"/>
      <c r="D8" s="52"/>
      <c r="E8" s="52"/>
      <c r="F8" s="52"/>
      <c r="G8" s="52"/>
    </row>
    <row r="9" spans="1:7" x14ac:dyDescent="0.25">
      <c r="A9" s="24"/>
      <c r="B9" s="30"/>
      <c r="C9" s="33"/>
      <c r="D9" s="24"/>
      <c r="E9" s="30"/>
      <c r="F9" s="30"/>
      <c r="G9" s="30"/>
    </row>
    <row r="10" spans="1:7" s="22" customFormat="1" x14ac:dyDescent="0.25">
      <c r="B10" s="38" t="s">
        <v>67</v>
      </c>
      <c r="C10" s="39"/>
      <c r="E10" s="59" t="s">
        <v>68</v>
      </c>
      <c r="F10" s="59"/>
      <c r="G10" s="59"/>
    </row>
    <row r="11" spans="1:7" x14ac:dyDescent="0.25">
      <c r="A11" s="52" t="s">
        <v>46</v>
      </c>
      <c r="B11" s="52" t="s">
        <v>47</v>
      </c>
      <c r="C11" s="61" t="s">
        <v>48</v>
      </c>
      <c r="D11" s="52" t="s">
        <v>61</v>
      </c>
      <c r="E11" s="52" t="s">
        <v>51</v>
      </c>
      <c r="F11" s="52"/>
      <c r="G11" s="52" t="s">
        <v>62</v>
      </c>
    </row>
    <row r="12" spans="1:7" ht="31.5" x14ac:dyDescent="0.25">
      <c r="A12" s="52"/>
      <c r="B12" s="52"/>
      <c r="C12" s="62"/>
      <c r="D12" s="52"/>
      <c r="E12" s="17" t="s">
        <v>63</v>
      </c>
      <c r="F12" s="17" t="s">
        <v>64</v>
      </c>
      <c r="G12" s="52"/>
    </row>
    <row r="13" spans="1:7" ht="31.5" x14ac:dyDescent="0.25">
      <c r="A13" s="52"/>
      <c r="B13" s="52"/>
      <c r="C13" s="63"/>
      <c r="D13" s="52"/>
      <c r="E13" s="17" t="s">
        <v>65</v>
      </c>
      <c r="F13" s="17" t="s">
        <v>66</v>
      </c>
      <c r="G13" s="52"/>
    </row>
    <row r="14" spans="1:7" s="22" customFormat="1" x14ac:dyDescent="0.25">
      <c r="A14" s="35">
        <v>1</v>
      </c>
      <c r="B14" s="21" t="s">
        <v>117</v>
      </c>
      <c r="C14" s="40"/>
      <c r="D14" s="35">
        <v>35</v>
      </c>
      <c r="E14" s="21" t="s">
        <v>148</v>
      </c>
      <c r="F14" s="17">
        <f t="shared" ref="F14:F18" si="0">0.05*(D14)*(D14)</f>
        <v>61.25</v>
      </c>
      <c r="G14" s="21"/>
    </row>
    <row r="15" spans="1:7" s="22" customFormat="1" x14ac:dyDescent="0.25">
      <c r="A15" s="35">
        <v>2</v>
      </c>
      <c r="B15" s="21" t="s">
        <v>118</v>
      </c>
      <c r="C15" s="40" t="s">
        <v>146</v>
      </c>
      <c r="D15" s="35">
        <v>23</v>
      </c>
      <c r="E15" s="21" t="s">
        <v>149</v>
      </c>
      <c r="F15" s="17">
        <f t="shared" si="0"/>
        <v>26.450000000000003</v>
      </c>
      <c r="G15" s="21"/>
    </row>
    <row r="16" spans="1:7" s="22" customFormat="1" x14ac:dyDescent="0.25">
      <c r="A16" s="35">
        <v>3</v>
      </c>
      <c r="B16" s="21" t="s">
        <v>119</v>
      </c>
      <c r="C16" s="40" t="s">
        <v>147</v>
      </c>
      <c r="D16" s="35">
        <v>20</v>
      </c>
      <c r="E16" s="21" t="s">
        <v>150</v>
      </c>
      <c r="F16" s="17">
        <f t="shared" si="0"/>
        <v>20</v>
      </c>
      <c r="G16" s="21"/>
    </row>
    <row r="17" spans="1:7" s="22" customFormat="1" x14ac:dyDescent="0.25">
      <c r="A17" s="35">
        <v>4</v>
      </c>
      <c r="B17" s="21" t="s">
        <v>118</v>
      </c>
      <c r="C17" s="40" t="s">
        <v>146</v>
      </c>
      <c r="D17" s="35">
        <v>25</v>
      </c>
      <c r="E17" s="21" t="s">
        <v>149</v>
      </c>
      <c r="F17" s="17">
        <f t="shared" si="0"/>
        <v>31.25</v>
      </c>
      <c r="G17" s="21"/>
    </row>
    <row r="18" spans="1:7" s="22" customFormat="1" x14ac:dyDescent="0.25">
      <c r="A18" s="35">
        <v>5</v>
      </c>
      <c r="B18" s="21" t="s">
        <v>118</v>
      </c>
      <c r="C18" s="40" t="s">
        <v>146</v>
      </c>
      <c r="D18" s="35">
        <v>20</v>
      </c>
      <c r="E18" s="21" t="s">
        <v>151</v>
      </c>
      <c r="F18" s="17">
        <f t="shared" si="0"/>
        <v>20</v>
      </c>
      <c r="G18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8:G8"/>
    <mergeCell ref="E10:G10"/>
    <mergeCell ref="A11:A13"/>
    <mergeCell ref="B11:B13"/>
    <mergeCell ref="C11:C13"/>
    <mergeCell ref="D11:D13"/>
    <mergeCell ref="E11:F11"/>
    <mergeCell ref="G11:G13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2024-10-25T10:11:23Z</cp:lastPrinted>
  <dcterms:created xsi:type="dcterms:W3CDTF">2023-09-21T06:16:02Z</dcterms:created>
  <dcterms:modified xsi:type="dcterms:W3CDTF">2024-10-25T10:11:34Z</dcterms:modified>
</cp:coreProperties>
</file>