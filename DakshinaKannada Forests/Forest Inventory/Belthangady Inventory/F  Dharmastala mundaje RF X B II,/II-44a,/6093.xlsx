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Dharmastala mundaje RF X B II\II-44a\"/>
    </mc:Choice>
  </mc:AlternateContent>
  <xr:revisionPtr revIDLastSave="0" documentId="13_ncr:1_{6CCC2C87-5B8F-4387-BCA7-913C74882EFD}" xr6:coauthVersionLast="47" xr6:coauthVersionMax="47" xr10:uidLastSave="{00000000-0000-0000-0000-000000000000}"/>
  <bookViews>
    <workbookView xWindow="1515" yWindow="1515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OLE_LINK1" localSheetId="2">'Form No 3'!$A$12</definedName>
    <definedName name="_xlnm.Print_Area" localSheetId="6">'Form 8'!$A$1:$K$22</definedName>
    <definedName name="_xlnm.Print_Area" localSheetId="2">'Form No 3'!$A$1:$T$75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0" i="8" l="1"/>
  <c r="G99" i="8"/>
  <c r="G98" i="8"/>
  <c r="G97" i="8"/>
  <c r="G96" i="8"/>
  <c r="G73" i="8"/>
  <c r="G72" i="8"/>
  <c r="G71" i="8"/>
  <c r="G70" i="8"/>
  <c r="G69" i="8"/>
  <c r="G41" i="8"/>
  <c r="G40" i="8"/>
  <c r="G39" i="8"/>
  <c r="G38" i="8"/>
  <c r="G14" i="8"/>
  <c r="G13" i="8"/>
  <c r="G12" i="8"/>
  <c r="G11" i="8"/>
  <c r="G10" i="8"/>
  <c r="G9" i="8"/>
  <c r="G8" i="8"/>
  <c r="G7" i="8"/>
  <c r="G6" i="8"/>
  <c r="G5" i="8"/>
  <c r="F48" i="9"/>
  <c r="F47" i="9"/>
  <c r="F46" i="9"/>
  <c r="F45" i="9"/>
  <c r="F44" i="9"/>
  <c r="F43" i="9"/>
  <c r="F42" i="9"/>
  <c r="F41" i="9"/>
  <c r="F40" i="9"/>
  <c r="F39" i="9"/>
  <c r="F13" i="9"/>
  <c r="F12" i="9"/>
  <c r="F11" i="9"/>
  <c r="F10" i="9"/>
  <c r="F9" i="9"/>
  <c r="F8" i="9"/>
  <c r="F7" i="9"/>
  <c r="F6" i="9"/>
  <c r="C5" i="5"/>
  <c r="C7" i="5"/>
  <c r="C8" i="5"/>
  <c r="C9" i="5"/>
  <c r="C10" i="5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12" i="6"/>
  <c r="B93" i="8"/>
  <c r="B66" i="8"/>
  <c r="B35" i="8"/>
</calcChain>
</file>

<file path=xl/sharedStrings.xml><?xml version="1.0" encoding="utf-8"?>
<sst xmlns="http://schemas.openxmlformats.org/spreadsheetml/2006/main" count="563" uniqueCount="326">
  <si>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</si>
  <si>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</si>
  <si>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</si>
  <si>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</si>
  <si>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</si>
  <si>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</si>
  <si>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</si>
  <si>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</si>
  <si>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</si>
  <si>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</si>
  <si>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</si>
  <si>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</si>
  <si>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</si>
  <si>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</si>
  <si>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</si>
  <si>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</si>
  <si>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</si>
  <si>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</si>
  <si>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</si>
  <si>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</si>
  <si>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</si>
  <si>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</si>
  <si>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</si>
  <si>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</si>
  <si>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</si>
  <si>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</si>
  <si>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</si>
  <si>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</si>
  <si>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</si>
  <si>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</si>
  <si>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</si>
  <si>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</si>
  <si>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</si>
  <si>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</si>
  <si>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</si>
  <si>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</si>
  <si>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</si>
  <si>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</si>
  <si>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</si>
  <si>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</si>
  <si>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</si>
  <si>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</si>
  <si>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</si>
  <si>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</si>
  <si>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</si>
  <si>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</si>
  <si>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</si>
  <si>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</si>
  <si>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</si>
  <si>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</si>
  <si>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</si>
  <si>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</si>
  <si>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</si>
  <si>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</si>
  <si>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</si>
  <si>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</si>
  <si>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</si>
  <si>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</si>
  <si>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</si>
  <si>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</si>
  <si>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</si>
  <si>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</si>
  <si>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</si>
  <si>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</si>
  <si>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</si>
  <si>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</si>
  <si>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</si>
  <si>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</si>
  <si>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</si>
  <si>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</si>
  <si>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</si>
  <si>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</si>
  <si>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</si>
  <si>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</si>
  <si>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</si>
  <si>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</si>
  <si>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</si>
  <si>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</si>
  <si>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</si>
  <si>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</si>
  <si>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</si>
  <si>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</si>
  <si>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</si>
  <si>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</si>
  <si>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</si>
  <si>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</si>
  <si>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</si>
  <si>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</si>
  <si>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</si>
  <si>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</si>
  <si>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</si>
  <si>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</si>
  <si>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</si>
  <si>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</si>
  <si>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</si>
  <si>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</si>
  <si>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</si>
  <si>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</si>
  <si>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</si>
  <si>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</si>
  <si>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</si>
  <si>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</si>
  <si>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</si>
  <si>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</si>
  <si>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</si>
  <si>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</si>
  <si>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</si>
  <si>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</si>
  <si>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</si>
  <si>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</si>
  <si>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</si>
  <si>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</si>
  <si>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</si>
  <si>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</si>
  <si>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</si>
  <si>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</si>
  <si>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</si>
  <si>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</si>
  <si>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</si>
  <si>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</si>
  <si>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</si>
  <si>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</si>
  <si>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</si>
  <si>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</si>
  <si>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</si>
  <si>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</si>
  <si>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</si>
  <si>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</si>
  <si>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</si>
  <si>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</si>
  <si>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</si>
  <si>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</si>
  <si>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</si>
  <si>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</si>
  <si>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</si>
  <si>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</si>
  <si>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</si>
  <si>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</si>
  <si>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</si>
  <si>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</si>
  <si>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</si>
  <si>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</si>
  <si>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</si>
  <si>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</si>
  <si>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</si>
  <si>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</si>
  <si>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</si>
  <si>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</si>
  <si>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</si>
  <si>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</si>
  <si>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</si>
  <si>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</si>
  <si>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</si>
  <si>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</si>
  <si>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</si>
  <si>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</si>
  <si>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</si>
  <si>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</si>
  <si>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</si>
  <si>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</si>
  <si>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</si>
  <si>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</si>
  <si>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</si>
  <si>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</si>
  <si>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</si>
  <si>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</si>
  <si>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</si>
  <si>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</si>
  <si>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</si>
  <si>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</si>
  <si>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</si>
  <si>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</si>
  <si>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</si>
  <si>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</si>
  <si>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</si>
  <si>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</si>
  <si>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</si>
  <si>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</si>
  <si>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</si>
  <si>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</si>
  <si>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</si>
  <si>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</si>
  <si>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</si>
  <si>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</si>
  <si>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</si>
  <si>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</si>
  <si>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</si>
  <si>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</si>
  <si>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</si>
  <si>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</si>
  <si>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</si>
  <si>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</si>
  <si>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</si>
  <si>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</si>
  <si>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</si>
  <si>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</si>
  <si>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</si>
  <si>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</si>
  <si>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</si>
  <si>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</si>
  <si>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</si>
  <si>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</si>
  <si>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</si>
  <si>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</si>
  <si>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</si>
  <si>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</si>
  <si>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</si>
  <si>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</si>
  <si>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</si>
  <si>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</si>
  <si>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</si>
  <si>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</si>
  <si>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</si>
  <si>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</si>
  <si>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</si>
  <si>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</si>
  <si>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</si>
  <si>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</si>
  <si>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</si>
  <si>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</si>
  <si>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</si>
  <si>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</si>
  <si>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</si>
  <si>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</si>
  <si>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</si>
  <si>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</si>
  <si>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</si>
  <si>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</si>
  <si>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</si>
  <si>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</si>
  <si>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</si>
  <si>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</si>
  <si>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</si>
  <si>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</si>
  <si>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</si>
  <si>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</si>
  <si>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</si>
  <si>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</si>
  <si>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</si>
  <si>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</si>
  <si>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</si>
  <si>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</si>
  <si>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</si>
  <si>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3.5km in highway 32 from Dharmasthala to nidle road. Turn right towards Melinadka and paduva and travel 5 km grid is situated left from the main road</t>
  </si>
  <si>
    <t xml:space="preserve">Casuarina equisitifolia , Terminalia tomentosa , Terminalia paniculata , Xylia xylocarpa ,Aporosa lindleyana </t>
  </si>
  <si>
    <t>Tract - Flat</t>
  </si>
  <si>
    <t>Canopy Dencity - 0.55</t>
  </si>
  <si>
    <t>Soil - Black forest soil</t>
  </si>
  <si>
    <t>Herbs - Jasminum malabaricum</t>
  </si>
  <si>
    <t xml:space="preserve">Underwood species – Xylia xylocarpa , Aporosa lindleyana , Ixora brachiata </t>
  </si>
  <si>
    <t xml:space="preserve">Shrubs - Embelia tsieriam-cottam , Aporosa lindleyana </t>
  </si>
  <si>
    <t xml:space="preserve">Climbers - Pothos scandens , Piper nigrum </t>
  </si>
  <si>
    <t xml:space="preserve">Plantation of Casuarina equisitifolia </t>
  </si>
  <si>
    <t>2.5m</t>
  </si>
  <si>
    <t>458 ft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</si>
  <si>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</si>
  <si>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</si>
  <si>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rPr>
        <b/>
        <sz val="12"/>
        <rFont val="Times New Roman"/>
        <family val="1"/>
      </rPr>
      <t>Flat</t>
    </r>
    <r>
      <rPr>
        <sz val="12"/>
        <rFont val="Times New Roman"/>
        <family val="1"/>
      </rPr>
      <t xml:space="preserve"> / Gently rolling / Ravines / Gullies / Hilly /Very Hilly</t>
    </r>
  </si>
  <si>
    <r>
      <rPr>
        <b/>
        <sz val="12"/>
        <rFont val="Times New Roman"/>
        <family val="1"/>
      </rPr>
      <t>Upto 3</t>
    </r>
    <r>
      <rPr>
        <sz val="12"/>
        <rFont val="Times New Roman"/>
        <family val="1"/>
      </rPr>
      <t>° /4°-15°/ 16°-40° /41° and Above</t>
    </r>
  </si>
  <si>
    <r>
      <t>Northern / NE/Eastern / SE /Southern /SW /Western/ NW /</t>
    </r>
    <r>
      <rPr>
        <b/>
        <sz val="12"/>
        <rFont val="Times New Roman"/>
        <family val="1"/>
      </rPr>
      <t>No aspect</t>
    </r>
  </si>
  <si>
    <t>Permiability- good</t>
  </si>
  <si>
    <r>
      <t>Heavy / Moderate /Mild /</t>
    </r>
    <r>
      <rPr>
        <b/>
        <sz val="12"/>
        <rFont val="Times New Roman"/>
        <family val="1"/>
      </rPr>
      <t>No erosion</t>
    </r>
  </si>
  <si>
    <t xml:space="preserve">Xylia xylocarpa , Terminalia tomentosa , Terminalia paniculata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</si>
  <si>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</si>
  <si>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</si>
  <si>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t>Microbes, Insects,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</si>
  <si>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</si>
  <si>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</si>
  <si>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</si>
  <si>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 xml:space="preserve">Heavily / </t>
    </r>
    <r>
      <rPr>
        <b/>
        <sz val="12"/>
        <rFont val="Times New Roman"/>
        <family val="1"/>
      </rPr>
      <t>Moderately</t>
    </r>
    <r>
      <rPr>
        <sz val="12"/>
        <rFont val="Times New Roman"/>
        <family val="1"/>
      </rPr>
      <t xml:space="preserve"> / Mildly /Not degrated
</t>
    </r>
  </si>
  <si>
    <t>0.5-0.75</t>
  </si>
  <si>
    <t>Terminalia paniculata</t>
  </si>
  <si>
    <t>Xylia xylocarpa</t>
  </si>
  <si>
    <t>Alseodaphne semicarpifolia</t>
  </si>
  <si>
    <t>Terminalia tomentosa</t>
  </si>
  <si>
    <t xml:space="preserve">Albizia lebbeck </t>
  </si>
  <si>
    <t>Aporosa lindleyana</t>
  </si>
  <si>
    <t>Ziziphus oenoplia</t>
  </si>
  <si>
    <t>Tabernamontana heyneana</t>
  </si>
  <si>
    <t>Psychotria flavida</t>
  </si>
  <si>
    <t>Olea dioca</t>
  </si>
  <si>
    <t>1.2kg</t>
  </si>
  <si>
    <t>6kg</t>
  </si>
  <si>
    <t>1.6kg</t>
  </si>
  <si>
    <t>2.5kg</t>
  </si>
  <si>
    <t>Ixora brachiata</t>
  </si>
  <si>
    <t>Callicarpa tomentosa</t>
  </si>
  <si>
    <t>Xanthoxylum retusus</t>
  </si>
  <si>
    <t>Lminia acidissima</t>
  </si>
  <si>
    <t>189g</t>
  </si>
  <si>
    <t>900g</t>
  </si>
  <si>
    <t>650g</t>
  </si>
  <si>
    <t>360g</t>
  </si>
  <si>
    <t>Belthangady</t>
  </si>
  <si>
    <t xml:space="preserve">Dharmastala mundaje RF X B II </t>
  </si>
  <si>
    <t>II-44a</t>
  </si>
  <si>
    <t>Grasses - NIL</t>
  </si>
  <si>
    <t>Weeds - NIL</t>
  </si>
  <si>
    <t>Bamboos - NIL</t>
  </si>
  <si>
    <t>Rattans – NIL</t>
  </si>
  <si>
    <t>NTFP yieding sps – NIL</t>
  </si>
  <si>
    <t>Aspect - No fix</t>
  </si>
  <si>
    <t>Present moderate</t>
  </si>
  <si>
    <t>NIL</t>
  </si>
  <si>
    <t>Texture-  Coarse</t>
  </si>
  <si>
    <t>Depth- Deep</t>
  </si>
  <si>
    <t>Mangalore</t>
  </si>
  <si>
    <t>Kaadu coffee</t>
  </si>
  <si>
    <t>Jambe</t>
  </si>
  <si>
    <t>Salle</t>
  </si>
  <si>
    <t>Akkerakalu</t>
  </si>
  <si>
    <t>Gorbale</t>
  </si>
  <si>
    <t>Matti</t>
  </si>
  <si>
    <t>Jumma</t>
  </si>
  <si>
    <t>Paragi</t>
  </si>
  <si>
    <t>fruits</t>
  </si>
  <si>
    <t>flowers, seeds</t>
  </si>
  <si>
    <t>seeds, leaves</t>
  </si>
  <si>
    <t>leavs</t>
  </si>
  <si>
    <t>seeds</t>
  </si>
  <si>
    <t>leaves</t>
  </si>
  <si>
    <t>frutis, fiber</t>
  </si>
  <si>
    <t>fruit pulp</t>
  </si>
  <si>
    <t>flowers</t>
  </si>
  <si>
    <t>stems, leaves</t>
  </si>
  <si>
    <t>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</si>
</sst>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306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293</v>
      </c>
    </row>
    <row r="6" spans="1:3" ht="39" customHeight="1" x14ac:dyDescent="0.25">
      <c r="A6" s="4">
        <v>2</v>
      </c>
      <c r="B6" s="51" t="s">
        <v>7</v>
      </c>
      <c r="C6" s="8" t="s">
        <v>294</v>
      </c>
    </row>
    <row r="7" spans="1:3" ht="39" customHeight="1" x14ac:dyDescent="0.25">
      <c r="A7" s="4">
        <v>3</v>
      </c>
      <c r="B7" s="51" t="s">
        <v>8</v>
      </c>
      <c r="C7" s="8" t="s">
        <v>295</v>
      </c>
    </row>
    <row r="8" spans="1:3" ht="39" customHeight="1" x14ac:dyDescent="0.25">
      <c r="A8" s="4">
        <v>4</v>
      </c>
      <c r="B8" s="51" t="s">
        <v>9</v>
      </c>
      <c r="C8" s="8">
        <v>6093</v>
      </c>
    </row>
    <row r="9" spans="1:3" ht="39" customHeight="1" x14ac:dyDescent="0.25">
      <c r="A9" s="4">
        <v>5</v>
      </c>
      <c r="B9" s="51" t="s">
        <v>10</v>
      </c>
      <c r="C9" s="9">
        <v>12.958489999999999</v>
      </c>
    </row>
    <row r="10" spans="1:3" ht="39" customHeight="1" x14ac:dyDescent="0.25">
      <c r="A10" s="4">
        <v>6</v>
      </c>
      <c r="B10" s="51" t="s">
        <v>11</v>
      </c>
      <c r="C10" s="9">
        <v>75.409769999999995</v>
      </c>
    </row>
    <row r="11" spans="1:3" ht="141.75" customHeight="1" x14ac:dyDescent="0.25">
      <c r="A11" s="4">
        <v>7</v>
      </c>
      <c r="B11" s="51" t="s">
        <v>12</v>
      </c>
      <c r="C11" s="8" t="s">
        <v>243</v>
      </c>
    </row>
    <row r="12" spans="1:3" ht="98.25" customHeight="1" x14ac:dyDescent="0.25">
      <c r="A12" s="4">
        <v>8</v>
      </c>
      <c r="B12" s="51" t="s">
        <v>13</v>
      </c>
      <c r="C12" s="10" t="s">
        <v>244</v>
      </c>
    </row>
    <row r="13" spans="1:3" ht="32.25" customHeight="1" x14ac:dyDescent="0.25">
      <c r="A13" s="54">
        <v>9</v>
      </c>
      <c r="B13" s="55" t="s">
        <v>14</v>
      </c>
      <c r="C13" s="6" t="s">
        <v>245</v>
      </c>
    </row>
    <row r="14" spans="1:3" ht="32.25" customHeight="1" x14ac:dyDescent="0.25">
      <c r="A14" s="54"/>
      <c r="B14" s="55"/>
      <c r="C14" s="6" t="s">
        <v>301</v>
      </c>
    </row>
    <row r="15" spans="1:3" ht="32.25" customHeight="1" x14ac:dyDescent="0.25">
      <c r="A15" s="54"/>
      <c r="B15" s="55"/>
      <c r="C15" s="6" t="s">
        <v>246</v>
      </c>
    </row>
    <row r="16" spans="1:3" ht="32.25" customHeight="1" x14ac:dyDescent="0.25">
      <c r="A16" s="54"/>
      <c r="B16" s="55"/>
      <c r="C16" s="6" t="s">
        <v>247</v>
      </c>
    </row>
    <row r="17" spans="1:3" ht="32.25" customHeight="1" x14ac:dyDescent="0.25">
      <c r="A17" s="54"/>
      <c r="B17" s="55"/>
      <c r="C17" s="6" t="s">
        <v>296</v>
      </c>
    </row>
    <row r="18" spans="1:3" ht="32.25" customHeight="1" x14ac:dyDescent="0.25">
      <c r="A18" s="54"/>
      <c r="B18" s="55"/>
      <c r="C18" s="6" t="s">
        <v>297</v>
      </c>
    </row>
    <row r="19" spans="1:3" ht="32.25" customHeight="1" x14ac:dyDescent="0.25">
      <c r="A19" s="54"/>
      <c r="B19" s="55"/>
      <c r="C19" s="6" t="s">
        <v>298</v>
      </c>
    </row>
    <row r="20" spans="1:3" ht="57.75" customHeight="1" x14ac:dyDescent="0.25">
      <c r="A20" s="54"/>
      <c r="B20" s="55"/>
      <c r="C20" s="6" t="s">
        <v>248</v>
      </c>
    </row>
    <row r="21" spans="1:3" ht="63" customHeight="1" x14ac:dyDescent="0.25">
      <c r="A21" s="54"/>
      <c r="B21" s="55"/>
      <c r="C21" s="6" t="s">
        <v>250</v>
      </c>
    </row>
    <row r="22" spans="1:3" ht="63" customHeight="1" x14ac:dyDescent="0.25">
      <c r="A22" s="54"/>
      <c r="B22" s="55"/>
      <c r="C22" s="6" t="s">
        <v>249</v>
      </c>
    </row>
    <row r="23" spans="1:3" ht="63" customHeight="1" x14ac:dyDescent="0.25">
      <c r="A23" s="54"/>
      <c r="B23" s="55"/>
      <c r="C23" s="6" t="s">
        <v>251</v>
      </c>
    </row>
    <row r="24" spans="1:3" ht="63" customHeight="1" x14ac:dyDescent="0.25">
      <c r="A24" s="54"/>
      <c r="B24" s="55"/>
      <c r="C24" s="6" t="s">
        <v>299</v>
      </c>
    </row>
    <row r="25" spans="1:3" ht="63" customHeight="1" x14ac:dyDescent="0.25">
      <c r="A25" s="54"/>
      <c r="B25" s="55"/>
      <c r="C25" s="6" t="s">
        <v>300</v>
      </c>
    </row>
    <row r="26" spans="1:3" ht="49.5" customHeight="1" x14ac:dyDescent="0.25">
      <c r="A26" s="4">
        <v>10</v>
      </c>
      <c r="B26" s="51" t="s">
        <v>15</v>
      </c>
      <c r="C26" s="6" t="s">
        <v>252</v>
      </c>
    </row>
    <row r="27" spans="1:3" ht="53.25" customHeight="1" x14ac:dyDescent="0.25">
      <c r="A27" s="4">
        <v>11</v>
      </c>
      <c r="B27" s="51" t="s">
        <v>16</v>
      </c>
      <c r="C27" s="6" t="s">
        <v>302</v>
      </c>
    </row>
    <row r="28" spans="1:3" s="13" customFormat="1" ht="51" customHeight="1" x14ac:dyDescent="0.25">
      <c r="A28" s="18">
        <v>12</v>
      </c>
      <c r="B28" s="52" t="s">
        <v>218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219</v>
      </c>
      <c r="C29" s="12" t="s">
        <v>253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306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25">
      <c r="A6" s="11">
        <v>2</v>
      </c>
      <c r="B6" s="52" t="s">
        <v>224</v>
      </c>
      <c r="C6" s="20"/>
    </row>
    <row r="7" spans="1:3" ht="32.25" customHeight="1" x14ac:dyDescent="0.25">
      <c r="A7" s="11">
        <v>3</v>
      </c>
      <c r="B7" s="52" t="s">
        <v>220</v>
      </c>
      <c r="C7" s="20" t="str">
        <f>'Form 1'!C6</f>
        <v xml:space="preserve">Dharmastala mundaje RF X B II </v>
      </c>
    </row>
    <row r="8" spans="1:3" ht="32.25" customHeight="1" x14ac:dyDescent="0.25">
      <c r="A8" s="11">
        <v>4</v>
      </c>
      <c r="B8" s="52" t="s">
        <v>9</v>
      </c>
      <c r="C8" s="20">
        <f>'Form 1'!C8</f>
        <v>6093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12.958489999999999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75.409769999999995</v>
      </c>
    </row>
    <row r="11" spans="1:3" ht="32.25" customHeight="1" x14ac:dyDescent="0.25">
      <c r="A11" s="11">
        <v>7</v>
      </c>
      <c r="B11" s="52" t="s">
        <v>22</v>
      </c>
      <c r="C11" s="20" t="s">
        <v>254</v>
      </c>
    </row>
    <row r="12" spans="1:3" ht="43.5" customHeight="1" x14ac:dyDescent="0.25">
      <c r="A12" s="11">
        <v>8</v>
      </c>
      <c r="B12" s="52" t="s">
        <v>23</v>
      </c>
      <c r="C12" s="20" t="s">
        <v>255</v>
      </c>
    </row>
    <row r="13" spans="1:3" ht="43.5" customHeight="1" x14ac:dyDescent="0.25">
      <c r="A13" s="11">
        <v>9</v>
      </c>
      <c r="B13" s="52" t="s">
        <v>24</v>
      </c>
      <c r="C13" s="20" t="s">
        <v>256</v>
      </c>
    </row>
    <row r="14" spans="1:3" ht="38.25" customHeight="1" x14ac:dyDescent="0.25">
      <c r="A14" s="11">
        <v>10</v>
      </c>
      <c r="B14" s="52" t="s">
        <v>25</v>
      </c>
      <c r="C14" s="20" t="s">
        <v>257</v>
      </c>
    </row>
    <row r="15" spans="1:3" ht="25.5" customHeight="1" x14ac:dyDescent="0.25">
      <c r="A15" s="11">
        <v>11</v>
      </c>
      <c r="B15" s="52" t="s">
        <v>26</v>
      </c>
      <c r="C15" s="22" t="s">
        <v>258</v>
      </c>
    </row>
    <row r="16" spans="1:3" ht="37.5" customHeight="1" x14ac:dyDescent="0.25">
      <c r="A16" s="11">
        <v>12</v>
      </c>
      <c r="B16" s="52" t="s">
        <v>27</v>
      </c>
      <c r="C16" s="22" t="s">
        <v>259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304</v>
      </c>
    </row>
    <row r="19" spans="1:3" ht="30.75" customHeight="1" x14ac:dyDescent="0.25">
      <c r="A19" s="57"/>
      <c r="B19" s="58"/>
      <c r="C19" s="22" t="s">
        <v>305</v>
      </c>
    </row>
    <row r="20" spans="1:3" ht="30.75" customHeight="1" x14ac:dyDescent="0.25">
      <c r="A20" s="57"/>
      <c r="B20" s="58"/>
      <c r="C20" s="23" t="s">
        <v>260</v>
      </c>
    </row>
    <row r="21" spans="1:3" ht="36" customHeight="1" x14ac:dyDescent="0.25">
      <c r="A21" s="11">
        <v>15</v>
      </c>
      <c r="B21" s="52" t="s">
        <v>31</v>
      </c>
      <c r="C21" s="22" t="s">
        <v>261</v>
      </c>
    </row>
    <row r="22" spans="1:3" ht="54.75" customHeight="1" x14ac:dyDescent="0.25">
      <c r="A22" s="11">
        <v>16</v>
      </c>
      <c r="B22" s="52" t="s">
        <v>32</v>
      </c>
      <c r="C22" s="22" t="s">
        <v>262</v>
      </c>
    </row>
    <row r="23" spans="1:3" ht="15.75" x14ac:dyDescent="0.25">
      <c r="A23" s="11">
        <v>17</v>
      </c>
      <c r="B23" s="52" t="s">
        <v>221</v>
      </c>
      <c r="C23" s="22" t="s">
        <v>263</v>
      </c>
    </row>
    <row r="24" spans="1:3" ht="35.25" customHeight="1" x14ac:dyDescent="0.25">
      <c r="A24" s="11">
        <v>18</v>
      </c>
      <c r="B24" s="52" t="s">
        <v>33</v>
      </c>
      <c r="C24" s="22" t="s">
        <v>264</v>
      </c>
    </row>
    <row r="25" spans="1:3" ht="72.75" customHeight="1" x14ac:dyDescent="0.25">
      <c r="A25" s="11">
        <v>19</v>
      </c>
      <c r="B25" s="52" t="s">
        <v>34</v>
      </c>
      <c r="C25" s="22" t="s">
        <v>265</v>
      </c>
    </row>
    <row r="26" spans="1:3" ht="30" customHeight="1" x14ac:dyDescent="0.25">
      <c r="A26" s="11">
        <v>20</v>
      </c>
      <c r="B26" s="52" t="s">
        <v>35</v>
      </c>
      <c r="C26" s="23" t="s">
        <v>266</v>
      </c>
    </row>
    <row r="27" spans="1:3" ht="30" customHeight="1" x14ac:dyDescent="0.25">
      <c r="A27" s="11">
        <v>21</v>
      </c>
      <c r="B27" s="52" t="s">
        <v>36</v>
      </c>
      <c r="C27" s="22" t="s">
        <v>267</v>
      </c>
    </row>
    <row r="28" spans="1:3" ht="30" customHeight="1" x14ac:dyDescent="0.25">
      <c r="A28" s="11">
        <v>22</v>
      </c>
      <c r="B28" s="52" t="s">
        <v>37</v>
      </c>
      <c r="C28" s="22" t="s">
        <v>268</v>
      </c>
    </row>
    <row r="29" spans="1:3" ht="32.25" customHeight="1" x14ac:dyDescent="0.25">
      <c r="A29" s="11">
        <v>23</v>
      </c>
      <c r="B29" s="52" t="s">
        <v>38</v>
      </c>
      <c r="C29" s="22" t="s">
        <v>268</v>
      </c>
    </row>
    <row r="30" spans="1:3" ht="62.25" customHeight="1" x14ac:dyDescent="0.25">
      <c r="A30" s="11">
        <v>24</v>
      </c>
      <c r="B30" s="52" t="s">
        <v>39</v>
      </c>
      <c r="C30" s="22" t="s">
        <v>303</v>
      </c>
    </row>
    <row r="31" spans="1:3" ht="72.75" customHeight="1" x14ac:dyDescent="0.25">
      <c r="A31" s="11">
        <v>25</v>
      </c>
      <c r="B31" s="52" t="s">
        <v>40</v>
      </c>
      <c r="C31" s="22" t="s">
        <v>303</v>
      </c>
    </row>
    <row r="32" spans="1:3" ht="60" customHeight="1" x14ac:dyDescent="0.25">
      <c r="A32" s="11">
        <v>26</v>
      </c>
      <c r="B32" s="52" t="s">
        <v>41</v>
      </c>
      <c r="C32" s="22" t="s">
        <v>303</v>
      </c>
    </row>
    <row r="33" spans="1:3" ht="60" customHeight="1" x14ac:dyDescent="0.25">
      <c r="A33" s="11">
        <v>27</v>
      </c>
      <c r="B33" s="52" t="s">
        <v>42</v>
      </c>
      <c r="C33" s="20" t="s">
        <v>269</v>
      </c>
    </row>
    <row r="34" spans="1:3" ht="57.75" customHeight="1" x14ac:dyDescent="0.25">
      <c r="A34" s="11">
        <v>28</v>
      </c>
      <c r="B34" s="52" t="s">
        <v>43</v>
      </c>
      <c r="C34" s="22" t="s">
        <v>303</v>
      </c>
    </row>
    <row r="35" spans="1:3" ht="59.25" customHeight="1" x14ac:dyDescent="0.25">
      <c r="A35" s="11">
        <v>29</v>
      </c>
      <c r="B35" s="52" t="s">
        <v>44</v>
      </c>
      <c r="C35" s="22" t="s">
        <v>303</v>
      </c>
    </row>
    <row r="36" spans="1:3" ht="66" customHeight="1" x14ac:dyDescent="0.25">
      <c r="A36" s="11">
        <v>30</v>
      </c>
      <c r="B36" s="52" t="s">
        <v>225</v>
      </c>
      <c r="C36" s="22" t="s">
        <v>270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5"/>
  <sheetViews>
    <sheetView view="pageBreakPreview" topLeftCell="A3" zoomScale="70" zoomScaleNormal="70" zoomScaleSheetLayoutView="70" workbookViewId="0">
      <selection activeCell="P13" sqref="P13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271</v>
      </c>
      <c r="C12" s="24"/>
      <c r="D12" s="24">
        <v>55</v>
      </c>
      <c r="E12" s="24"/>
      <c r="F12" s="24"/>
      <c r="G12" s="24"/>
      <c r="H12" s="24"/>
      <c r="I12" s="24">
        <v>8</v>
      </c>
      <c r="J12" s="24">
        <v>7</v>
      </c>
      <c r="K12" s="24">
        <f>L12+M12+R12</f>
        <v>12</v>
      </c>
      <c r="L12" s="24">
        <v>4</v>
      </c>
      <c r="M12" s="24">
        <v>2</v>
      </c>
      <c r="N12" s="24"/>
      <c r="O12" s="24"/>
      <c r="P12" s="24"/>
      <c r="Q12" s="24"/>
      <c r="R12" s="24">
        <v>6</v>
      </c>
      <c r="S12" s="24"/>
      <c r="T12" s="24"/>
    </row>
    <row r="13" spans="1:20" ht="40.5" customHeight="1" x14ac:dyDescent="0.25">
      <c r="A13" s="24">
        <f t="shared" ref="A13:A74" si="0">ROW()-11</f>
        <v>2</v>
      </c>
      <c r="B13" s="24" t="s">
        <v>272</v>
      </c>
      <c r="C13" s="24"/>
      <c r="D13" s="24">
        <v>63</v>
      </c>
      <c r="E13" s="24"/>
      <c r="F13" s="24"/>
      <c r="G13" s="24"/>
      <c r="H13" s="24"/>
      <c r="I13" s="24">
        <v>7</v>
      </c>
      <c r="J13" s="24">
        <v>6</v>
      </c>
      <c r="K13" s="24">
        <f t="shared" ref="K13:K74" si="1">L13+M13+R13</f>
        <v>14</v>
      </c>
      <c r="L13" s="24">
        <v>5</v>
      </c>
      <c r="M13" s="24">
        <v>3</v>
      </c>
      <c r="N13" s="24"/>
      <c r="O13" s="24"/>
      <c r="P13" s="24"/>
      <c r="Q13" s="24"/>
      <c r="R13" s="24">
        <v>6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273</v>
      </c>
      <c r="C14" s="24"/>
      <c r="D14" s="24">
        <v>45</v>
      </c>
      <c r="E14" s="24"/>
      <c r="F14" s="24"/>
      <c r="G14" s="24"/>
      <c r="H14" s="24"/>
      <c r="I14" s="24">
        <v>6</v>
      </c>
      <c r="J14" s="24">
        <v>5</v>
      </c>
      <c r="K14" s="24">
        <f t="shared" si="1"/>
        <v>15.5</v>
      </c>
      <c r="L14" s="24">
        <v>3.5</v>
      </c>
      <c r="M14" s="24">
        <v>3</v>
      </c>
      <c r="N14" s="24"/>
      <c r="O14" s="24"/>
      <c r="P14" s="24"/>
      <c r="Q14" s="24"/>
      <c r="R14" s="24">
        <v>9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273</v>
      </c>
      <c r="C15" s="24"/>
      <c r="D15" s="24">
        <v>44</v>
      </c>
      <c r="E15" s="24"/>
      <c r="F15" s="24"/>
      <c r="G15" s="24"/>
      <c r="H15" s="24"/>
      <c r="I15" s="24">
        <v>4</v>
      </c>
      <c r="J15" s="24">
        <v>3</v>
      </c>
      <c r="K15" s="24">
        <f t="shared" si="1"/>
        <v>11</v>
      </c>
      <c r="L15" s="24">
        <v>2</v>
      </c>
      <c r="M15" s="24">
        <v>1</v>
      </c>
      <c r="N15" s="24"/>
      <c r="O15" s="24"/>
      <c r="P15" s="24"/>
      <c r="Q15" s="24"/>
      <c r="R15" s="24">
        <v>8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273</v>
      </c>
      <c r="C16" s="24"/>
      <c r="D16" s="24">
        <v>103</v>
      </c>
      <c r="E16" s="24"/>
      <c r="F16" s="24"/>
      <c r="G16" s="24"/>
      <c r="H16" s="24"/>
      <c r="I16" s="24">
        <v>8</v>
      </c>
      <c r="J16" s="24">
        <v>9</v>
      </c>
      <c r="K16" s="24">
        <f t="shared" si="1"/>
        <v>16</v>
      </c>
      <c r="L16" s="24">
        <v>5</v>
      </c>
      <c r="M16" s="24">
        <v>3</v>
      </c>
      <c r="N16" s="24"/>
      <c r="O16" s="24"/>
      <c r="P16" s="24"/>
      <c r="Q16" s="24"/>
      <c r="R16" s="24">
        <v>8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274</v>
      </c>
      <c r="C17" s="24"/>
      <c r="D17" s="24">
        <v>44</v>
      </c>
      <c r="E17" s="24"/>
      <c r="F17" s="24"/>
      <c r="G17" s="24"/>
      <c r="H17" s="24"/>
      <c r="I17" s="24">
        <v>5</v>
      </c>
      <c r="J17" s="24">
        <v>4</v>
      </c>
      <c r="K17" s="24">
        <f t="shared" si="1"/>
        <v>11</v>
      </c>
      <c r="L17" s="24">
        <v>4</v>
      </c>
      <c r="M17" s="24">
        <v>2</v>
      </c>
      <c r="N17" s="24"/>
      <c r="O17" s="24"/>
      <c r="P17" s="24"/>
      <c r="Q17" s="24"/>
      <c r="R17" s="24">
        <v>5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275</v>
      </c>
      <c r="C18" s="24"/>
      <c r="D18" s="24">
        <v>48</v>
      </c>
      <c r="E18" s="24"/>
      <c r="F18" s="24"/>
      <c r="G18" s="24"/>
      <c r="H18" s="24"/>
      <c r="I18" s="24">
        <v>5</v>
      </c>
      <c r="J18" s="24">
        <v>3.5</v>
      </c>
      <c r="K18" s="24">
        <f t="shared" si="1"/>
        <v>10</v>
      </c>
      <c r="L18" s="24">
        <v>4</v>
      </c>
      <c r="M18" s="24">
        <v>2</v>
      </c>
      <c r="N18" s="24"/>
      <c r="O18" s="24"/>
      <c r="P18" s="24"/>
      <c r="Q18" s="24"/>
      <c r="R18" s="24">
        <v>4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271</v>
      </c>
      <c r="C19" s="24"/>
      <c r="D19" s="24">
        <v>44</v>
      </c>
      <c r="E19" s="24"/>
      <c r="F19" s="24"/>
      <c r="G19" s="24"/>
      <c r="H19" s="24"/>
      <c r="I19" s="24">
        <v>6</v>
      </c>
      <c r="J19" s="24">
        <v>5</v>
      </c>
      <c r="K19" s="24">
        <f t="shared" si="1"/>
        <v>12.5</v>
      </c>
      <c r="L19" s="24">
        <v>5</v>
      </c>
      <c r="M19" s="24">
        <v>2</v>
      </c>
      <c r="N19" s="24"/>
      <c r="O19" s="24"/>
      <c r="P19" s="24"/>
      <c r="Q19" s="24"/>
      <c r="R19" s="24">
        <v>5.5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274</v>
      </c>
      <c r="C20" s="24"/>
      <c r="D20" s="24">
        <v>60</v>
      </c>
      <c r="E20" s="24"/>
      <c r="F20" s="24"/>
      <c r="G20" s="24"/>
      <c r="H20" s="24"/>
      <c r="I20" s="24">
        <v>9</v>
      </c>
      <c r="J20" s="24">
        <v>8</v>
      </c>
      <c r="K20" s="24">
        <f t="shared" si="1"/>
        <v>14</v>
      </c>
      <c r="L20" s="19">
        <v>5</v>
      </c>
      <c r="M20" s="24">
        <v>3</v>
      </c>
      <c r="N20" s="24"/>
      <c r="O20" s="24"/>
      <c r="P20" s="24"/>
      <c r="Q20" s="24"/>
      <c r="R20" s="24">
        <v>6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271</v>
      </c>
      <c r="C21" s="24"/>
      <c r="D21" s="24">
        <v>36</v>
      </c>
      <c r="E21" s="24"/>
      <c r="F21" s="24"/>
      <c r="G21" s="24"/>
      <c r="H21" s="24"/>
      <c r="I21" s="24">
        <v>5</v>
      </c>
      <c r="J21" s="24">
        <v>5</v>
      </c>
      <c r="K21" s="24">
        <f t="shared" si="1"/>
        <v>14</v>
      </c>
      <c r="L21" s="24">
        <v>4</v>
      </c>
      <c r="M21" s="24">
        <v>2</v>
      </c>
      <c r="N21" s="24"/>
      <c r="O21" s="24"/>
      <c r="P21" s="24"/>
      <c r="Q21" s="24"/>
      <c r="R21" s="24">
        <v>8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274</v>
      </c>
      <c r="C22" s="24"/>
      <c r="D22" s="24">
        <v>33</v>
      </c>
      <c r="E22" s="24"/>
      <c r="F22" s="24"/>
      <c r="G22" s="24"/>
      <c r="H22" s="24"/>
      <c r="I22" s="24">
        <v>7</v>
      </c>
      <c r="J22" s="24">
        <v>6</v>
      </c>
      <c r="K22" s="24">
        <f t="shared" si="1"/>
        <v>12</v>
      </c>
      <c r="L22" s="24">
        <v>3</v>
      </c>
      <c r="M22" s="24">
        <v>1</v>
      </c>
      <c r="N22" s="24"/>
      <c r="O22" s="24"/>
      <c r="P22" s="24"/>
      <c r="Q22" s="24"/>
      <c r="R22" s="24">
        <v>8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274</v>
      </c>
      <c r="C23" s="24"/>
      <c r="D23" s="24">
        <v>54</v>
      </c>
      <c r="E23" s="24"/>
      <c r="F23" s="24"/>
      <c r="G23" s="24"/>
      <c r="H23" s="24"/>
      <c r="I23" s="24">
        <v>6</v>
      </c>
      <c r="J23" s="24">
        <v>4</v>
      </c>
      <c r="K23" s="24">
        <f t="shared" si="1"/>
        <v>16</v>
      </c>
      <c r="L23" s="24">
        <v>4</v>
      </c>
      <c r="M23" s="24">
        <v>3</v>
      </c>
      <c r="N23" s="24"/>
      <c r="O23" s="24"/>
      <c r="P23" s="24"/>
      <c r="Q23" s="24"/>
      <c r="R23" s="24">
        <v>9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276</v>
      </c>
      <c r="C24" s="24"/>
      <c r="D24" s="24">
        <v>52</v>
      </c>
      <c r="E24" s="24"/>
      <c r="F24" s="24"/>
      <c r="G24" s="24"/>
      <c r="H24" s="24"/>
      <c r="I24" s="24">
        <v>8</v>
      </c>
      <c r="J24" s="24">
        <v>7</v>
      </c>
      <c r="K24" s="24">
        <f t="shared" si="1"/>
        <v>14</v>
      </c>
      <c r="L24" s="24">
        <v>4</v>
      </c>
      <c r="M24" s="24">
        <v>3</v>
      </c>
      <c r="N24" s="24"/>
      <c r="O24" s="24"/>
      <c r="P24" s="24"/>
      <c r="Q24" s="24"/>
      <c r="R24" s="24">
        <v>7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276</v>
      </c>
      <c r="C25" s="24"/>
      <c r="D25" s="24">
        <v>64</v>
      </c>
      <c r="E25" s="24"/>
      <c r="F25" s="24"/>
      <c r="G25" s="24"/>
      <c r="H25" s="24"/>
      <c r="I25" s="24">
        <v>9</v>
      </c>
      <c r="J25" s="24">
        <v>8</v>
      </c>
      <c r="K25" s="24">
        <f t="shared" si="1"/>
        <v>14.5</v>
      </c>
      <c r="L25" s="24">
        <v>5</v>
      </c>
      <c r="M25" s="24">
        <v>3</v>
      </c>
      <c r="N25" s="24"/>
      <c r="O25" s="24"/>
      <c r="P25" s="24"/>
      <c r="Q25" s="24"/>
      <c r="R25" s="24">
        <v>6.5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274</v>
      </c>
      <c r="C26" s="24"/>
      <c r="D26" s="24">
        <v>66</v>
      </c>
      <c r="E26" s="24"/>
      <c r="F26" s="24"/>
      <c r="G26" s="24"/>
      <c r="H26" s="24"/>
      <c r="I26" s="24">
        <v>7</v>
      </c>
      <c r="J26" s="24">
        <v>6</v>
      </c>
      <c r="K26" s="24">
        <f t="shared" si="1"/>
        <v>17</v>
      </c>
      <c r="L26" s="24">
        <v>5</v>
      </c>
      <c r="M26" s="24">
        <v>3</v>
      </c>
      <c r="N26" s="24"/>
      <c r="O26" s="24"/>
      <c r="P26" s="24"/>
      <c r="Q26" s="24"/>
      <c r="R26" s="24">
        <v>9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271</v>
      </c>
      <c r="C27" s="24"/>
      <c r="D27" s="24">
        <v>47</v>
      </c>
      <c r="E27" s="24"/>
      <c r="F27" s="24"/>
      <c r="G27" s="24"/>
      <c r="H27" s="24"/>
      <c r="I27" s="24">
        <v>4</v>
      </c>
      <c r="J27" s="24">
        <v>4</v>
      </c>
      <c r="K27" s="24">
        <f t="shared" si="1"/>
        <v>16</v>
      </c>
      <c r="L27" s="24">
        <v>5</v>
      </c>
      <c r="M27" s="24">
        <v>3</v>
      </c>
      <c r="N27" s="24"/>
      <c r="O27" s="24"/>
      <c r="P27" s="24"/>
      <c r="Q27" s="24"/>
      <c r="R27" s="24">
        <v>8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277</v>
      </c>
      <c r="C28" s="24"/>
      <c r="D28" s="24">
        <v>32</v>
      </c>
      <c r="E28" s="24"/>
      <c r="F28" s="24"/>
      <c r="G28" s="24"/>
      <c r="H28" s="24"/>
      <c r="I28" s="24">
        <v>0</v>
      </c>
      <c r="J28" s="24">
        <v>0</v>
      </c>
      <c r="K28" s="24">
        <f t="shared" si="1"/>
        <v>0</v>
      </c>
      <c r="L28" s="24">
        <v>0</v>
      </c>
      <c r="M28" s="24">
        <v>0</v>
      </c>
      <c r="N28" s="24"/>
      <c r="O28" s="24"/>
      <c r="P28" s="24"/>
      <c r="Q28" s="24"/>
      <c r="R28" s="24">
        <v>0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271</v>
      </c>
      <c r="C29" s="24"/>
      <c r="D29" s="24">
        <v>42</v>
      </c>
      <c r="E29" s="24"/>
      <c r="F29" s="24"/>
      <c r="G29" s="24"/>
      <c r="H29" s="24"/>
      <c r="I29" s="24">
        <v>6</v>
      </c>
      <c r="J29" s="24">
        <v>7</v>
      </c>
      <c r="K29" s="24">
        <f t="shared" si="1"/>
        <v>12</v>
      </c>
      <c r="L29" s="24">
        <v>3</v>
      </c>
      <c r="M29" s="24">
        <v>2</v>
      </c>
      <c r="N29" s="24"/>
      <c r="O29" s="24"/>
      <c r="P29" s="24"/>
      <c r="Q29" s="24"/>
      <c r="R29" s="24">
        <v>7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272</v>
      </c>
      <c r="C30" s="24"/>
      <c r="D30" s="24">
        <v>35</v>
      </c>
      <c r="E30" s="24"/>
      <c r="F30" s="24"/>
      <c r="G30" s="24"/>
      <c r="H30" s="24"/>
      <c r="I30" s="24">
        <v>4</v>
      </c>
      <c r="J30" s="24">
        <v>5</v>
      </c>
      <c r="K30" s="24">
        <f t="shared" si="1"/>
        <v>8</v>
      </c>
      <c r="L30" s="24">
        <v>3</v>
      </c>
      <c r="M30" s="24">
        <v>2</v>
      </c>
      <c r="N30" s="24"/>
      <c r="O30" s="24"/>
      <c r="P30" s="24"/>
      <c r="Q30" s="24"/>
      <c r="R30" s="24">
        <v>3</v>
      </c>
      <c r="S30" s="24"/>
      <c r="T30" s="24"/>
    </row>
    <row r="31" spans="1:20" ht="40.5" customHeight="1" x14ac:dyDescent="0.25">
      <c r="A31" s="24">
        <f t="shared" si="0"/>
        <v>20</v>
      </c>
      <c r="B31" s="24" t="s">
        <v>273</v>
      </c>
      <c r="C31" s="24"/>
      <c r="D31" s="24">
        <v>94</v>
      </c>
      <c r="E31" s="24"/>
      <c r="F31" s="24"/>
      <c r="G31" s="24"/>
      <c r="H31" s="24"/>
      <c r="I31" s="24">
        <v>10</v>
      </c>
      <c r="J31" s="24">
        <v>8</v>
      </c>
      <c r="K31" s="24">
        <f t="shared" si="1"/>
        <v>13.5</v>
      </c>
      <c r="L31" s="24">
        <v>6</v>
      </c>
      <c r="M31" s="24">
        <v>4</v>
      </c>
      <c r="N31" s="24"/>
      <c r="O31" s="24"/>
      <c r="P31" s="24"/>
      <c r="Q31" s="24"/>
      <c r="R31" s="24">
        <v>3.5</v>
      </c>
      <c r="S31" s="24"/>
      <c r="T31" s="24"/>
    </row>
    <row r="32" spans="1:20" ht="40.5" customHeight="1" x14ac:dyDescent="0.25">
      <c r="A32" s="24">
        <f t="shared" si="0"/>
        <v>21</v>
      </c>
      <c r="B32" s="24" t="s">
        <v>272</v>
      </c>
      <c r="C32" s="24"/>
      <c r="D32" s="24">
        <v>47</v>
      </c>
      <c r="E32" s="24"/>
      <c r="F32" s="24"/>
      <c r="G32" s="24"/>
      <c r="H32" s="24"/>
      <c r="I32" s="24">
        <v>4</v>
      </c>
      <c r="J32" s="24">
        <v>4</v>
      </c>
      <c r="K32" s="24">
        <f t="shared" si="1"/>
        <v>12</v>
      </c>
      <c r="L32" s="24">
        <v>5</v>
      </c>
      <c r="M32" s="24">
        <v>3</v>
      </c>
      <c r="N32" s="24"/>
      <c r="O32" s="24"/>
      <c r="P32" s="24"/>
      <c r="Q32" s="24"/>
      <c r="R32" s="24">
        <v>4</v>
      </c>
      <c r="S32" s="24"/>
      <c r="T32" s="24"/>
    </row>
    <row r="33" spans="1:20" ht="40.5" customHeight="1" x14ac:dyDescent="0.25">
      <c r="A33" s="24">
        <f t="shared" si="0"/>
        <v>22</v>
      </c>
      <c r="B33" s="24" t="s">
        <v>271</v>
      </c>
      <c r="C33" s="24"/>
      <c r="D33" s="24">
        <v>46</v>
      </c>
      <c r="E33" s="24"/>
      <c r="F33" s="24"/>
      <c r="G33" s="24"/>
      <c r="H33" s="24"/>
      <c r="I33" s="24">
        <v>5</v>
      </c>
      <c r="J33" s="24">
        <v>5.5</v>
      </c>
      <c r="K33" s="24">
        <f t="shared" si="1"/>
        <v>13.5</v>
      </c>
      <c r="L33" s="24">
        <v>6</v>
      </c>
      <c r="M33" s="24">
        <v>2.5</v>
      </c>
      <c r="N33" s="24"/>
      <c r="O33" s="24"/>
      <c r="P33" s="24"/>
      <c r="Q33" s="24"/>
      <c r="R33" s="24">
        <v>5</v>
      </c>
      <c r="S33" s="24"/>
      <c r="T33" s="24"/>
    </row>
    <row r="34" spans="1:20" ht="40.5" customHeight="1" x14ac:dyDescent="0.25">
      <c r="A34" s="24">
        <f t="shared" si="0"/>
        <v>23</v>
      </c>
      <c r="B34" s="24" t="s">
        <v>271</v>
      </c>
      <c r="C34" s="24"/>
      <c r="D34" s="24">
        <v>42</v>
      </c>
      <c r="E34" s="24"/>
      <c r="F34" s="24"/>
      <c r="G34" s="24"/>
      <c r="H34" s="24"/>
      <c r="I34" s="24">
        <v>5</v>
      </c>
      <c r="J34" s="24">
        <v>6</v>
      </c>
      <c r="K34" s="24">
        <f t="shared" si="1"/>
        <v>13</v>
      </c>
      <c r="L34" s="24">
        <v>5.5</v>
      </c>
      <c r="M34" s="24">
        <v>4.5</v>
      </c>
      <c r="N34" s="24"/>
      <c r="O34" s="24"/>
      <c r="P34" s="24"/>
      <c r="Q34" s="24"/>
      <c r="R34" s="24">
        <v>3</v>
      </c>
      <c r="S34" s="24"/>
      <c r="T34" s="24"/>
    </row>
    <row r="35" spans="1:20" ht="40.5" customHeight="1" x14ac:dyDescent="0.25">
      <c r="A35" s="24">
        <f t="shared" si="0"/>
        <v>24</v>
      </c>
      <c r="B35" s="24" t="s">
        <v>272</v>
      </c>
      <c r="C35" s="24"/>
      <c r="D35" s="24">
        <v>48</v>
      </c>
      <c r="E35" s="24"/>
      <c r="F35" s="24"/>
      <c r="G35" s="24"/>
      <c r="H35" s="24"/>
      <c r="I35" s="24">
        <v>4.5</v>
      </c>
      <c r="J35" s="24">
        <v>5.5</v>
      </c>
      <c r="K35" s="24">
        <f t="shared" si="1"/>
        <v>14</v>
      </c>
      <c r="L35" s="24">
        <v>4</v>
      </c>
      <c r="M35" s="24">
        <v>6</v>
      </c>
      <c r="N35" s="24"/>
      <c r="O35" s="24"/>
      <c r="P35" s="24"/>
      <c r="Q35" s="24"/>
      <c r="R35" s="24">
        <v>4</v>
      </c>
      <c r="S35" s="24"/>
      <c r="T35" s="24"/>
    </row>
    <row r="36" spans="1:20" ht="40.5" customHeight="1" x14ac:dyDescent="0.25">
      <c r="A36" s="24">
        <f t="shared" si="0"/>
        <v>25</v>
      </c>
      <c r="B36" s="24" t="s">
        <v>273</v>
      </c>
      <c r="C36" s="24"/>
      <c r="D36" s="24">
        <v>44</v>
      </c>
      <c r="E36" s="24"/>
      <c r="F36" s="24"/>
      <c r="G36" s="24"/>
      <c r="H36" s="24"/>
      <c r="I36" s="24">
        <v>3</v>
      </c>
      <c r="J36" s="24">
        <v>4</v>
      </c>
      <c r="K36" s="24">
        <f t="shared" si="1"/>
        <v>9</v>
      </c>
      <c r="L36" s="24">
        <v>2</v>
      </c>
      <c r="M36" s="24">
        <v>2</v>
      </c>
      <c r="N36" s="24"/>
      <c r="O36" s="24"/>
      <c r="P36" s="24"/>
      <c r="Q36" s="24"/>
      <c r="R36" s="24">
        <v>5</v>
      </c>
      <c r="S36" s="24"/>
      <c r="T36" s="24"/>
    </row>
    <row r="37" spans="1:20" ht="40.5" customHeight="1" x14ac:dyDescent="0.25">
      <c r="A37" s="24">
        <f t="shared" si="0"/>
        <v>26</v>
      </c>
      <c r="B37" s="24" t="s">
        <v>272</v>
      </c>
      <c r="C37" s="24"/>
      <c r="D37" s="24">
        <v>67</v>
      </c>
      <c r="E37" s="24"/>
      <c r="F37" s="24"/>
      <c r="G37" s="24"/>
      <c r="H37" s="24"/>
      <c r="I37" s="24">
        <v>5</v>
      </c>
      <c r="J37" s="24">
        <v>6.5</v>
      </c>
      <c r="K37" s="24">
        <f t="shared" si="1"/>
        <v>14.5</v>
      </c>
      <c r="L37" s="24">
        <v>6.5</v>
      </c>
      <c r="M37" s="24">
        <v>4</v>
      </c>
      <c r="N37" s="24"/>
      <c r="O37" s="24"/>
      <c r="P37" s="24"/>
      <c r="Q37" s="24"/>
      <c r="R37" s="24">
        <v>4</v>
      </c>
      <c r="S37" s="24"/>
      <c r="T37" s="24"/>
    </row>
    <row r="38" spans="1:20" ht="40.5" customHeight="1" x14ac:dyDescent="0.25">
      <c r="A38" s="24">
        <f t="shared" si="0"/>
        <v>27</v>
      </c>
      <c r="B38" s="24" t="s">
        <v>274</v>
      </c>
      <c r="C38" s="24"/>
      <c r="D38" s="24">
        <v>47</v>
      </c>
      <c r="E38" s="24"/>
      <c r="F38" s="24"/>
      <c r="G38" s="24"/>
      <c r="H38" s="24"/>
      <c r="I38" s="24">
        <v>7</v>
      </c>
      <c r="J38" s="24">
        <v>6</v>
      </c>
      <c r="K38" s="24">
        <f t="shared" si="1"/>
        <v>14</v>
      </c>
      <c r="L38" s="24">
        <v>4</v>
      </c>
      <c r="M38" s="24">
        <v>3</v>
      </c>
      <c r="N38" s="24"/>
      <c r="O38" s="24"/>
      <c r="P38" s="24"/>
      <c r="Q38" s="24"/>
      <c r="R38" s="24">
        <v>7</v>
      </c>
      <c r="S38" s="24"/>
      <c r="T38" s="24"/>
    </row>
    <row r="39" spans="1:20" ht="40.5" customHeight="1" x14ac:dyDescent="0.25">
      <c r="A39" s="24">
        <f t="shared" si="0"/>
        <v>28</v>
      </c>
      <c r="B39" s="24" t="s">
        <v>274</v>
      </c>
      <c r="C39" s="24"/>
      <c r="D39" s="24">
        <v>80</v>
      </c>
      <c r="E39" s="24"/>
      <c r="F39" s="24"/>
      <c r="G39" s="24"/>
      <c r="H39" s="24"/>
      <c r="I39" s="24">
        <v>12</v>
      </c>
      <c r="J39" s="24">
        <v>10</v>
      </c>
      <c r="K39" s="24">
        <f t="shared" si="1"/>
        <v>15.5</v>
      </c>
      <c r="L39" s="24">
        <v>6</v>
      </c>
      <c r="M39" s="24">
        <v>4</v>
      </c>
      <c r="N39" s="24"/>
      <c r="O39" s="24"/>
      <c r="P39" s="24"/>
      <c r="Q39" s="24"/>
      <c r="R39" s="24">
        <v>5.5</v>
      </c>
      <c r="S39" s="24"/>
      <c r="T39" s="24"/>
    </row>
    <row r="40" spans="1:20" ht="40.5" customHeight="1" x14ac:dyDescent="0.25">
      <c r="A40" s="24">
        <f t="shared" si="0"/>
        <v>29</v>
      </c>
      <c r="B40" s="24" t="s">
        <v>272</v>
      </c>
      <c r="C40" s="24"/>
      <c r="D40" s="24">
        <v>50</v>
      </c>
      <c r="E40" s="24"/>
      <c r="F40" s="24"/>
      <c r="G40" s="24"/>
      <c r="H40" s="24"/>
      <c r="I40" s="24">
        <v>8</v>
      </c>
      <c r="J40" s="24">
        <v>4</v>
      </c>
      <c r="K40" s="24">
        <f t="shared" si="1"/>
        <v>13</v>
      </c>
      <c r="L40" s="24">
        <v>4</v>
      </c>
      <c r="M40" s="24">
        <v>4</v>
      </c>
      <c r="N40" s="24"/>
      <c r="O40" s="24"/>
      <c r="P40" s="24"/>
      <c r="Q40" s="24"/>
      <c r="R40" s="24">
        <v>5</v>
      </c>
      <c r="S40" s="24"/>
      <c r="T40" s="24"/>
    </row>
    <row r="41" spans="1:20" ht="40.5" customHeight="1" x14ac:dyDescent="0.25">
      <c r="A41" s="24">
        <f t="shared" si="0"/>
        <v>30</v>
      </c>
      <c r="B41" s="24" t="s">
        <v>274</v>
      </c>
      <c r="C41" s="24"/>
      <c r="D41" s="24">
        <v>48</v>
      </c>
      <c r="E41" s="24"/>
      <c r="F41" s="24"/>
      <c r="G41" s="24"/>
      <c r="H41" s="24"/>
      <c r="I41" s="24">
        <v>4</v>
      </c>
      <c r="J41" s="24">
        <v>6.5</v>
      </c>
      <c r="K41" s="24">
        <f t="shared" si="1"/>
        <v>13</v>
      </c>
      <c r="L41" s="24">
        <v>4</v>
      </c>
      <c r="M41" s="24">
        <v>3</v>
      </c>
      <c r="N41" s="24"/>
      <c r="O41" s="24"/>
      <c r="P41" s="24"/>
      <c r="Q41" s="24"/>
      <c r="R41" s="24">
        <v>6</v>
      </c>
      <c r="S41" s="24"/>
      <c r="T41" s="24"/>
    </row>
    <row r="42" spans="1:20" ht="40.5" customHeight="1" x14ac:dyDescent="0.25">
      <c r="A42" s="24">
        <f t="shared" si="0"/>
        <v>31</v>
      </c>
      <c r="B42" s="24" t="s">
        <v>272</v>
      </c>
      <c r="C42" s="24"/>
      <c r="D42" s="24">
        <v>62</v>
      </c>
      <c r="E42" s="24"/>
      <c r="F42" s="24"/>
      <c r="G42" s="24"/>
      <c r="H42" s="24"/>
      <c r="I42" s="24">
        <v>4</v>
      </c>
      <c r="J42" s="24">
        <v>6</v>
      </c>
      <c r="K42" s="24">
        <f t="shared" si="1"/>
        <v>13.5</v>
      </c>
      <c r="L42" s="24">
        <v>5</v>
      </c>
      <c r="M42" s="24">
        <v>3</v>
      </c>
      <c r="N42" s="24"/>
      <c r="O42" s="24"/>
      <c r="P42" s="24"/>
      <c r="Q42" s="24"/>
      <c r="R42" s="24">
        <v>5.5</v>
      </c>
      <c r="S42" s="24"/>
      <c r="T42" s="24"/>
    </row>
    <row r="43" spans="1:20" ht="40.5" customHeight="1" x14ac:dyDescent="0.25">
      <c r="A43" s="24">
        <f t="shared" si="0"/>
        <v>32</v>
      </c>
      <c r="B43" s="24" t="s">
        <v>272</v>
      </c>
      <c r="C43" s="24"/>
      <c r="D43" s="24">
        <v>52</v>
      </c>
      <c r="E43" s="24"/>
      <c r="F43" s="24"/>
      <c r="G43" s="24"/>
      <c r="H43" s="24"/>
      <c r="I43" s="24">
        <v>7</v>
      </c>
      <c r="J43" s="24">
        <v>6</v>
      </c>
      <c r="K43" s="24">
        <f t="shared" si="1"/>
        <v>13</v>
      </c>
      <c r="L43" s="24">
        <v>2.5</v>
      </c>
      <c r="M43" s="24">
        <v>2.5</v>
      </c>
      <c r="N43" s="24"/>
      <c r="O43" s="24"/>
      <c r="P43" s="24"/>
      <c r="Q43" s="24"/>
      <c r="R43" s="24">
        <v>8</v>
      </c>
      <c r="S43" s="24"/>
      <c r="T43" s="24"/>
    </row>
    <row r="44" spans="1:20" ht="40.5" customHeight="1" x14ac:dyDescent="0.25">
      <c r="A44" s="24">
        <f t="shared" si="0"/>
        <v>33</v>
      </c>
      <c r="B44" s="24" t="s">
        <v>276</v>
      </c>
      <c r="C44" s="24"/>
      <c r="D44" s="24">
        <v>42</v>
      </c>
      <c r="E44" s="24"/>
      <c r="F44" s="24"/>
      <c r="G44" s="24"/>
      <c r="H44" s="24"/>
      <c r="I44" s="24">
        <v>12</v>
      </c>
      <c r="J44" s="24">
        <v>9</v>
      </c>
      <c r="K44" s="24">
        <f t="shared" si="1"/>
        <v>11.5</v>
      </c>
      <c r="L44" s="24">
        <v>5</v>
      </c>
      <c r="M44" s="24">
        <v>2</v>
      </c>
      <c r="N44" s="24"/>
      <c r="O44" s="24"/>
      <c r="P44" s="24"/>
      <c r="Q44" s="24"/>
      <c r="R44" s="24">
        <v>4.5</v>
      </c>
      <c r="S44" s="24"/>
      <c r="T44" s="24"/>
    </row>
    <row r="45" spans="1:20" ht="40.5" customHeight="1" x14ac:dyDescent="0.25">
      <c r="A45" s="24">
        <f t="shared" si="0"/>
        <v>34</v>
      </c>
      <c r="B45" s="24" t="s">
        <v>272</v>
      </c>
      <c r="C45" s="24"/>
      <c r="D45" s="24">
        <v>40</v>
      </c>
      <c r="E45" s="24"/>
      <c r="F45" s="24"/>
      <c r="G45" s="24"/>
      <c r="H45" s="24"/>
      <c r="I45" s="24">
        <v>4</v>
      </c>
      <c r="J45" s="24">
        <v>4.5</v>
      </c>
      <c r="K45" s="24">
        <f t="shared" si="1"/>
        <v>11.5</v>
      </c>
      <c r="L45" s="24">
        <v>3</v>
      </c>
      <c r="M45" s="24">
        <v>4</v>
      </c>
      <c r="N45" s="24"/>
      <c r="O45" s="24"/>
      <c r="P45" s="24"/>
      <c r="Q45" s="24"/>
      <c r="R45" s="24">
        <v>4.5</v>
      </c>
      <c r="S45" s="24"/>
      <c r="T45" s="24"/>
    </row>
    <row r="46" spans="1:20" ht="40.5" customHeight="1" x14ac:dyDescent="0.25">
      <c r="A46" s="24">
        <f t="shared" si="0"/>
        <v>35</v>
      </c>
      <c r="B46" s="24" t="s">
        <v>274</v>
      </c>
      <c r="C46" s="24"/>
      <c r="D46" s="24">
        <v>63</v>
      </c>
      <c r="E46" s="24"/>
      <c r="F46" s="24"/>
      <c r="G46" s="24"/>
      <c r="H46" s="24"/>
      <c r="I46" s="24">
        <v>8</v>
      </c>
      <c r="J46" s="24">
        <v>9</v>
      </c>
      <c r="K46" s="24">
        <f t="shared" si="1"/>
        <v>13</v>
      </c>
      <c r="L46" s="24">
        <v>4</v>
      </c>
      <c r="M46" s="24">
        <v>4</v>
      </c>
      <c r="N46" s="24"/>
      <c r="O46" s="24"/>
      <c r="P46" s="24"/>
      <c r="Q46" s="24"/>
      <c r="R46" s="24">
        <v>5</v>
      </c>
      <c r="S46" s="24"/>
      <c r="T46" s="24"/>
    </row>
    <row r="47" spans="1:20" ht="40.5" customHeight="1" x14ac:dyDescent="0.25">
      <c r="A47" s="24">
        <f t="shared" si="0"/>
        <v>36</v>
      </c>
      <c r="B47" s="24" t="s">
        <v>272</v>
      </c>
      <c r="C47" s="24"/>
      <c r="D47" s="24">
        <v>52</v>
      </c>
      <c r="E47" s="24"/>
      <c r="F47" s="24"/>
      <c r="G47" s="24"/>
      <c r="H47" s="24"/>
      <c r="I47" s="24">
        <v>5</v>
      </c>
      <c r="J47" s="24">
        <v>5.5</v>
      </c>
      <c r="K47" s="24">
        <f t="shared" si="1"/>
        <v>13.5</v>
      </c>
      <c r="L47" s="24">
        <v>4.5</v>
      </c>
      <c r="M47" s="24">
        <v>4</v>
      </c>
      <c r="N47" s="24"/>
      <c r="O47" s="24"/>
      <c r="P47" s="24"/>
      <c r="Q47" s="24"/>
      <c r="R47" s="24">
        <v>5</v>
      </c>
      <c r="S47" s="24"/>
      <c r="T47" s="24"/>
    </row>
    <row r="48" spans="1:20" ht="40.5" customHeight="1" x14ac:dyDescent="0.25">
      <c r="A48" s="24">
        <f t="shared" si="0"/>
        <v>37</v>
      </c>
      <c r="B48" s="24" t="s">
        <v>274</v>
      </c>
      <c r="C48" s="24"/>
      <c r="D48" s="24">
        <v>61</v>
      </c>
      <c r="E48" s="24"/>
      <c r="F48" s="24"/>
      <c r="G48" s="24"/>
      <c r="H48" s="24"/>
      <c r="I48" s="24">
        <v>4</v>
      </c>
      <c r="J48" s="24">
        <v>4.5</v>
      </c>
      <c r="K48" s="24">
        <f t="shared" si="1"/>
        <v>15</v>
      </c>
      <c r="L48" s="24">
        <v>3</v>
      </c>
      <c r="M48" s="24">
        <v>3</v>
      </c>
      <c r="N48" s="24"/>
      <c r="O48" s="24"/>
      <c r="P48" s="24"/>
      <c r="Q48" s="24"/>
      <c r="R48" s="24">
        <v>9</v>
      </c>
      <c r="S48" s="24"/>
      <c r="T48" s="24"/>
    </row>
    <row r="49" spans="1:20" ht="40.5" customHeight="1" x14ac:dyDescent="0.25">
      <c r="A49" s="24">
        <f t="shared" si="0"/>
        <v>38</v>
      </c>
      <c r="B49" s="24" t="s">
        <v>272</v>
      </c>
      <c r="C49" s="24"/>
      <c r="D49" s="24">
        <v>55</v>
      </c>
      <c r="E49" s="24"/>
      <c r="F49" s="24"/>
      <c r="G49" s="24"/>
      <c r="H49" s="24"/>
      <c r="I49" s="24">
        <v>6</v>
      </c>
      <c r="J49" s="24">
        <v>5</v>
      </c>
      <c r="K49" s="24">
        <f t="shared" si="1"/>
        <v>15</v>
      </c>
      <c r="L49" s="24">
        <v>4</v>
      </c>
      <c r="M49" s="24">
        <v>2</v>
      </c>
      <c r="N49" s="24"/>
      <c r="O49" s="24"/>
      <c r="P49" s="24"/>
      <c r="Q49" s="24"/>
      <c r="R49" s="24">
        <v>9</v>
      </c>
      <c r="S49" s="24"/>
      <c r="T49" s="24"/>
    </row>
    <row r="50" spans="1:20" ht="40.5" customHeight="1" x14ac:dyDescent="0.25">
      <c r="A50" s="24">
        <f t="shared" si="0"/>
        <v>39</v>
      </c>
      <c r="B50" s="24" t="s">
        <v>276</v>
      </c>
      <c r="C50" s="24"/>
      <c r="D50" s="24">
        <v>40</v>
      </c>
      <c r="E50" s="24"/>
      <c r="F50" s="24"/>
      <c r="G50" s="24"/>
      <c r="H50" s="24"/>
      <c r="I50" s="24">
        <v>4</v>
      </c>
      <c r="J50" s="24">
        <v>3</v>
      </c>
      <c r="K50" s="24">
        <f t="shared" si="1"/>
        <v>12</v>
      </c>
      <c r="L50" s="24">
        <v>4</v>
      </c>
      <c r="M50" s="24">
        <v>3</v>
      </c>
      <c r="N50" s="24"/>
      <c r="O50" s="24"/>
      <c r="P50" s="24"/>
      <c r="Q50" s="24"/>
      <c r="R50" s="24">
        <v>5</v>
      </c>
      <c r="S50" s="24"/>
      <c r="T50" s="24"/>
    </row>
    <row r="51" spans="1:20" ht="40.5" customHeight="1" x14ac:dyDescent="0.25">
      <c r="A51" s="24">
        <f t="shared" si="0"/>
        <v>40</v>
      </c>
      <c r="B51" s="24" t="s">
        <v>276</v>
      </c>
      <c r="C51" s="24"/>
      <c r="D51" s="24">
        <v>52</v>
      </c>
      <c r="E51" s="24"/>
      <c r="F51" s="24"/>
      <c r="G51" s="24"/>
      <c r="H51" s="24"/>
      <c r="I51" s="24">
        <v>4.5</v>
      </c>
      <c r="J51" s="24">
        <v>4.5</v>
      </c>
      <c r="K51" s="24">
        <f t="shared" si="1"/>
        <v>12</v>
      </c>
      <c r="L51" s="24">
        <v>5</v>
      </c>
      <c r="M51" s="24">
        <v>2.5</v>
      </c>
      <c r="N51" s="24"/>
      <c r="O51" s="24"/>
      <c r="P51" s="24"/>
      <c r="Q51" s="24"/>
      <c r="R51" s="24">
        <v>4.5</v>
      </c>
      <c r="S51" s="24"/>
      <c r="T51" s="24"/>
    </row>
    <row r="52" spans="1:20" ht="40.5" customHeight="1" x14ac:dyDescent="0.25">
      <c r="A52" s="24">
        <f t="shared" si="0"/>
        <v>41</v>
      </c>
      <c r="B52" s="24" t="s">
        <v>276</v>
      </c>
      <c r="C52" s="24"/>
      <c r="D52" s="24">
        <v>40</v>
      </c>
      <c r="E52" s="24"/>
      <c r="F52" s="24"/>
      <c r="G52" s="24"/>
      <c r="H52" s="24"/>
      <c r="I52" s="24">
        <v>4</v>
      </c>
      <c r="J52" s="24">
        <v>4</v>
      </c>
      <c r="K52" s="24">
        <f t="shared" si="1"/>
        <v>11.5</v>
      </c>
      <c r="L52" s="24">
        <v>4</v>
      </c>
      <c r="M52" s="24">
        <v>2</v>
      </c>
      <c r="N52" s="24"/>
      <c r="O52" s="24"/>
      <c r="P52" s="24"/>
      <c r="Q52" s="24"/>
      <c r="R52" s="24">
        <v>5.5</v>
      </c>
      <c r="S52" s="24"/>
      <c r="T52" s="24"/>
    </row>
    <row r="53" spans="1:20" ht="40.5" customHeight="1" x14ac:dyDescent="0.25">
      <c r="A53" s="24">
        <f t="shared" si="0"/>
        <v>42</v>
      </c>
      <c r="B53" s="24" t="s">
        <v>276</v>
      </c>
      <c r="C53" s="24"/>
      <c r="D53" s="24">
        <v>40</v>
      </c>
      <c r="E53" s="24"/>
      <c r="F53" s="24"/>
      <c r="G53" s="24"/>
      <c r="H53" s="24"/>
      <c r="I53" s="24">
        <v>4</v>
      </c>
      <c r="J53" s="24">
        <v>3.5</v>
      </c>
      <c r="K53" s="24">
        <f t="shared" si="1"/>
        <v>12.5</v>
      </c>
      <c r="L53" s="24">
        <v>4</v>
      </c>
      <c r="M53" s="24">
        <v>1.5</v>
      </c>
      <c r="N53" s="24"/>
      <c r="O53" s="24"/>
      <c r="P53" s="24"/>
      <c r="Q53" s="24"/>
      <c r="R53" s="24">
        <v>7</v>
      </c>
      <c r="S53" s="24"/>
      <c r="T53" s="24"/>
    </row>
    <row r="54" spans="1:20" ht="40.5" customHeight="1" x14ac:dyDescent="0.25">
      <c r="A54" s="24">
        <f t="shared" si="0"/>
        <v>43</v>
      </c>
      <c r="B54" s="24" t="s">
        <v>276</v>
      </c>
      <c r="C54" s="24"/>
      <c r="D54" s="24">
        <v>32</v>
      </c>
      <c r="E54" s="24"/>
      <c r="F54" s="24"/>
      <c r="G54" s="24"/>
      <c r="H54" s="24"/>
      <c r="I54" s="24">
        <v>5</v>
      </c>
      <c r="J54" s="24">
        <v>4</v>
      </c>
      <c r="K54" s="24">
        <f t="shared" si="1"/>
        <v>9</v>
      </c>
      <c r="L54" s="24">
        <v>2</v>
      </c>
      <c r="M54" s="24">
        <v>2</v>
      </c>
      <c r="N54" s="24"/>
      <c r="O54" s="24"/>
      <c r="P54" s="24"/>
      <c r="Q54" s="24"/>
      <c r="R54" s="24">
        <v>5</v>
      </c>
      <c r="S54" s="24"/>
      <c r="T54" s="24"/>
    </row>
    <row r="55" spans="1:20" ht="40.5" customHeight="1" x14ac:dyDescent="0.25">
      <c r="A55" s="24">
        <f t="shared" si="0"/>
        <v>44</v>
      </c>
      <c r="B55" s="24" t="s">
        <v>274</v>
      </c>
      <c r="C55" s="24"/>
      <c r="D55" s="24">
        <v>64</v>
      </c>
      <c r="E55" s="24"/>
      <c r="F55" s="24"/>
      <c r="G55" s="24"/>
      <c r="H55" s="24"/>
      <c r="I55" s="24">
        <v>5</v>
      </c>
      <c r="J55" s="24">
        <v>6</v>
      </c>
      <c r="K55" s="24">
        <f t="shared" si="1"/>
        <v>16</v>
      </c>
      <c r="L55" s="24">
        <v>4</v>
      </c>
      <c r="M55" s="24">
        <v>3</v>
      </c>
      <c r="N55" s="24"/>
      <c r="O55" s="24"/>
      <c r="P55" s="24"/>
      <c r="Q55" s="24"/>
      <c r="R55" s="24">
        <v>9</v>
      </c>
      <c r="S55" s="24"/>
      <c r="T55" s="24"/>
    </row>
    <row r="56" spans="1:20" ht="40.5" customHeight="1" x14ac:dyDescent="0.25">
      <c r="A56" s="24">
        <f t="shared" si="0"/>
        <v>45</v>
      </c>
      <c r="B56" s="24" t="s">
        <v>271</v>
      </c>
      <c r="C56" s="24"/>
      <c r="D56" s="24">
        <v>67</v>
      </c>
      <c r="E56" s="24"/>
      <c r="F56" s="24"/>
      <c r="G56" s="24"/>
      <c r="H56" s="24"/>
      <c r="I56" s="24">
        <v>7</v>
      </c>
      <c r="J56" s="24">
        <v>7.5</v>
      </c>
      <c r="K56" s="24">
        <f t="shared" si="1"/>
        <v>17</v>
      </c>
      <c r="L56" s="24">
        <v>4</v>
      </c>
      <c r="M56" s="24">
        <v>3</v>
      </c>
      <c r="N56" s="24"/>
      <c r="O56" s="24"/>
      <c r="P56" s="24"/>
      <c r="Q56" s="24"/>
      <c r="R56" s="24">
        <v>10</v>
      </c>
      <c r="S56" s="24"/>
      <c r="T56" s="24"/>
    </row>
    <row r="57" spans="1:20" ht="40.5" customHeight="1" x14ac:dyDescent="0.25">
      <c r="A57" s="24">
        <f t="shared" si="0"/>
        <v>46</v>
      </c>
      <c r="B57" s="24" t="s">
        <v>272</v>
      </c>
      <c r="C57" s="24"/>
      <c r="D57" s="24">
        <v>64</v>
      </c>
      <c r="E57" s="24"/>
      <c r="F57" s="24"/>
      <c r="G57" s="24"/>
      <c r="H57" s="24"/>
      <c r="I57" s="24">
        <v>6</v>
      </c>
      <c r="J57" s="24">
        <v>5.5</v>
      </c>
      <c r="K57" s="24">
        <f t="shared" si="1"/>
        <v>12</v>
      </c>
      <c r="L57" s="24">
        <v>5</v>
      </c>
      <c r="M57" s="24">
        <v>4</v>
      </c>
      <c r="N57" s="24"/>
      <c r="O57" s="24"/>
      <c r="P57" s="24"/>
      <c r="Q57" s="24"/>
      <c r="R57" s="24">
        <v>3</v>
      </c>
      <c r="S57" s="24"/>
      <c r="T57" s="24"/>
    </row>
    <row r="58" spans="1:20" ht="40.5" customHeight="1" x14ac:dyDescent="0.25">
      <c r="A58" s="24">
        <f t="shared" si="0"/>
        <v>47</v>
      </c>
      <c r="B58" s="24" t="s">
        <v>278</v>
      </c>
      <c r="C58" s="24"/>
      <c r="D58" s="24">
        <v>65</v>
      </c>
      <c r="E58" s="24"/>
      <c r="F58" s="24"/>
      <c r="G58" s="24"/>
      <c r="H58" s="24"/>
      <c r="I58" s="24">
        <v>4.5</v>
      </c>
      <c r="J58" s="24">
        <v>4</v>
      </c>
      <c r="K58" s="24">
        <f t="shared" si="1"/>
        <v>9</v>
      </c>
      <c r="L58" s="24">
        <v>4</v>
      </c>
      <c r="M58" s="24">
        <v>2</v>
      </c>
      <c r="N58" s="24"/>
      <c r="O58" s="24"/>
      <c r="P58" s="24"/>
      <c r="Q58" s="24"/>
      <c r="R58" s="24">
        <v>3</v>
      </c>
      <c r="S58" s="24"/>
      <c r="T58" s="24"/>
    </row>
    <row r="59" spans="1:20" ht="40.5" customHeight="1" x14ac:dyDescent="0.25">
      <c r="A59" s="24">
        <f t="shared" si="0"/>
        <v>48</v>
      </c>
      <c r="B59" s="24" t="s">
        <v>272</v>
      </c>
      <c r="C59" s="24"/>
      <c r="D59" s="24">
        <v>41</v>
      </c>
      <c r="E59" s="24"/>
      <c r="F59" s="24"/>
      <c r="G59" s="24"/>
      <c r="H59" s="24"/>
      <c r="I59" s="24">
        <v>3</v>
      </c>
      <c r="J59" s="24">
        <v>4</v>
      </c>
      <c r="K59" s="24">
        <f t="shared" si="1"/>
        <v>8.5</v>
      </c>
      <c r="L59" s="24">
        <v>4</v>
      </c>
      <c r="M59" s="24">
        <v>3</v>
      </c>
      <c r="N59" s="24"/>
      <c r="O59" s="24"/>
      <c r="P59" s="24"/>
      <c r="Q59" s="24"/>
      <c r="R59" s="24">
        <v>1.5</v>
      </c>
      <c r="S59" s="24"/>
      <c r="T59" s="24"/>
    </row>
    <row r="60" spans="1:20" ht="40.5" customHeight="1" x14ac:dyDescent="0.25">
      <c r="A60" s="24">
        <f t="shared" si="0"/>
        <v>49</v>
      </c>
      <c r="B60" s="24" t="s">
        <v>272</v>
      </c>
      <c r="C60" s="24"/>
      <c r="D60" s="24">
        <v>78</v>
      </c>
      <c r="E60" s="24"/>
      <c r="F60" s="24"/>
      <c r="G60" s="24"/>
      <c r="H60" s="24"/>
      <c r="I60" s="24">
        <v>13</v>
      </c>
      <c r="J60" s="24">
        <v>10</v>
      </c>
      <c r="K60" s="24">
        <f t="shared" si="1"/>
        <v>14</v>
      </c>
      <c r="L60" s="24">
        <v>6</v>
      </c>
      <c r="M60" s="24">
        <v>5</v>
      </c>
      <c r="N60" s="24"/>
      <c r="O60" s="24"/>
      <c r="P60" s="24"/>
      <c r="Q60" s="24"/>
      <c r="R60" s="24">
        <v>3</v>
      </c>
      <c r="S60" s="24"/>
      <c r="T60" s="24"/>
    </row>
    <row r="61" spans="1:20" ht="40.5" customHeight="1" x14ac:dyDescent="0.25">
      <c r="A61" s="24">
        <f t="shared" si="0"/>
        <v>50</v>
      </c>
      <c r="B61" s="24" t="s">
        <v>272</v>
      </c>
      <c r="C61" s="24"/>
      <c r="D61" s="24">
        <v>42</v>
      </c>
      <c r="E61" s="24"/>
      <c r="F61" s="24"/>
      <c r="G61" s="24"/>
      <c r="H61" s="24"/>
      <c r="I61" s="24">
        <v>5</v>
      </c>
      <c r="J61" s="24">
        <v>4</v>
      </c>
      <c r="K61" s="24">
        <f t="shared" si="1"/>
        <v>8.8000000000000007</v>
      </c>
      <c r="L61" s="24">
        <v>4.5</v>
      </c>
      <c r="M61" s="24">
        <v>3</v>
      </c>
      <c r="N61" s="24"/>
      <c r="O61" s="24"/>
      <c r="P61" s="24"/>
      <c r="Q61" s="24"/>
      <c r="R61" s="24">
        <v>1.3</v>
      </c>
      <c r="S61" s="24"/>
      <c r="T61" s="24"/>
    </row>
    <row r="62" spans="1:20" ht="40.5" customHeight="1" x14ac:dyDescent="0.25">
      <c r="A62" s="24">
        <f t="shared" si="0"/>
        <v>51</v>
      </c>
      <c r="B62" s="24" t="s">
        <v>272</v>
      </c>
      <c r="C62" s="24"/>
      <c r="D62" s="24">
        <v>36</v>
      </c>
      <c r="E62" s="24"/>
      <c r="F62" s="24"/>
      <c r="G62" s="24"/>
      <c r="H62" s="24"/>
      <c r="I62" s="24">
        <v>6</v>
      </c>
      <c r="J62" s="24">
        <v>5</v>
      </c>
      <c r="K62" s="24">
        <f t="shared" si="1"/>
        <v>8</v>
      </c>
      <c r="L62" s="24">
        <v>3</v>
      </c>
      <c r="M62" s="24">
        <v>3</v>
      </c>
      <c r="N62" s="24"/>
      <c r="O62" s="24"/>
      <c r="P62" s="24"/>
      <c r="Q62" s="24"/>
      <c r="R62" s="24">
        <v>2</v>
      </c>
      <c r="S62" s="24"/>
      <c r="T62" s="24"/>
    </row>
    <row r="63" spans="1:20" ht="40.5" customHeight="1" x14ac:dyDescent="0.25">
      <c r="A63" s="24">
        <f t="shared" si="0"/>
        <v>52</v>
      </c>
      <c r="B63" s="24" t="s">
        <v>276</v>
      </c>
      <c r="C63" s="24"/>
      <c r="D63" s="24">
        <v>36</v>
      </c>
      <c r="E63" s="24"/>
      <c r="F63" s="24"/>
      <c r="G63" s="24"/>
      <c r="H63" s="24"/>
      <c r="I63" s="24">
        <v>6</v>
      </c>
      <c r="J63" s="24">
        <v>5</v>
      </c>
      <c r="K63" s="24">
        <f t="shared" si="1"/>
        <v>12</v>
      </c>
      <c r="L63" s="24">
        <v>3</v>
      </c>
      <c r="M63" s="24">
        <v>2</v>
      </c>
      <c r="N63" s="24"/>
      <c r="O63" s="24"/>
      <c r="P63" s="24"/>
      <c r="Q63" s="24"/>
      <c r="R63" s="24">
        <v>7</v>
      </c>
      <c r="S63" s="24"/>
      <c r="T63" s="24"/>
    </row>
    <row r="64" spans="1:20" ht="40.5" customHeight="1" x14ac:dyDescent="0.25">
      <c r="A64" s="24">
        <f t="shared" si="0"/>
        <v>53</v>
      </c>
      <c r="B64" s="24" t="s">
        <v>274</v>
      </c>
      <c r="C64" s="24"/>
      <c r="D64" s="24">
        <v>65</v>
      </c>
      <c r="E64" s="24"/>
      <c r="F64" s="24"/>
      <c r="G64" s="24"/>
      <c r="H64" s="24"/>
      <c r="I64" s="24">
        <v>8</v>
      </c>
      <c r="J64" s="24">
        <v>6</v>
      </c>
      <c r="K64" s="24">
        <f t="shared" si="1"/>
        <v>12.5</v>
      </c>
      <c r="L64" s="24">
        <v>5</v>
      </c>
      <c r="M64" s="24">
        <v>3.5</v>
      </c>
      <c r="N64" s="24"/>
      <c r="O64" s="24"/>
      <c r="P64" s="24"/>
      <c r="Q64" s="24"/>
      <c r="R64" s="24">
        <v>4</v>
      </c>
      <c r="S64" s="24"/>
      <c r="T64" s="24"/>
    </row>
    <row r="65" spans="1:20" ht="40.5" customHeight="1" x14ac:dyDescent="0.25">
      <c r="A65" s="24">
        <f t="shared" si="0"/>
        <v>54</v>
      </c>
      <c r="B65" s="24" t="s">
        <v>276</v>
      </c>
      <c r="C65" s="24"/>
      <c r="D65" s="24">
        <v>49</v>
      </c>
      <c r="E65" s="24"/>
      <c r="F65" s="24"/>
      <c r="G65" s="24"/>
      <c r="H65" s="24"/>
      <c r="I65" s="24">
        <v>11</v>
      </c>
      <c r="J65" s="24">
        <v>10</v>
      </c>
      <c r="K65" s="24">
        <f t="shared" si="1"/>
        <v>10</v>
      </c>
      <c r="L65" s="24">
        <v>4</v>
      </c>
      <c r="M65" s="24">
        <v>3</v>
      </c>
      <c r="N65" s="24"/>
      <c r="O65" s="24"/>
      <c r="P65" s="24"/>
      <c r="Q65" s="24"/>
      <c r="R65" s="24">
        <v>3</v>
      </c>
      <c r="S65" s="24"/>
      <c r="T65" s="24"/>
    </row>
    <row r="66" spans="1:20" ht="40.5" customHeight="1" x14ac:dyDescent="0.25">
      <c r="A66" s="24">
        <f t="shared" si="0"/>
        <v>55</v>
      </c>
      <c r="B66" s="24" t="s">
        <v>276</v>
      </c>
      <c r="C66" s="24"/>
      <c r="D66" s="24">
        <v>39</v>
      </c>
      <c r="E66" s="24"/>
      <c r="F66" s="24"/>
      <c r="G66" s="24"/>
      <c r="H66" s="24"/>
      <c r="I66" s="24">
        <v>7</v>
      </c>
      <c r="J66" s="24">
        <v>5</v>
      </c>
      <c r="K66" s="24">
        <f t="shared" si="1"/>
        <v>11</v>
      </c>
      <c r="L66" s="24">
        <v>4</v>
      </c>
      <c r="M66" s="24">
        <v>2</v>
      </c>
      <c r="N66" s="24"/>
      <c r="O66" s="24"/>
      <c r="P66" s="24"/>
      <c r="Q66" s="24"/>
      <c r="R66" s="24">
        <v>5</v>
      </c>
      <c r="S66" s="24"/>
      <c r="T66" s="24"/>
    </row>
    <row r="67" spans="1:20" ht="40.5" customHeight="1" x14ac:dyDescent="0.25">
      <c r="A67" s="24">
        <f t="shared" si="0"/>
        <v>56</v>
      </c>
      <c r="B67" s="24" t="s">
        <v>272</v>
      </c>
      <c r="C67" s="24"/>
      <c r="D67" s="24">
        <v>93</v>
      </c>
      <c r="E67" s="24"/>
      <c r="F67" s="24"/>
      <c r="G67" s="24"/>
      <c r="H67" s="24"/>
      <c r="I67" s="24">
        <v>8</v>
      </c>
      <c r="J67" s="24">
        <v>7</v>
      </c>
      <c r="K67" s="24">
        <f t="shared" si="1"/>
        <v>14.5</v>
      </c>
      <c r="L67" s="24">
        <v>6</v>
      </c>
      <c r="M67" s="24">
        <v>4</v>
      </c>
      <c r="N67" s="24"/>
      <c r="O67" s="24"/>
      <c r="P67" s="24"/>
      <c r="Q67" s="24"/>
      <c r="R67" s="24">
        <v>4.5</v>
      </c>
      <c r="S67" s="24"/>
      <c r="T67" s="24"/>
    </row>
    <row r="68" spans="1:20" ht="40.5" customHeight="1" x14ac:dyDescent="0.25">
      <c r="A68" s="24">
        <f t="shared" si="0"/>
        <v>57</v>
      </c>
      <c r="B68" s="24" t="s">
        <v>271</v>
      </c>
      <c r="C68" s="24"/>
      <c r="D68" s="24">
        <v>74</v>
      </c>
      <c r="E68" s="24"/>
      <c r="F68" s="24"/>
      <c r="G68" s="24"/>
      <c r="H68" s="24"/>
      <c r="I68" s="24">
        <v>8</v>
      </c>
      <c r="J68" s="24">
        <v>7.5</v>
      </c>
      <c r="K68" s="24">
        <f t="shared" si="1"/>
        <v>14.5</v>
      </c>
      <c r="L68" s="24">
        <v>4.5</v>
      </c>
      <c r="M68" s="24">
        <v>3</v>
      </c>
      <c r="N68" s="24"/>
      <c r="O68" s="24"/>
      <c r="P68" s="24"/>
      <c r="Q68" s="24"/>
      <c r="R68" s="24">
        <v>7</v>
      </c>
      <c r="S68" s="24"/>
      <c r="T68" s="24"/>
    </row>
    <row r="69" spans="1:20" ht="40.5" customHeight="1" x14ac:dyDescent="0.25">
      <c r="A69" s="24">
        <f t="shared" si="0"/>
        <v>58</v>
      </c>
      <c r="B69" s="24" t="s">
        <v>271</v>
      </c>
      <c r="C69" s="24"/>
      <c r="D69" s="24">
        <v>36</v>
      </c>
      <c r="E69" s="24"/>
      <c r="F69" s="24"/>
      <c r="G69" s="24"/>
      <c r="H69" s="24"/>
      <c r="I69" s="24">
        <v>4</v>
      </c>
      <c r="J69" s="24">
        <v>5</v>
      </c>
      <c r="K69" s="24">
        <f t="shared" si="1"/>
        <v>15</v>
      </c>
      <c r="L69" s="24">
        <v>4</v>
      </c>
      <c r="M69" s="24">
        <v>3</v>
      </c>
      <c r="N69" s="24"/>
      <c r="O69" s="24"/>
      <c r="P69" s="24"/>
      <c r="Q69" s="24"/>
      <c r="R69" s="24">
        <v>8</v>
      </c>
      <c r="S69" s="24"/>
      <c r="T69" s="24"/>
    </row>
    <row r="70" spans="1:20" ht="40.5" customHeight="1" x14ac:dyDescent="0.25">
      <c r="A70" s="24">
        <f t="shared" si="0"/>
        <v>59</v>
      </c>
      <c r="B70" s="24" t="s">
        <v>271</v>
      </c>
      <c r="C70" s="24"/>
      <c r="D70" s="24">
        <v>53</v>
      </c>
      <c r="E70" s="24"/>
      <c r="F70" s="24"/>
      <c r="G70" s="24"/>
      <c r="H70" s="24"/>
      <c r="I70" s="24">
        <v>6</v>
      </c>
      <c r="J70" s="24">
        <v>5.5</v>
      </c>
      <c r="K70" s="24">
        <f t="shared" si="1"/>
        <v>15.5</v>
      </c>
      <c r="L70" s="24">
        <v>4.5</v>
      </c>
      <c r="M70" s="24">
        <v>3</v>
      </c>
      <c r="N70" s="24"/>
      <c r="O70" s="24"/>
      <c r="P70" s="24"/>
      <c r="Q70" s="24"/>
      <c r="R70" s="24">
        <v>8</v>
      </c>
      <c r="S70" s="24"/>
      <c r="T70" s="24"/>
    </row>
    <row r="71" spans="1:20" ht="40.5" customHeight="1" x14ac:dyDescent="0.25">
      <c r="A71" s="24">
        <f t="shared" si="0"/>
        <v>60</v>
      </c>
      <c r="B71" s="24" t="s">
        <v>276</v>
      </c>
      <c r="C71" s="24"/>
      <c r="D71" s="24">
        <v>40</v>
      </c>
      <c r="E71" s="24"/>
      <c r="F71" s="24"/>
      <c r="G71" s="24"/>
      <c r="H71" s="24"/>
      <c r="I71" s="24">
        <v>3</v>
      </c>
      <c r="J71" s="24">
        <v>2</v>
      </c>
      <c r="K71" s="24">
        <f t="shared" si="1"/>
        <v>9.5</v>
      </c>
      <c r="L71" s="24">
        <v>4</v>
      </c>
      <c r="M71" s="24">
        <v>2.5</v>
      </c>
      <c r="N71" s="24"/>
      <c r="O71" s="24"/>
      <c r="P71" s="24"/>
      <c r="Q71" s="24"/>
      <c r="R71" s="24">
        <v>3</v>
      </c>
      <c r="S71" s="24"/>
      <c r="T71" s="24"/>
    </row>
    <row r="72" spans="1:20" ht="40.5" customHeight="1" x14ac:dyDescent="0.25">
      <c r="A72" s="24">
        <f t="shared" si="0"/>
        <v>61</v>
      </c>
      <c r="B72" s="24" t="s">
        <v>271</v>
      </c>
      <c r="C72" s="24"/>
      <c r="D72" s="24">
        <v>40</v>
      </c>
      <c r="E72" s="24"/>
      <c r="F72" s="24"/>
      <c r="G72" s="24"/>
      <c r="H72" s="24"/>
      <c r="I72" s="24">
        <v>4</v>
      </c>
      <c r="J72" s="24">
        <v>3</v>
      </c>
      <c r="K72" s="24">
        <f t="shared" si="1"/>
        <v>13.5</v>
      </c>
      <c r="L72" s="24">
        <v>4</v>
      </c>
      <c r="M72" s="24">
        <v>2.5</v>
      </c>
      <c r="N72" s="24"/>
      <c r="O72" s="24"/>
      <c r="P72" s="24"/>
      <c r="Q72" s="24"/>
      <c r="R72" s="24">
        <v>7</v>
      </c>
      <c r="S72" s="24"/>
      <c r="T72" s="24"/>
    </row>
    <row r="73" spans="1:20" ht="40.5" customHeight="1" x14ac:dyDescent="0.25">
      <c r="A73" s="24">
        <f t="shared" si="0"/>
        <v>62</v>
      </c>
      <c r="B73" s="24" t="s">
        <v>273</v>
      </c>
      <c r="C73" s="24"/>
      <c r="D73" s="24">
        <v>74</v>
      </c>
      <c r="E73" s="24"/>
      <c r="F73" s="24"/>
      <c r="G73" s="24"/>
      <c r="H73" s="24"/>
      <c r="I73" s="24">
        <v>6</v>
      </c>
      <c r="J73" s="24">
        <v>6.5</v>
      </c>
      <c r="K73" s="24">
        <f t="shared" si="1"/>
        <v>14</v>
      </c>
      <c r="L73" s="24">
        <v>5</v>
      </c>
      <c r="M73" s="24">
        <v>4</v>
      </c>
      <c r="N73" s="24"/>
      <c r="O73" s="24"/>
      <c r="P73" s="24"/>
      <c r="Q73" s="24"/>
      <c r="R73" s="24">
        <v>5</v>
      </c>
      <c r="S73" s="24"/>
      <c r="T73" s="24"/>
    </row>
    <row r="74" spans="1:20" ht="40.5" customHeight="1" x14ac:dyDescent="0.25">
      <c r="A74" s="24">
        <f t="shared" si="0"/>
        <v>63</v>
      </c>
      <c r="B74" s="24" t="s">
        <v>274</v>
      </c>
      <c r="C74" s="24"/>
      <c r="D74" s="24">
        <v>52</v>
      </c>
      <c r="E74" s="24"/>
      <c r="F74" s="24"/>
      <c r="G74" s="24"/>
      <c r="H74" s="24"/>
      <c r="I74" s="24">
        <v>8</v>
      </c>
      <c r="J74" s="24">
        <v>7</v>
      </c>
      <c r="K74" s="24">
        <f t="shared" si="1"/>
        <v>15</v>
      </c>
      <c r="L74" s="24">
        <v>4</v>
      </c>
      <c r="M74" s="24">
        <v>2</v>
      </c>
      <c r="N74" s="24"/>
      <c r="O74" s="24"/>
      <c r="P74" s="24"/>
      <c r="Q74" s="24"/>
      <c r="R74" s="24">
        <v>9</v>
      </c>
      <c r="S74" s="24"/>
      <c r="T74" s="24"/>
    </row>
    <row r="75" spans="1:20" ht="40.5" customHeight="1" x14ac:dyDescent="0.2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zoomScale="60" workbookViewId="0">
      <selection activeCell="F9" sqref="F9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8" customFormat="1" ht="24.75" customHeight="1" x14ac:dyDescent="0.25">
      <c r="B2" s="29" t="s">
        <v>164</v>
      </c>
      <c r="F2" s="82" t="s">
        <v>165</v>
      </c>
      <c r="G2" s="82"/>
      <c r="H2" s="82"/>
    </row>
    <row r="3" spans="1:8" ht="24" customHeight="1" x14ac:dyDescent="0.25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25">
      <c r="A4" s="74"/>
      <c r="B4" s="74"/>
      <c r="C4" s="74"/>
      <c r="D4" s="74"/>
      <c r="E4" s="74"/>
      <c r="F4" s="18" t="s">
        <v>173</v>
      </c>
      <c r="G4" s="18" t="s">
        <v>174</v>
      </c>
      <c r="H4" s="74"/>
    </row>
    <row r="5" spans="1:8" ht="29.25" customHeight="1" x14ac:dyDescent="0.25">
      <c r="A5" s="11">
        <v>1</v>
      </c>
      <c r="B5" s="12" t="s">
        <v>279</v>
      </c>
      <c r="C5" s="12" t="s">
        <v>307</v>
      </c>
      <c r="D5" s="12">
        <v>4</v>
      </c>
      <c r="E5" s="12">
        <v>2.5</v>
      </c>
      <c r="F5" s="12"/>
      <c r="G5" s="12">
        <f>D5*E5</f>
        <v>10</v>
      </c>
      <c r="H5" s="12"/>
    </row>
    <row r="6" spans="1:8" ht="29.25" customHeight="1" x14ac:dyDescent="0.25">
      <c r="A6" s="11">
        <v>2</v>
      </c>
      <c r="B6" s="12" t="s">
        <v>279</v>
      </c>
      <c r="C6" s="12" t="s">
        <v>307</v>
      </c>
      <c r="D6" s="12">
        <v>3</v>
      </c>
      <c r="E6" s="12">
        <v>2.2000000000000002</v>
      </c>
      <c r="F6" s="12"/>
      <c r="G6" s="12">
        <f t="shared" ref="G6:G14" si="0">D6*E6</f>
        <v>6.6000000000000005</v>
      </c>
      <c r="H6" s="12"/>
    </row>
    <row r="7" spans="1:8" ht="29.25" customHeight="1" x14ac:dyDescent="0.25">
      <c r="A7" s="11">
        <v>3</v>
      </c>
      <c r="B7" s="12" t="s">
        <v>279</v>
      </c>
      <c r="C7" s="12" t="s">
        <v>307</v>
      </c>
      <c r="D7" s="12">
        <v>3</v>
      </c>
      <c r="E7" s="12">
        <v>2</v>
      </c>
      <c r="F7" s="12" t="s">
        <v>325</v>
      </c>
      <c r="G7" s="12">
        <f t="shared" si="0"/>
        <v>6</v>
      </c>
      <c r="H7" s="12"/>
    </row>
    <row r="8" spans="1:8" ht="29.25" customHeight="1" x14ac:dyDescent="0.25">
      <c r="A8" s="11">
        <v>4</v>
      </c>
      <c r="B8" s="12" t="s">
        <v>279</v>
      </c>
      <c r="C8" s="12" t="s">
        <v>307</v>
      </c>
      <c r="D8" s="12">
        <v>3</v>
      </c>
      <c r="E8" s="12">
        <v>2.5</v>
      </c>
      <c r="F8" s="12"/>
      <c r="G8" s="12">
        <f t="shared" si="0"/>
        <v>7.5</v>
      </c>
      <c r="H8" s="12"/>
    </row>
    <row r="9" spans="1:8" ht="29.25" customHeight="1" x14ac:dyDescent="0.25">
      <c r="A9" s="11">
        <v>5</v>
      </c>
      <c r="B9" s="12" t="s">
        <v>279</v>
      </c>
      <c r="C9" s="12" t="s">
        <v>307</v>
      </c>
      <c r="D9" s="12">
        <v>2.5</v>
      </c>
      <c r="E9" s="12">
        <v>2.5</v>
      </c>
      <c r="F9" s="12"/>
      <c r="G9" s="12">
        <f t="shared" si="0"/>
        <v>6.25</v>
      </c>
      <c r="H9" s="12"/>
    </row>
    <row r="10" spans="1:8" ht="29.25" customHeight="1" x14ac:dyDescent="0.25">
      <c r="A10" s="11">
        <v>6</v>
      </c>
      <c r="B10" s="12" t="s">
        <v>272</v>
      </c>
      <c r="C10" s="12" t="s">
        <v>308</v>
      </c>
      <c r="D10" s="12">
        <v>4</v>
      </c>
      <c r="E10" s="12">
        <v>2.5</v>
      </c>
      <c r="F10" s="12" t="s">
        <v>319</v>
      </c>
      <c r="G10" s="12">
        <f t="shared" si="0"/>
        <v>10</v>
      </c>
      <c r="H10" s="12"/>
    </row>
    <row r="11" spans="1:8" ht="29.25" customHeight="1" x14ac:dyDescent="0.25">
      <c r="A11" s="11">
        <v>7</v>
      </c>
      <c r="B11" s="12" t="s">
        <v>276</v>
      </c>
      <c r="C11" s="12" t="s">
        <v>309</v>
      </c>
      <c r="D11" s="12">
        <v>3.5</v>
      </c>
      <c r="E11" s="12">
        <v>2.5</v>
      </c>
      <c r="F11" s="12"/>
      <c r="G11" s="12">
        <f t="shared" si="0"/>
        <v>8.75</v>
      </c>
      <c r="H11" s="12"/>
    </row>
    <row r="12" spans="1:8" ht="29.25" customHeight="1" x14ac:dyDescent="0.25">
      <c r="A12" s="11">
        <v>8</v>
      </c>
      <c r="B12" s="12" t="s">
        <v>276</v>
      </c>
      <c r="C12" s="12" t="s">
        <v>309</v>
      </c>
      <c r="D12" s="12">
        <v>3</v>
      </c>
      <c r="E12" s="12">
        <v>2</v>
      </c>
      <c r="F12" s="12" t="s">
        <v>319</v>
      </c>
      <c r="G12" s="12">
        <f t="shared" si="0"/>
        <v>6</v>
      </c>
      <c r="H12" s="12"/>
    </row>
    <row r="13" spans="1:8" ht="29.25" customHeight="1" x14ac:dyDescent="0.25">
      <c r="A13" s="11">
        <v>9</v>
      </c>
      <c r="B13" s="12" t="s">
        <v>276</v>
      </c>
      <c r="C13" s="12" t="s">
        <v>309</v>
      </c>
      <c r="D13" s="12">
        <v>3</v>
      </c>
      <c r="E13" s="12">
        <v>2.2999999999999998</v>
      </c>
      <c r="F13" s="12"/>
      <c r="G13" s="12">
        <f t="shared" si="0"/>
        <v>6.8999999999999995</v>
      </c>
      <c r="H13" s="12"/>
    </row>
    <row r="14" spans="1:8" ht="29.25" customHeight="1" x14ac:dyDescent="0.25">
      <c r="A14" s="11">
        <v>10</v>
      </c>
      <c r="B14" s="12" t="s">
        <v>280</v>
      </c>
      <c r="C14" s="12" t="s">
        <v>310</v>
      </c>
      <c r="D14" s="12">
        <v>4</v>
      </c>
      <c r="E14" s="12">
        <v>2.1</v>
      </c>
      <c r="F14" s="12" t="s">
        <v>315</v>
      </c>
      <c r="G14" s="12">
        <f t="shared" si="0"/>
        <v>8.4</v>
      </c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25">
      <c r="A29" s="11">
        <v>1</v>
      </c>
      <c r="B29" s="77" t="s">
        <v>176</v>
      </c>
      <c r="C29" s="77"/>
      <c r="D29" s="77"/>
      <c r="E29" s="77"/>
      <c r="F29" s="77"/>
      <c r="G29" s="77"/>
      <c r="H29" s="35" t="s">
        <v>292</v>
      </c>
    </row>
    <row r="30" spans="1:8" ht="31.5" customHeight="1" x14ac:dyDescent="0.25">
      <c r="A30" s="11">
        <v>2</v>
      </c>
      <c r="B30" s="77" t="s">
        <v>177</v>
      </c>
      <c r="C30" s="77"/>
      <c r="D30" s="77"/>
      <c r="E30" s="77"/>
      <c r="F30" s="77"/>
      <c r="G30" s="77"/>
      <c r="H30" s="35" t="s">
        <v>290</v>
      </c>
    </row>
    <row r="31" spans="1:8" ht="24.75" customHeight="1" x14ac:dyDescent="0.25">
      <c r="A31" s="11">
        <v>3</v>
      </c>
      <c r="B31" s="77" t="s">
        <v>178</v>
      </c>
      <c r="C31" s="77"/>
      <c r="D31" s="77"/>
      <c r="E31" s="77"/>
      <c r="F31" s="77"/>
      <c r="G31" s="77"/>
      <c r="H31" s="35" t="s">
        <v>281</v>
      </c>
    </row>
    <row r="32" spans="1:8" ht="24.75" customHeight="1" x14ac:dyDescent="0.25">
      <c r="A32" s="11">
        <v>4</v>
      </c>
      <c r="B32" s="78" t="s">
        <v>179</v>
      </c>
      <c r="C32" s="79"/>
      <c r="D32" s="79"/>
      <c r="E32" s="79"/>
      <c r="F32" s="79"/>
      <c r="G32" s="80"/>
      <c r="H32" s="35" t="s">
        <v>291</v>
      </c>
    </row>
    <row r="33" spans="1:8" ht="24.75" customHeight="1" x14ac:dyDescent="0.25">
      <c r="A33" s="11">
        <v>5</v>
      </c>
      <c r="B33" s="78" t="s">
        <v>180</v>
      </c>
      <c r="C33" s="79"/>
      <c r="D33" s="79"/>
      <c r="E33" s="79"/>
      <c r="F33" s="79"/>
      <c r="G33" s="80"/>
      <c r="H33" s="35" t="s">
        <v>282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150000000000006" customHeight="1" x14ac:dyDescent="0.25">
      <c r="A37" s="71"/>
      <c r="B37" s="71"/>
      <c r="C37" s="71"/>
      <c r="D37" s="74"/>
      <c r="E37" s="71"/>
      <c r="F37" s="18" t="s">
        <v>173</v>
      </c>
      <c r="G37" s="18" t="s">
        <v>174</v>
      </c>
      <c r="H37" s="71"/>
    </row>
    <row r="38" spans="1:8" ht="36" customHeight="1" x14ac:dyDescent="0.25">
      <c r="A38" s="11">
        <v>1</v>
      </c>
      <c r="B38" s="18" t="s">
        <v>279</v>
      </c>
      <c r="C38" s="18" t="s">
        <v>307</v>
      </c>
      <c r="D38" s="18">
        <v>5</v>
      </c>
      <c r="E38" s="18">
        <v>1.5</v>
      </c>
      <c r="F38" s="18"/>
      <c r="G38" s="12">
        <f t="shared" ref="G38:G41" si="1">D38*E38</f>
        <v>7.5</v>
      </c>
      <c r="H38" s="18"/>
    </row>
    <row r="39" spans="1:8" ht="36" customHeight="1" x14ac:dyDescent="0.25">
      <c r="A39" s="11">
        <v>2</v>
      </c>
      <c r="B39" s="18" t="s">
        <v>279</v>
      </c>
      <c r="C39" s="18" t="s">
        <v>307</v>
      </c>
      <c r="D39" s="18">
        <v>3</v>
      </c>
      <c r="E39" s="18">
        <v>1.5</v>
      </c>
      <c r="F39" s="18" t="s">
        <v>324</v>
      </c>
      <c r="G39" s="12">
        <f t="shared" si="1"/>
        <v>4.5</v>
      </c>
      <c r="H39" s="18"/>
    </row>
    <row r="40" spans="1:8" ht="36" customHeight="1" x14ac:dyDescent="0.25">
      <c r="A40" s="11">
        <v>3</v>
      </c>
      <c r="B40" s="18" t="s">
        <v>279</v>
      </c>
      <c r="C40" s="18" t="s">
        <v>307</v>
      </c>
      <c r="D40" s="18">
        <v>2</v>
      </c>
      <c r="E40" s="18">
        <v>1.2</v>
      </c>
      <c r="F40" s="18"/>
      <c r="G40" s="12">
        <f t="shared" si="1"/>
        <v>2.4</v>
      </c>
      <c r="H40" s="18"/>
    </row>
    <row r="41" spans="1:8" ht="36" customHeight="1" x14ac:dyDescent="0.25">
      <c r="A41" s="11">
        <v>4</v>
      </c>
      <c r="B41" s="18" t="s">
        <v>279</v>
      </c>
      <c r="C41" s="18" t="s">
        <v>307</v>
      </c>
      <c r="D41" s="18">
        <v>2</v>
      </c>
      <c r="E41" s="18">
        <v>1.3</v>
      </c>
      <c r="F41" s="18"/>
      <c r="G41" s="12">
        <f t="shared" si="1"/>
        <v>2.6</v>
      </c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25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289</v>
      </c>
    </row>
    <row r="61" spans="1:8" ht="38.25" customHeight="1" x14ac:dyDescent="0.25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283</v>
      </c>
    </row>
    <row r="62" spans="1:8" ht="25.5" customHeight="1" x14ac:dyDescent="0.25">
      <c r="A62" s="11">
        <v>3</v>
      </c>
      <c r="B62" s="77" t="s">
        <v>178</v>
      </c>
      <c r="C62" s="77"/>
      <c r="D62" s="77"/>
      <c r="E62" s="77"/>
      <c r="F62" s="77"/>
      <c r="G62" s="77"/>
      <c r="H62" s="11" t="s">
        <v>290</v>
      </c>
    </row>
    <row r="63" spans="1:8" ht="25.5" customHeight="1" x14ac:dyDescent="0.25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291</v>
      </c>
    </row>
    <row r="64" spans="1:8" ht="24.75" customHeight="1" x14ac:dyDescent="0.25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284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241</v>
      </c>
      <c r="G66" s="29"/>
    </row>
    <row r="67" spans="1:8" ht="29.45" customHeight="1" x14ac:dyDescent="0.25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3" x14ac:dyDescent="0.25">
      <c r="A68" s="71"/>
      <c r="B68" s="71"/>
      <c r="C68" s="71"/>
      <c r="D68" s="74"/>
      <c r="E68" s="71"/>
      <c r="F68" s="18" t="s">
        <v>173</v>
      </c>
      <c r="G68" s="18" t="s">
        <v>174</v>
      </c>
      <c r="H68" s="71"/>
    </row>
    <row r="69" spans="1:8" s="28" customFormat="1" ht="41.25" customHeight="1" x14ac:dyDescent="0.25">
      <c r="A69" s="11">
        <v>1</v>
      </c>
      <c r="B69" s="40" t="s">
        <v>276</v>
      </c>
      <c r="C69" s="11" t="s">
        <v>309</v>
      </c>
      <c r="D69" s="11">
        <v>5</v>
      </c>
      <c r="E69" s="11">
        <v>3</v>
      </c>
      <c r="F69" s="11" t="s">
        <v>319</v>
      </c>
      <c r="G69" s="12">
        <f t="shared" ref="G69:G73" si="2">D69*E69</f>
        <v>15</v>
      </c>
      <c r="H69" s="11"/>
    </row>
    <row r="70" spans="1:8" s="28" customFormat="1" ht="41.25" customHeight="1" x14ac:dyDescent="0.25">
      <c r="A70" s="11">
        <v>2</v>
      </c>
      <c r="B70" s="40" t="s">
        <v>276</v>
      </c>
      <c r="C70" s="11" t="s">
        <v>309</v>
      </c>
      <c r="D70" s="11">
        <v>3</v>
      </c>
      <c r="E70" s="11">
        <v>2.5</v>
      </c>
      <c r="F70" s="11"/>
      <c r="G70" s="12">
        <f t="shared" si="2"/>
        <v>7.5</v>
      </c>
      <c r="H70" s="11"/>
    </row>
    <row r="71" spans="1:8" s="28" customFormat="1" ht="41.25" customHeight="1" x14ac:dyDescent="0.25">
      <c r="A71" s="11">
        <v>3</v>
      </c>
      <c r="B71" s="40" t="s">
        <v>279</v>
      </c>
      <c r="C71" s="11" t="s">
        <v>307</v>
      </c>
      <c r="D71" s="11">
        <v>3</v>
      </c>
      <c r="E71" s="11">
        <v>2.2999999999999998</v>
      </c>
      <c r="F71" s="11" t="s">
        <v>320</v>
      </c>
      <c r="G71" s="12">
        <f t="shared" si="2"/>
        <v>6.8999999999999995</v>
      </c>
      <c r="H71" s="11"/>
    </row>
    <row r="72" spans="1:8" s="28" customFormat="1" ht="41.25" customHeight="1" x14ac:dyDescent="0.25">
      <c r="A72" s="11">
        <v>4</v>
      </c>
      <c r="B72" s="40" t="s">
        <v>276</v>
      </c>
      <c r="C72" s="11" t="s">
        <v>309</v>
      </c>
      <c r="D72" s="11">
        <v>4</v>
      </c>
      <c r="E72" s="11">
        <v>3.5</v>
      </c>
      <c r="F72" s="11"/>
      <c r="G72" s="12">
        <f t="shared" si="2"/>
        <v>14</v>
      </c>
      <c r="H72" s="11"/>
    </row>
    <row r="73" spans="1:8" s="28" customFormat="1" ht="41.25" customHeight="1" x14ac:dyDescent="0.25">
      <c r="A73" s="11">
        <v>5</v>
      </c>
      <c r="B73" s="40" t="s">
        <v>285</v>
      </c>
      <c r="C73" s="11" t="s">
        <v>311</v>
      </c>
      <c r="D73" s="11">
        <v>9</v>
      </c>
      <c r="E73" s="11">
        <v>4.5</v>
      </c>
      <c r="F73" s="11" t="s">
        <v>323</v>
      </c>
      <c r="G73" s="12">
        <f t="shared" si="2"/>
        <v>40.5</v>
      </c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2" t="s">
        <v>242</v>
      </c>
      <c r="G93" s="72"/>
      <c r="H93" s="72"/>
    </row>
    <row r="94" spans="1:8" ht="24" customHeight="1" x14ac:dyDescent="0.25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25">
      <c r="A95" s="74"/>
      <c r="B95" s="74"/>
      <c r="C95" s="74"/>
      <c r="D95" s="74"/>
      <c r="E95" s="74"/>
      <c r="F95" s="18" t="s">
        <v>173</v>
      </c>
      <c r="G95" s="18" t="s">
        <v>174</v>
      </c>
      <c r="H95" s="74"/>
    </row>
    <row r="96" spans="1:8" s="28" customFormat="1" ht="39" customHeight="1" x14ac:dyDescent="0.25">
      <c r="A96" s="41">
        <v>1</v>
      </c>
      <c r="B96" s="40" t="s">
        <v>279</v>
      </c>
      <c r="C96" s="11" t="s">
        <v>307</v>
      </c>
      <c r="D96" s="41">
        <v>3.5</v>
      </c>
      <c r="E96" s="42">
        <v>2</v>
      </c>
      <c r="F96" s="23" t="s">
        <v>320</v>
      </c>
      <c r="G96" s="12">
        <f t="shared" ref="G96:G100" si="3">D96*E96</f>
        <v>7</v>
      </c>
      <c r="H96" s="23"/>
    </row>
    <row r="97" spans="1:8" s="28" customFormat="1" ht="39" customHeight="1" x14ac:dyDescent="0.25">
      <c r="A97" s="41">
        <v>2</v>
      </c>
      <c r="B97" s="40" t="s">
        <v>286</v>
      </c>
      <c r="C97" s="11"/>
      <c r="D97" s="41">
        <v>3</v>
      </c>
      <c r="E97" s="42">
        <v>7</v>
      </c>
      <c r="F97" s="23" t="s">
        <v>321</v>
      </c>
      <c r="G97" s="12">
        <f t="shared" si="3"/>
        <v>21</v>
      </c>
      <c r="H97" s="23"/>
    </row>
    <row r="98" spans="1:8" s="28" customFormat="1" ht="39" customHeight="1" x14ac:dyDescent="0.25">
      <c r="A98" s="41">
        <v>3</v>
      </c>
      <c r="B98" s="40" t="s">
        <v>276</v>
      </c>
      <c r="C98" s="11" t="s">
        <v>309</v>
      </c>
      <c r="D98" s="41">
        <v>4</v>
      </c>
      <c r="E98" s="42">
        <v>5</v>
      </c>
      <c r="F98" s="23" t="s">
        <v>319</v>
      </c>
      <c r="G98" s="12">
        <f t="shared" si="3"/>
        <v>20</v>
      </c>
      <c r="H98" s="23"/>
    </row>
    <row r="99" spans="1:8" s="28" customFormat="1" ht="39" customHeight="1" x14ac:dyDescent="0.25">
      <c r="A99" s="41">
        <v>4</v>
      </c>
      <c r="B99" s="40" t="s">
        <v>271</v>
      </c>
      <c r="C99" s="11" t="s">
        <v>312</v>
      </c>
      <c r="D99" s="41">
        <v>5</v>
      </c>
      <c r="E99" s="42">
        <v>2.2999999999999998</v>
      </c>
      <c r="F99" s="23" t="s">
        <v>322</v>
      </c>
      <c r="G99" s="12">
        <f t="shared" si="3"/>
        <v>11.5</v>
      </c>
      <c r="H99" s="23"/>
    </row>
    <row r="100" spans="1:8" s="28" customFormat="1" ht="39" customHeight="1" x14ac:dyDescent="0.25">
      <c r="A100" s="41">
        <v>5</v>
      </c>
      <c r="B100" s="40" t="s">
        <v>279</v>
      </c>
      <c r="C100" s="11" t="s">
        <v>307</v>
      </c>
      <c r="D100" s="41">
        <v>4</v>
      </c>
      <c r="E100" s="42">
        <v>2.2999999999999998</v>
      </c>
      <c r="F100" s="23"/>
      <c r="G100" s="12">
        <f t="shared" si="3"/>
        <v>9.1999999999999993</v>
      </c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5" zoomScale="85" zoomScaleNormal="85" zoomScaleSheetLayoutView="85" workbookViewId="0">
      <selection activeCell="D11" sqref="D11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25">
      <c r="E2" s="82" t="s">
        <v>165</v>
      </c>
      <c r="F2" s="82"/>
      <c r="G2" s="82"/>
    </row>
    <row r="3" spans="1:7" ht="45.6" customHeight="1" x14ac:dyDescent="0.25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25">
      <c r="A4" s="71"/>
      <c r="B4" s="71"/>
      <c r="C4" s="58"/>
      <c r="D4" s="71"/>
      <c r="E4" s="18" t="s">
        <v>187</v>
      </c>
      <c r="F4" s="18" t="s">
        <v>188</v>
      </c>
      <c r="G4" s="71"/>
    </row>
    <row r="5" spans="1:7" ht="45.6" customHeight="1" x14ac:dyDescent="0.25">
      <c r="A5" s="71"/>
      <c r="B5" s="71"/>
      <c r="C5" s="58"/>
      <c r="D5" s="71"/>
      <c r="E5" s="18" t="s">
        <v>189</v>
      </c>
      <c r="F5" s="18" t="s">
        <v>222</v>
      </c>
      <c r="G5" s="71"/>
    </row>
    <row r="6" spans="1:7" ht="45.6" customHeight="1" x14ac:dyDescent="0.25">
      <c r="A6" s="11">
        <v>1</v>
      </c>
      <c r="B6" s="18" t="s">
        <v>279</v>
      </c>
      <c r="C6" s="45" t="s">
        <v>307</v>
      </c>
      <c r="D6" s="18">
        <v>20</v>
      </c>
      <c r="E6" s="18" t="s">
        <v>318</v>
      </c>
      <c r="F6" s="18">
        <f>0.05*(D6)*(D6)</f>
        <v>20</v>
      </c>
      <c r="G6" s="18"/>
    </row>
    <row r="7" spans="1:7" ht="45.6" customHeight="1" x14ac:dyDescent="0.25">
      <c r="A7" s="11">
        <v>2</v>
      </c>
      <c r="B7" s="18" t="s">
        <v>279</v>
      </c>
      <c r="C7" s="45" t="s">
        <v>307</v>
      </c>
      <c r="D7" s="18">
        <v>25</v>
      </c>
      <c r="E7" s="18"/>
      <c r="F7" s="18">
        <f t="shared" ref="F7:F13" si="0">0.05*(D7)*(D7)</f>
        <v>31.25</v>
      </c>
      <c r="G7" s="18"/>
    </row>
    <row r="8" spans="1:7" ht="45.6" customHeight="1" x14ac:dyDescent="0.25">
      <c r="A8" s="11">
        <v>3</v>
      </c>
      <c r="B8" s="18" t="s">
        <v>279</v>
      </c>
      <c r="C8" s="45" t="s">
        <v>307</v>
      </c>
      <c r="D8" s="18">
        <v>22</v>
      </c>
      <c r="E8" s="18"/>
      <c r="F8" s="18">
        <f t="shared" si="0"/>
        <v>24.200000000000003</v>
      </c>
      <c r="G8" s="18"/>
    </row>
    <row r="9" spans="1:7" ht="45.6" customHeight="1" x14ac:dyDescent="0.25">
      <c r="A9" s="11">
        <v>4</v>
      </c>
      <c r="B9" s="18" t="s">
        <v>287</v>
      </c>
      <c r="C9" s="45" t="s">
        <v>313</v>
      </c>
      <c r="D9" s="18">
        <v>25</v>
      </c>
      <c r="E9" s="18" t="s">
        <v>315</v>
      </c>
      <c r="F9" s="18">
        <f t="shared" si="0"/>
        <v>31.25</v>
      </c>
      <c r="G9" s="18"/>
    </row>
    <row r="10" spans="1:7" ht="45.6" customHeight="1" x14ac:dyDescent="0.25">
      <c r="A10" s="11">
        <v>5</v>
      </c>
      <c r="B10" s="18" t="s">
        <v>286</v>
      </c>
      <c r="C10" s="45"/>
      <c r="D10" s="18">
        <v>30</v>
      </c>
      <c r="E10" s="18"/>
      <c r="F10" s="18">
        <f t="shared" si="0"/>
        <v>45</v>
      </c>
      <c r="G10" s="18"/>
    </row>
    <row r="11" spans="1:7" ht="45.6" customHeight="1" x14ac:dyDescent="0.25">
      <c r="A11" s="11">
        <v>6</v>
      </c>
      <c r="B11" s="18" t="s">
        <v>272</v>
      </c>
      <c r="C11" s="45" t="s">
        <v>308</v>
      </c>
      <c r="D11" s="18">
        <v>25</v>
      </c>
      <c r="E11" s="18" t="s">
        <v>319</v>
      </c>
      <c r="F11" s="18">
        <f t="shared" si="0"/>
        <v>31.25</v>
      </c>
      <c r="G11" s="18"/>
    </row>
    <row r="12" spans="1:7" ht="45.6" customHeight="1" x14ac:dyDescent="0.25">
      <c r="A12" s="11">
        <v>7</v>
      </c>
      <c r="B12" s="18" t="s">
        <v>288</v>
      </c>
      <c r="C12" s="45"/>
      <c r="D12" s="18">
        <v>15</v>
      </c>
      <c r="E12" s="18" t="s">
        <v>320</v>
      </c>
      <c r="F12" s="18">
        <f t="shared" si="0"/>
        <v>11.25</v>
      </c>
      <c r="G12" s="18"/>
    </row>
    <row r="13" spans="1:7" ht="45.6" customHeight="1" x14ac:dyDescent="0.25">
      <c r="A13" s="11">
        <v>8</v>
      </c>
      <c r="B13" s="18" t="s">
        <v>279</v>
      </c>
      <c r="C13" s="45" t="s">
        <v>307</v>
      </c>
      <c r="D13" s="18">
        <v>50</v>
      </c>
      <c r="E13" s="18"/>
      <c r="F13" s="18">
        <f t="shared" si="0"/>
        <v>125</v>
      </c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1" t="s">
        <v>192</v>
      </c>
      <c r="F35" s="81"/>
      <c r="G35" s="81"/>
    </row>
    <row r="36" spans="1:7" ht="45.6" customHeight="1" x14ac:dyDescent="0.25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25">
      <c r="A37" s="71"/>
      <c r="B37" s="71"/>
      <c r="C37" s="84"/>
      <c r="D37" s="71"/>
      <c r="E37" s="18" t="s">
        <v>187</v>
      </c>
      <c r="F37" s="18" t="s">
        <v>188</v>
      </c>
      <c r="G37" s="71"/>
    </row>
    <row r="38" spans="1:7" ht="45.6" customHeight="1" x14ac:dyDescent="0.25">
      <c r="A38" s="71"/>
      <c r="B38" s="71"/>
      <c r="C38" s="85"/>
      <c r="D38" s="71"/>
      <c r="E38" s="18" t="s">
        <v>189</v>
      </c>
      <c r="F38" s="18" t="s">
        <v>190</v>
      </c>
      <c r="G38" s="71"/>
    </row>
    <row r="39" spans="1:7" s="28" customFormat="1" ht="45.6" customHeight="1" x14ac:dyDescent="0.25">
      <c r="A39" s="41">
        <v>1</v>
      </c>
      <c r="B39" s="23" t="s">
        <v>277</v>
      </c>
      <c r="C39" s="48" t="s">
        <v>314</v>
      </c>
      <c r="D39" s="41">
        <v>30</v>
      </c>
      <c r="E39" s="23" t="s">
        <v>315</v>
      </c>
      <c r="F39" s="18">
        <f t="shared" ref="F39:F48" si="1">0.05*(D39)*(D39)</f>
        <v>45</v>
      </c>
      <c r="G39" s="23"/>
    </row>
    <row r="40" spans="1:7" s="28" customFormat="1" ht="45.6" customHeight="1" x14ac:dyDescent="0.25">
      <c r="A40" s="41">
        <v>2</v>
      </c>
      <c r="B40" s="23" t="s">
        <v>285</v>
      </c>
      <c r="C40" s="48" t="s">
        <v>311</v>
      </c>
      <c r="D40" s="41">
        <v>80</v>
      </c>
      <c r="E40" s="23" t="s">
        <v>316</v>
      </c>
      <c r="F40" s="18">
        <f t="shared" si="1"/>
        <v>320</v>
      </c>
      <c r="G40" s="23"/>
    </row>
    <row r="41" spans="1:7" s="28" customFormat="1" ht="45.6" customHeight="1" x14ac:dyDescent="0.25">
      <c r="A41" s="41">
        <v>3</v>
      </c>
      <c r="B41" s="23" t="s">
        <v>279</v>
      </c>
      <c r="C41" s="48" t="s">
        <v>307</v>
      </c>
      <c r="D41" s="41">
        <v>40</v>
      </c>
      <c r="E41" s="23"/>
      <c r="F41" s="18">
        <f t="shared" si="1"/>
        <v>80</v>
      </c>
      <c r="G41" s="23"/>
    </row>
    <row r="42" spans="1:7" s="28" customFormat="1" ht="45.6" customHeight="1" x14ac:dyDescent="0.25">
      <c r="A42" s="41">
        <v>4</v>
      </c>
      <c r="B42" s="23" t="s">
        <v>279</v>
      </c>
      <c r="C42" s="48" t="s">
        <v>307</v>
      </c>
      <c r="D42" s="41">
        <v>50</v>
      </c>
      <c r="E42" s="23" t="s">
        <v>317</v>
      </c>
      <c r="F42" s="18">
        <f t="shared" si="1"/>
        <v>125</v>
      </c>
      <c r="G42" s="23"/>
    </row>
    <row r="43" spans="1:7" s="28" customFormat="1" ht="45.6" customHeight="1" x14ac:dyDescent="0.25">
      <c r="A43" s="41">
        <v>5</v>
      </c>
      <c r="B43" s="23" t="s">
        <v>279</v>
      </c>
      <c r="C43" s="48" t="s">
        <v>307</v>
      </c>
      <c r="D43" s="41">
        <v>40</v>
      </c>
      <c r="E43" s="23"/>
      <c r="F43" s="18">
        <f t="shared" si="1"/>
        <v>80</v>
      </c>
      <c r="G43" s="23"/>
    </row>
    <row r="44" spans="1:7" s="28" customFormat="1" ht="45.6" customHeight="1" x14ac:dyDescent="0.25">
      <c r="A44" s="41">
        <v>6</v>
      </c>
      <c r="B44" s="23" t="s">
        <v>279</v>
      </c>
      <c r="C44" s="48" t="s">
        <v>307</v>
      </c>
      <c r="D44" s="41">
        <v>35</v>
      </c>
      <c r="E44" s="23"/>
      <c r="F44" s="18">
        <f t="shared" si="1"/>
        <v>61.25</v>
      </c>
      <c r="G44" s="23"/>
    </row>
    <row r="45" spans="1:7" s="28" customFormat="1" ht="45.6" customHeight="1" x14ac:dyDescent="0.25">
      <c r="A45" s="41">
        <v>7</v>
      </c>
      <c r="B45" s="23" t="s">
        <v>279</v>
      </c>
      <c r="C45" s="48" t="s">
        <v>307</v>
      </c>
      <c r="D45" s="41">
        <v>52</v>
      </c>
      <c r="E45" s="23"/>
      <c r="F45" s="18">
        <f t="shared" si="1"/>
        <v>135.20000000000002</v>
      </c>
      <c r="G45" s="23"/>
    </row>
    <row r="46" spans="1:7" s="28" customFormat="1" ht="45.6" customHeight="1" x14ac:dyDescent="0.25">
      <c r="A46" s="41">
        <v>8</v>
      </c>
      <c r="B46" s="23" t="s">
        <v>279</v>
      </c>
      <c r="C46" s="48" t="s">
        <v>307</v>
      </c>
      <c r="D46" s="41">
        <v>47</v>
      </c>
      <c r="E46" s="23"/>
      <c r="F46" s="18">
        <f t="shared" si="1"/>
        <v>110.45</v>
      </c>
      <c r="G46" s="23"/>
    </row>
    <row r="47" spans="1:7" s="28" customFormat="1" ht="45.6" customHeight="1" x14ac:dyDescent="0.25">
      <c r="A47" s="41">
        <v>9</v>
      </c>
      <c r="B47" s="23" t="s">
        <v>279</v>
      </c>
      <c r="C47" s="48" t="s">
        <v>307</v>
      </c>
      <c r="D47" s="41">
        <v>23</v>
      </c>
      <c r="E47" s="23"/>
      <c r="F47" s="18">
        <f t="shared" si="1"/>
        <v>26.450000000000003</v>
      </c>
      <c r="G47" s="23"/>
    </row>
    <row r="48" spans="1:7" s="28" customFormat="1" ht="45.6" customHeight="1" x14ac:dyDescent="0.25">
      <c r="A48" s="41">
        <v>10</v>
      </c>
      <c r="B48" s="23" t="s">
        <v>279</v>
      </c>
      <c r="C48" s="48" t="s">
        <v>307</v>
      </c>
      <c r="D48" s="41">
        <v>28</v>
      </c>
      <c r="E48" s="23"/>
      <c r="F48" s="18">
        <f t="shared" si="1"/>
        <v>39.200000000000003</v>
      </c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10" zoomScaleSheetLayoutView="100" workbookViewId="0">
      <selection activeCell="B12" sqref="B12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25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227</v>
      </c>
      <c r="B1" s="53"/>
      <c r="C1" s="53"/>
      <c r="D1" s="53"/>
      <c r="E1" s="53"/>
    </row>
    <row r="2" spans="1:8" ht="25.5" customHeight="1" x14ac:dyDescent="0.25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237</v>
      </c>
      <c r="B19" s="53"/>
      <c r="C19" s="53"/>
      <c r="D19" s="53"/>
      <c r="E19" s="53"/>
    </row>
    <row r="20" spans="1:5" ht="36" customHeight="1" x14ac:dyDescent="0.25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No 3'!OLE_LINK1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2024-06-16T13:57:20Z</dcterms:modified>
</cp:coreProperties>
</file>