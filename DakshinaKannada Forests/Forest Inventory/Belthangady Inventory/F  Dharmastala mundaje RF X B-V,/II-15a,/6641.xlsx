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-V\II-15a\"/>
    </mc:Choice>
  </mc:AlternateContent>
  <xr:revisionPtr revIDLastSave="0" documentId="13_ncr:1_{9137E47B-31BF-4DE3-B2F5-BCCB945FD6D3}" xr6:coauthVersionLast="47" xr6:coauthVersionMax="47" xr10:uidLastSave="{00000000-0000-0000-0000-000000000000}"/>
  <bookViews>
    <workbookView xWindow="1905" yWindow="190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8" l="1"/>
  <c r="G68" i="8"/>
  <c r="G41" i="8"/>
  <c r="G40" i="8"/>
  <c r="G39" i="8"/>
  <c r="G38" i="8"/>
  <c r="G37" i="8"/>
  <c r="G14" i="8"/>
  <c r="G13" i="8"/>
  <c r="G12" i="8"/>
  <c r="G11" i="8"/>
  <c r="G10" i="8"/>
  <c r="G9" i="8"/>
  <c r="G8" i="8"/>
  <c r="G7" i="8"/>
  <c r="G6" i="8"/>
  <c r="G5" i="8"/>
  <c r="F41" i="9"/>
  <c r="F40" i="9"/>
  <c r="F39" i="9"/>
  <c r="F13" i="9"/>
  <c r="F12" i="9"/>
  <c r="F11" i="9"/>
  <c r="F10" i="9"/>
  <c r="F6" i="9"/>
  <c r="C5" i="5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12" i="6"/>
  <c r="B92" i="8"/>
  <c r="B65" i="8"/>
  <c r="B34" i="8"/>
  <c r="C96" i="8"/>
</calcChain>
</file>

<file path=xl/sharedStrings.xml><?xml version="1.0" encoding="utf-8"?>
<sst xmlns="http://schemas.openxmlformats.org/spreadsheetml/2006/main" count="495" uniqueCount="333">
  <si>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</si>
  <si>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</si>
  <si>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</si>
  <si>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</si>
  <si>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</si>
  <si>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</si>
  <si>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</si>
  <si>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</si>
  <si>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</si>
  <si>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</si>
  <si>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</si>
  <si>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</si>
  <si>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</si>
  <si>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</si>
  <si>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</si>
  <si>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</si>
  <si>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</si>
  <si>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</si>
  <si>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</si>
  <si>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</si>
  <si>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</si>
  <si>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</si>
  <si>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</si>
  <si>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</si>
  <si>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</si>
  <si>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</si>
  <si>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</si>
  <si>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</si>
  <si>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</si>
  <si>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</si>
  <si>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</si>
  <si>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</si>
  <si>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</si>
  <si>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</si>
  <si>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</si>
  <si>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</si>
  <si>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</si>
  <si>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</si>
  <si>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</si>
  <si>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</si>
  <si>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</si>
  <si>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</si>
  <si>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</si>
  <si>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</si>
  <si>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</si>
  <si>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</si>
  <si>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</si>
  <si>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</si>
  <si>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</si>
  <si>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</si>
  <si>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</si>
  <si>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</si>
  <si>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</si>
  <si>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</si>
  <si>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</si>
  <si>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</si>
  <si>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</si>
  <si>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</si>
  <si>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</si>
  <si>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</si>
  <si>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</si>
  <si>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</si>
  <si>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</si>
  <si>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</si>
  <si>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</si>
  <si>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</si>
  <si>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</si>
  <si>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</si>
  <si>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</si>
  <si>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</si>
  <si>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</si>
  <si>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</si>
  <si>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</si>
  <si>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</si>
  <si>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</si>
  <si>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</si>
  <si>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</si>
  <si>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</si>
  <si>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</si>
  <si>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</si>
  <si>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</si>
  <si>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</si>
  <si>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</si>
  <si>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</si>
  <si>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</si>
  <si>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</si>
  <si>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</si>
  <si>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</si>
  <si>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</si>
  <si>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</si>
  <si>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</si>
  <si>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</si>
  <si>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</si>
  <si>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</si>
  <si>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</si>
  <si>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</si>
  <si>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</si>
  <si>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</si>
  <si>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</si>
  <si>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</si>
  <si>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</si>
  <si>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</si>
  <si>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</si>
  <si>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</si>
  <si>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</si>
  <si>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</si>
  <si>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</si>
  <si>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</si>
  <si>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</si>
  <si>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</si>
  <si>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</si>
  <si>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</si>
  <si>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</si>
  <si>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</si>
  <si>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</si>
  <si>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</si>
  <si>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</si>
  <si>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</si>
  <si>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</si>
  <si>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</si>
  <si>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</si>
  <si>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</si>
  <si>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</si>
  <si>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</si>
  <si>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</si>
  <si>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</si>
  <si>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</si>
  <si>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</si>
  <si>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</si>
  <si>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</si>
  <si>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</si>
  <si>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</si>
  <si>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</si>
  <si>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</si>
  <si>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</si>
  <si>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</si>
  <si>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</si>
  <si>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</si>
  <si>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</si>
  <si>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</si>
  <si>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</si>
  <si>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</si>
  <si>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</si>
  <si>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</si>
  <si>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</si>
  <si>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</si>
  <si>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</si>
  <si>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</si>
  <si>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</si>
  <si>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</si>
  <si>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</si>
  <si>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</si>
  <si>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</si>
  <si>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</si>
  <si>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</si>
  <si>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</si>
  <si>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</si>
  <si>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</si>
  <si>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</si>
  <si>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</si>
  <si>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</si>
  <si>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</si>
  <si>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</si>
  <si>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</si>
  <si>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</si>
  <si>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</si>
  <si>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</si>
  <si>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</si>
  <si>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</si>
  <si>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</si>
  <si>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</si>
  <si>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</si>
  <si>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</si>
  <si>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</si>
  <si>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</si>
  <si>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</si>
  <si>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</si>
  <si>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</si>
  <si>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</si>
  <si>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</si>
  <si>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</si>
  <si>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</si>
  <si>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</si>
  <si>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</si>
  <si>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</si>
  <si>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</si>
  <si>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</si>
  <si>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</si>
  <si>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</si>
  <si>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</si>
  <si>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</si>
  <si>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</si>
  <si>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</si>
  <si>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</si>
  <si>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</si>
  <si>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</si>
  <si>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</si>
  <si>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</si>
  <si>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</si>
  <si>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</si>
  <si>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</si>
  <si>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</si>
  <si>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</si>
  <si>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</si>
  <si>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</si>
  <si>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</si>
  <si>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</si>
  <si>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</si>
  <si>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</si>
  <si>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</si>
  <si>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</si>
  <si>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</si>
  <si>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</si>
  <si>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</si>
  <si>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</si>
  <si>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</si>
  <si>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</si>
  <si>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</si>
  <si>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</si>
  <si>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</si>
  <si>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</si>
  <si>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</si>
  <si>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</si>
  <si>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</si>
  <si>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</si>
  <si>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</si>
  <si>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</si>
  <si>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</si>
  <si>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</si>
  <si>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</si>
  <si>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</si>
  <si>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</si>
  <si>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</si>
  <si>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</si>
  <si>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</si>
  <si>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</si>
  <si>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</si>
  <si>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</si>
  <si>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</si>
  <si>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</si>
  <si>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</si>
  <si>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</si>
  <si>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</si>
  <si>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Right diversion from Kakkinje towards Nerya road. Take right towards 6kms near Near Bailangady towards Chibidre plot and walk for 550m</t>
  </si>
  <si>
    <t>Tract - Undulating</t>
  </si>
  <si>
    <t>Canopy Dencity - 0.5</t>
  </si>
  <si>
    <t>Soil - Black soil</t>
  </si>
  <si>
    <t xml:space="preserve">Herbs - Psychotria flavida , Nervosa sp Piper nigrum </t>
  </si>
  <si>
    <t xml:space="preserve">Shrubs - Psychotria flavida Tabernamontana heyneana </t>
  </si>
  <si>
    <t xml:space="preserve">Underwood species – Aporosa lindleyana </t>
  </si>
  <si>
    <t xml:space="preserve">Climbers - Pothos scandens Piper nigrum </t>
  </si>
  <si>
    <t>Stream</t>
  </si>
  <si>
    <t>Present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</si>
  <si>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</si>
  <si>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</si>
  <si>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</si>
  <si>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</si>
  <si>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</si>
  <si>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Smooth</t>
  </si>
  <si>
    <t>Depth- Moderate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</si>
  <si>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</si>
  <si>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</si>
  <si>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Aporosa lindleyana Xylia xylocarpa Holigarna arnattiana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</si>
  <si>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</si>
  <si>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</si>
  <si>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 xml:space="preserve">Wild animals 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</si>
  <si>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</si>
  <si>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</si>
  <si>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</si>
  <si>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</si>
  <si>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</si>
  <si>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 xml:space="preserve">Caryota urens </t>
  </si>
  <si>
    <t xml:space="preserve">Aporosa lindleyana </t>
  </si>
  <si>
    <t xml:space="preserve">Terminalia paniculata </t>
  </si>
  <si>
    <t xml:space="preserve">Holigarna arnattiana </t>
  </si>
  <si>
    <t xml:space="preserve">Alstonia scholaris </t>
  </si>
  <si>
    <t xml:space="preserve">Artocarpus hirusts </t>
  </si>
  <si>
    <t xml:space="preserve">Xylia xylocarpa </t>
  </si>
  <si>
    <t xml:space="preserve">Tabernamontana heyneana </t>
  </si>
  <si>
    <t xml:space="preserve">Catunaregam spinosa </t>
  </si>
  <si>
    <t xml:space="preserve">Ixora brachiata </t>
  </si>
  <si>
    <t xml:space="preserve">unknown </t>
  </si>
  <si>
    <t xml:space="preserve">Hopea ponga </t>
  </si>
  <si>
    <t xml:space="preserve">Psychotria flavida </t>
  </si>
  <si>
    <t>400g</t>
  </si>
  <si>
    <t>1.2kg</t>
  </si>
  <si>
    <t>3.5kg</t>
  </si>
  <si>
    <t>450g</t>
  </si>
  <si>
    <t>Ankole</t>
  </si>
  <si>
    <t>350g</t>
  </si>
  <si>
    <t>800g</t>
  </si>
  <si>
    <t>1.5kg</t>
  </si>
  <si>
    <t>300g</t>
  </si>
  <si>
    <t>NIL</t>
  </si>
  <si>
    <t xml:space="preserve">Piper nigrum </t>
  </si>
  <si>
    <t xml:space="preserve">Pothos scandens </t>
  </si>
  <si>
    <t>unknown</t>
  </si>
  <si>
    <t>423 ft</t>
  </si>
  <si>
    <t>Belthangady</t>
  </si>
  <si>
    <t>Dharmastala mundaje RF X B-V</t>
  </si>
  <si>
    <t>II-15a</t>
  </si>
  <si>
    <t>Aspect - No fix</t>
  </si>
  <si>
    <t>Grasses - NIL</t>
  </si>
  <si>
    <t>Weeds - NIL</t>
  </si>
  <si>
    <t>Bamboos -NIL</t>
  </si>
  <si>
    <t>Rattans –NIL</t>
  </si>
  <si>
    <t xml:space="preserve">Caryota urens , Aporosa Lindleyan,  Xylia xylocarpa </t>
  </si>
  <si>
    <t xml:space="preserve">NTFP yieding sps - Caryota urens </t>
  </si>
  <si>
    <t>6m</t>
  </si>
  <si>
    <t>Mangalore</t>
  </si>
  <si>
    <t>Kaadu coffee</t>
  </si>
  <si>
    <t>Kalu Menasu</t>
  </si>
  <si>
    <t>Beelu Balli</t>
  </si>
  <si>
    <t>Jambe</t>
  </si>
  <si>
    <t>Gorbale</t>
  </si>
  <si>
    <t>Haiga</t>
  </si>
  <si>
    <t>Salle</t>
  </si>
  <si>
    <t>15Kg</t>
  </si>
  <si>
    <t xml:space="preserve">Alangium salviifolium </t>
  </si>
  <si>
    <t>8Kg</t>
  </si>
  <si>
    <t>Tubers and roots</t>
  </si>
  <si>
    <t>fruits,s eeds</t>
  </si>
  <si>
    <t>leaves</t>
  </si>
  <si>
    <t>650g</t>
  </si>
  <si>
    <t>0.8kg</t>
  </si>
  <si>
    <t>0.45kg</t>
  </si>
  <si>
    <t>0.82kg</t>
  </si>
  <si>
    <t>stems</t>
  </si>
  <si>
    <t>flwoers</t>
  </si>
  <si>
    <t>seeds</t>
  </si>
  <si>
    <t>stems, seeds</t>
  </si>
  <si>
    <t>seeds, bark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</si>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</sst>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298</v>
      </c>
    </row>
    <row r="6" spans="1:3" ht="39" customHeight="1" x14ac:dyDescent="0.25">
      <c r="A6" s="4">
        <v>2</v>
      </c>
      <c r="B6" s="51" t="s">
        <v>7</v>
      </c>
      <c r="C6" s="8" t="s">
        <v>299</v>
      </c>
    </row>
    <row r="7" spans="1:3" ht="39" customHeight="1" x14ac:dyDescent="0.25">
      <c r="A7" s="4">
        <v>3</v>
      </c>
      <c r="B7" s="51" t="s">
        <v>8</v>
      </c>
      <c r="C7" s="8" t="s">
        <v>300</v>
      </c>
    </row>
    <row r="8" spans="1:3" ht="39" customHeight="1" x14ac:dyDescent="0.25">
      <c r="A8" s="4">
        <v>4</v>
      </c>
      <c r="B8" s="51" t="s">
        <v>9</v>
      </c>
      <c r="C8" s="8">
        <v>6641</v>
      </c>
    </row>
    <row r="9" spans="1:3" ht="39" customHeight="1" x14ac:dyDescent="0.25">
      <c r="A9" s="4">
        <v>5</v>
      </c>
      <c r="B9" s="51" t="s">
        <v>10</v>
      </c>
      <c r="C9" s="9">
        <v>12.999173000000001</v>
      </c>
    </row>
    <row r="10" spans="1:3" ht="39" customHeight="1" x14ac:dyDescent="0.25">
      <c r="A10" s="4">
        <v>6</v>
      </c>
      <c r="B10" s="51" t="s">
        <v>11</v>
      </c>
      <c r="C10" s="9">
        <v>75.416762000000006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306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301</v>
      </c>
    </row>
    <row r="15" spans="1:3" ht="32.25" customHeight="1" x14ac:dyDescent="0.25">
      <c r="A15" s="54"/>
      <c r="B15" s="55"/>
      <c r="C15" s="6" t="s">
        <v>245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302</v>
      </c>
    </row>
    <row r="18" spans="1:3" ht="32.25" customHeight="1" x14ac:dyDescent="0.25">
      <c r="A18" s="54"/>
      <c r="B18" s="55"/>
      <c r="C18" s="6" t="s">
        <v>303</v>
      </c>
    </row>
    <row r="19" spans="1:3" ht="32.25" customHeight="1" x14ac:dyDescent="0.25">
      <c r="A19" s="54"/>
      <c r="B19" s="55"/>
      <c r="C19" s="6" t="s">
        <v>304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305</v>
      </c>
    </row>
    <row r="25" spans="1:3" ht="63" customHeight="1" x14ac:dyDescent="0.25">
      <c r="A25" s="54"/>
      <c r="B25" s="55"/>
      <c r="C25" s="6" t="s">
        <v>307</v>
      </c>
    </row>
    <row r="26" spans="1:3" ht="49.5" customHeight="1" x14ac:dyDescent="0.25">
      <c r="A26" s="4">
        <v>10</v>
      </c>
      <c r="B26" s="51" t="s">
        <v>15</v>
      </c>
      <c r="C26" s="6" t="s">
        <v>251</v>
      </c>
    </row>
    <row r="27" spans="1:3" ht="53.25" customHeight="1" x14ac:dyDescent="0.25">
      <c r="A27" s="4">
        <v>11</v>
      </c>
      <c r="B27" s="51" t="s">
        <v>16</v>
      </c>
      <c r="C27" s="6" t="s">
        <v>252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308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B-V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6641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12.999173000000001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75.416762000000006</v>
      </c>
    </row>
    <row r="11" spans="1:3" ht="32.25" customHeight="1" x14ac:dyDescent="0.25">
      <c r="A11" s="11">
        <v>7</v>
      </c>
      <c r="B11" s="52" t="s">
        <v>22</v>
      </c>
      <c r="C11" s="20" t="s">
        <v>297</v>
      </c>
    </row>
    <row r="12" spans="1:3" ht="43.5" customHeight="1" x14ac:dyDescent="0.25">
      <c r="A12" s="11">
        <v>8</v>
      </c>
      <c r="B12" s="52" t="s">
        <v>23</v>
      </c>
      <c r="C12" s="20" t="s">
        <v>253</v>
      </c>
    </row>
    <row r="13" spans="1:3" ht="43.5" customHeight="1" x14ac:dyDescent="0.25">
      <c r="A13" s="11">
        <v>9</v>
      </c>
      <c r="B13" s="52" t="s">
        <v>24</v>
      </c>
      <c r="C13" s="20" t="s">
        <v>254</v>
      </c>
    </row>
    <row r="14" spans="1:3" ht="38.25" customHeight="1" x14ac:dyDescent="0.25">
      <c r="A14" s="11">
        <v>10</v>
      </c>
      <c r="B14" s="52" t="s">
        <v>25</v>
      </c>
      <c r="C14" s="20" t="s">
        <v>255</v>
      </c>
    </row>
    <row r="15" spans="1:3" ht="25.5" customHeight="1" x14ac:dyDescent="0.25">
      <c r="A15" s="11">
        <v>11</v>
      </c>
      <c r="B15" s="52" t="s">
        <v>26</v>
      </c>
      <c r="C15" s="22" t="s">
        <v>256</v>
      </c>
    </row>
    <row r="16" spans="1:3" ht="37.5" customHeight="1" x14ac:dyDescent="0.25">
      <c r="A16" s="11">
        <v>12</v>
      </c>
      <c r="B16" s="52" t="s">
        <v>27</v>
      </c>
      <c r="C16" s="22" t="s">
        <v>257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258</v>
      </c>
    </row>
    <row r="19" spans="1:3" ht="30.75" customHeight="1" x14ac:dyDescent="0.25">
      <c r="A19" s="57"/>
      <c r="B19" s="58"/>
      <c r="C19" s="22" t="s">
        <v>259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262</v>
      </c>
    </row>
    <row r="23" spans="1:3" ht="15.75" x14ac:dyDescent="0.25">
      <c r="A23" s="11">
        <v>17</v>
      </c>
      <c r="B23" s="52" t="s">
        <v>221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265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293</v>
      </c>
    </row>
    <row r="31" spans="1:3" ht="72.75" customHeight="1" x14ac:dyDescent="0.25">
      <c r="A31" s="11">
        <v>25</v>
      </c>
      <c r="B31" s="52" t="s">
        <v>40</v>
      </c>
      <c r="C31" s="22" t="s">
        <v>293</v>
      </c>
    </row>
    <row r="32" spans="1:3" ht="60" customHeight="1" x14ac:dyDescent="0.25">
      <c r="A32" s="11">
        <v>26</v>
      </c>
      <c r="B32" s="52" t="s">
        <v>41</v>
      </c>
      <c r="C32" s="22" t="s">
        <v>251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293</v>
      </c>
    </row>
    <row r="35" spans="1:3" ht="59.25" customHeight="1" x14ac:dyDescent="0.25">
      <c r="A35" s="11">
        <v>29</v>
      </c>
      <c r="B35" s="52" t="s">
        <v>44</v>
      </c>
      <c r="C35" s="22" t="s">
        <v>293</v>
      </c>
    </row>
    <row r="36" spans="1:3" ht="66" customHeight="1" x14ac:dyDescent="0.25">
      <c r="A36" s="11">
        <v>30</v>
      </c>
      <c r="B36" s="52" t="s">
        <v>225</v>
      </c>
      <c r="C36" s="22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view="pageBreakPreview" topLeftCell="A9" zoomScale="60" zoomScaleNormal="70" workbookViewId="0">
      <selection activeCell="R35" sqref="R3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271</v>
      </c>
      <c r="C12" s="24"/>
      <c r="D12" s="24">
        <v>123</v>
      </c>
      <c r="E12" s="24"/>
      <c r="F12" s="24"/>
      <c r="G12" s="24"/>
      <c r="H12" s="24"/>
      <c r="I12" s="24">
        <v>8</v>
      </c>
      <c r="J12" s="24">
        <v>7</v>
      </c>
      <c r="K12" s="24">
        <f>L12+M12+R12</f>
        <v>12</v>
      </c>
      <c r="L12" s="24">
        <v>2</v>
      </c>
      <c r="M12" s="24">
        <v>2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25">
      <c r="A13" s="24">
        <v>2</v>
      </c>
      <c r="B13" s="24" t="s">
        <v>272</v>
      </c>
      <c r="C13" s="24"/>
      <c r="D13" s="24">
        <v>62</v>
      </c>
      <c r="E13" s="24"/>
      <c r="F13" s="24"/>
      <c r="G13" s="24"/>
      <c r="H13" s="24"/>
      <c r="I13" s="24">
        <v>7</v>
      </c>
      <c r="J13" s="24">
        <v>6</v>
      </c>
      <c r="K13" s="24">
        <f t="shared" ref="K13:K31" si="0">L13+M13+R13</f>
        <v>10</v>
      </c>
      <c r="L13" s="24">
        <v>3</v>
      </c>
      <c r="M13" s="24">
        <v>5</v>
      </c>
      <c r="N13" s="24"/>
      <c r="O13" s="24"/>
      <c r="P13" s="24"/>
      <c r="Q13" s="24"/>
      <c r="R13" s="24">
        <v>2</v>
      </c>
      <c r="S13" s="24"/>
      <c r="T13" s="24"/>
    </row>
    <row r="14" spans="1:20" ht="40.5" customHeight="1" x14ac:dyDescent="0.25">
      <c r="A14" s="24">
        <v>3</v>
      </c>
      <c r="B14" s="24" t="s">
        <v>273</v>
      </c>
      <c r="C14" s="24"/>
      <c r="D14" s="24">
        <v>35</v>
      </c>
      <c r="E14" s="24"/>
      <c r="F14" s="24"/>
      <c r="G14" s="24"/>
      <c r="H14" s="24"/>
      <c r="I14" s="24">
        <v>7</v>
      </c>
      <c r="J14" s="24">
        <v>4</v>
      </c>
      <c r="K14" s="24">
        <f t="shared" si="0"/>
        <v>13</v>
      </c>
      <c r="L14" s="24">
        <v>4</v>
      </c>
      <c r="M14" s="24">
        <v>3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25">
      <c r="A15" s="24">
        <v>4</v>
      </c>
      <c r="B15" s="24" t="s">
        <v>272</v>
      </c>
      <c r="C15" s="24"/>
      <c r="D15" s="24">
        <v>84</v>
      </c>
      <c r="E15" s="24"/>
      <c r="F15" s="24"/>
      <c r="G15" s="24"/>
      <c r="H15" s="24"/>
      <c r="I15" s="24">
        <v>8</v>
      </c>
      <c r="J15" s="24">
        <v>4</v>
      </c>
      <c r="K15" s="24">
        <f t="shared" si="0"/>
        <v>14</v>
      </c>
      <c r="L15" s="24">
        <v>4</v>
      </c>
      <c r="M15" s="24">
        <v>4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25">
      <c r="A16" s="24">
        <v>5</v>
      </c>
      <c r="B16" s="24" t="s">
        <v>272</v>
      </c>
      <c r="C16" s="24"/>
      <c r="D16" s="24">
        <v>105</v>
      </c>
      <c r="E16" s="24"/>
      <c r="F16" s="24"/>
      <c r="G16" s="24"/>
      <c r="H16" s="24"/>
      <c r="I16" s="24">
        <v>12</v>
      </c>
      <c r="J16" s="24">
        <v>10</v>
      </c>
      <c r="K16" s="24">
        <f t="shared" si="0"/>
        <v>15</v>
      </c>
      <c r="L16" s="24">
        <v>5</v>
      </c>
      <c r="M16" s="24">
        <v>4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v>6</v>
      </c>
      <c r="B17" s="24" t="s">
        <v>272</v>
      </c>
      <c r="C17" s="24"/>
      <c r="D17" s="24">
        <v>132</v>
      </c>
      <c r="E17" s="24"/>
      <c r="F17" s="24"/>
      <c r="G17" s="24"/>
      <c r="H17" s="24"/>
      <c r="I17" s="24">
        <v>12</v>
      </c>
      <c r="J17" s="24">
        <v>11</v>
      </c>
      <c r="K17" s="24">
        <f t="shared" si="0"/>
        <v>16</v>
      </c>
      <c r="L17" s="24">
        <v>6</v>
      </c>
      <c r="M17" s="24">
        <v>4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v>7</v>
      </c>
      <c r="B18" s="24" t="s">
        <v>272</v>
      </c>
      <c r="C18" s="24"/>
      <c r="D18" s="24">
        <v>73</v>
      </c>
      <c r="E18" s="24"/>
      <c r="F18" s="24"/>
      <c r="G18" s="24"/>
      <c r="H18" s="24"/>
      <c r="I18" s="24">
        <v>10</v>
      </c>
      <c r="J18" s="24">
        <v>8</v>
      </c>
      <c r="K18" s="24">
        <f t="shared" si="0"/>
        <v>16.5</v>
      </c>
      <c r="L18" s="24">
        <v>7</v>
      </c>
      <c r="M18" s="24">
        <v>4</v>
      </c>
      <c r="N18" s="24"/>
      <c r="O18" s="24"/>
      <c r="P18" s="24"/>
      <c r="Q18" s="24"/>
      <c r="R18" s="24">
        <v>5.5</v>
      </c>
      <c r="S18" s="24"/>
      <c r="T18" s="24"/>
    </row>
    <row r="19" spans="1:20" ht="40.5" customHeight="1" x14ac:dyDescent="0.25">
      <c r="A19" s="24">
        <v>8</v>
      </c>
      <c r="B19" s="24" t="s">
        <v>274</v>
      </c>
      <c r="C19" s="24"/>
      <c r="D19" s="24">
        <v>82</v>
      </c>
      <c r="E19" s="24"/>
      <c r="F19" s="24"/>
      <c r="G19" s="24"/>
      <c r="H19" s="24"/>
      <c r="I19" s="24">
        <v>10</v>
      </c>
      <c r="J19" s="24">
        <v>7</v>
      </c>
      <c r="K19" s="24">
        <f t="shared" si="0"/>
        <v>19</v>
      </c>
      <c r="L19" s="24">
        <v>4</v>
      </c>
      <c r="M19" s="24">
        <v>5</v>
      </c>
      <c r="N19" s="24"/>
      <c r="O19" s="24"/>
      <c r="P19" s="24"/>
      <c r="Q19" s="24"/>
      <c r="R19" s="24">
        <v>10</v>
      </c>
      <c r="S19" s="24"/>
      <c r="T19" s="24"/>
    </row>
    <row r="20" spans="1:20" ht="40.5" customHeight="1" x14ac:dyDescent="0.25">
      <c r="A20" s="24">
        <v>9</v>
      </c>
      <c r="B20" s="24" t="s">
        <v>272</v>
      </c>
      <c r="C20" s="24"/>
      <c r="D20" s="24">
        <v>83</v>
      </c>
      <c r="E20" s="24"/>
      <c r="F20" s="24"/>
      <c r="G20" s="24"/>
      <c r="H20" s="24"/>
      <c r="I20" s="24">
        <v>11</v>
      </c>
      <c r="J20" s="24">
        <v>13</v>
      </c>
      <c r="K20" s="24">
        <f t="shared" si="0"/>
        <v>14</v>
      </c>
      <c r="L20" s="24">
        <v>6</v>
      </c>
      <c r="M20" s="24">
        <v>5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25">
      <c r="A21" s="24">
        <v>10</v>
      </c>
      <c r="B21" s="24" t="s">
        <v>272</v>
      </c>
      <c r="C21" s="24"/>
      <c r="D21" s="24">
        <v>122</v>
      </c>
      <c r="E21" s="24"/>
      <c r="F21" s="24"/>
      <c r="G21" s="24"/>
      <c r="H21" s="24"/>
      <c r="I21" s="24">
        <v>15</v>
      </c>
      <c r="J21" s="24">
        <v>17</v>
      </c>
      <c r="K21" s="24">
        <f t="shared" si="0"/>
        <v>15</v>
      </c>
      <c r="L21" s="24">
        <v>5</v>
      </c>
      <c r="M21" s="24">
        <v>3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v>11</v>
      </c>
      <c r="B22" s="24" t="s">
        <v>272</v>
      </c>
      <c r="C22" s="24"/>
      <c r="D22" s="24">
        <v>62</v>
      </c>
      <c r="E22" s="24"/>
      <c r="F22" s="24"/>
      <c r="G22" s="24"/>
      <c r="H22" s="24"/>
      <c r="I22" s="24">
        <v>12</v>
      </c>
      <c r="J22" s="24">
        <v>10</v>
      </c>
      <c r="K22" s="24">
        <f t="shared" si="0"/>
        <v>14</v>
      </c>
      <c r="L22" s="24">
        <v>6</v>
      </c>
      <c r="M22" s="24">
        <v>4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v>12</v>
      </c>
      <c r="B23" s="24" t="s">
        <v>275</v>
      </c>
      <c r="C23" s="24"/>
      <c r="D23" s="24">
        <v>111</v>
      </c>
      <c r="E23" s="24"/>
      <c r="F23" s="24"/>
      <c r="G23" s="24"/>
      <c r="H23" s="24"/>
      <c r="I23" s="24">
        <v>4</v>
      </c>
      <c r="J23" s="24">
        <v>3</v>
      </c>
      <c r="K23" s="24">
        <f t="shared" si="0"/>
        <v>7</v>
      </c>
      <c r="L23" s="24">
        <v>0</v>
      </c>
      <c r="M23" s="24">
        <v>4</v>
      </c>
      <c r="N23" s="24"/>
      <c r="O23" s="24"/>
      <c r="P23" s="24"/>
      <c r="Q23" s="24"/>
      <c r="R23" s="24">
        <v>3</v>
      </c>
      <c r="S23" s="24"/>
      <c r="T23" s="24"/>
    </row>
    <row r="24" spans="1:20" ht="40.5" customHeight="1" x14ac:dyDescent="0.25">
      <c r="A24" s="24">
        <v>13</v>
      </c>
      <c r="B24" s="24" t="s">
        <v>272</v>
      </c>
      <c r="C24" s="24"/>
      <c r="D24" s="24">
        <v>42</v>
      </c>
      <c r="E24" s="24"/>
      <c r="F24" s="24"/>
      <c r="G24" s="24"/>
      <c r="H24" s="24"/>
      <c r="I24" s="24">
        <v>13</v>
      </c>
      <c r="J24" s="24">
        <v>10</v>
      </c>
      <c r="K24" s="24">
        <f t="shared" si="0"/>
        <v>14</v>
      </c>
      <c r="L24" s="24">
        <v>6</v>
      </c>
      <c r="M24" s="24">
        <v>3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v>14</v>
      </c>
      <c r="B25" s="24" t="s">
        <v>276</v>
      </c>
      <c r="C25" s="24"/>
      <c r="D25" s="24">
        <v>111</v>
      </c>
      <c r="E25" s="24"/>
      <c r="F25" s="24"/>
      <c r="G25" s="24"/>
      <c r="H25" s="24"/>
      <c r="I25" s="24">
        <v>2</v>
      </c>
      <c r="J25" s="24">
        <v>3</v>
      </c>
      <c r="K25" s="24">
        <f t="shared" si="0"/>
        <v>13.5</v>
      </c>
      <c r="L25" s="24">
        <v>1.5</v>
      </c>
      <c r="M25" s="24">
        <v>3</v>
      </c>
      <c r="N25" s="24"/>
      <c r="O25" s="24"/>
      <c r="P25" s="24"/>
      <c r="Q25" s="24"/>
      <c r="R25" s="24">
        <v>9</v>
      </c>
      <c r="S25" s="24"/>
      <c r="T25" s="24"/>
    </row>
    <row r="26" spans="1:20" ht="40.5" customHeight="1" x14ac:dyDescent="0.25">
      <c r="A26" s="24">
        <v>15</v>
      </c>
      <c r="B26" s="24" t="s">
        <v>277</v>
      </c>
      <c r="C26" s="24"/>
      <c r="D26" s="24">
        <v>143</v>
      </c>
      <c r="E26" s="24"/>
      <c r="F26" s="24"/>
      <c r="G26" s="24"/>
      <c r="H26" s="24"/>
      <c r="I26" s="24">
        <v>12</v>
      </c>
      <c r="J26" s="24">
        <v>10</v>
      </c>
      <c r="K26" s="24">
        <f t="shared" si="0"/>
        <v>14</v>
      </c>
      <c r="L26" s="24">
        <v>5</v>
      </c>
      <c r="M26" s="24">
        <v>4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v>16</v>
      </c>
      <c r="B27" s="24" t="s">
        <v>277</v>
      </c>
      <c r="C27" s="24"/>
      <c r="D27" s="24">
        <v>72</v>
      </c>
      <c r="E27" s="24"/>
      <c r="F27" s="24"/>
      <c r="G27" s="24"/>
      <c r="H27" s="24"/>
      <c r="I27" s="24">
        <v>12</v>
      </c>
      <c r="J27" s="24">
        <v>11</v>
      </c>
      <c r="K27" s="24">
        <f t="shared" si="0"/>
        <v>16</v>
      </c>
      <c r="L27" s="24">
        <v>5</v>
      </c>
      <c r="M27" s="24">
        <v>4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v>17</v>
      </c>
      <c r="B28" s="24" t="s">
        <v>278</v>
      </c>
      <c r="C28" s="24"/>
      <c r="D28" s="24">
        <v>31</v>
      </c>
      <c r="E28" s="24"/>
      <c r="F28" s="24"/>
      <c r="G28" s="24"/>
      <c r="H28" s="24"/>
      <c r="I28" s="24">
        <v>6</v>
      </c>
      <c r="J28" s="24">
        <v>4</v>
      </c>
      <c r="K28" s="24">
        <f t="shared" si="0"/>
        <v>10</v>
      </c>
      <c r="L28" s="24">
        <v>5</v>
      </c>
      <c r="M28" s="24">
        <v>3</v>
      </c>
      <c r="N28" s="24"/>
      <c r="O28" s="24"/>
      <c r="P28" s="24"/>
      <c r="Q28" s="24"/>
      <c r="R28" s="24">
        <v>2</v>
      </c>
      <c r="S28" s="24"/>
      <c r="T28" s="24"/>
    </row>
    <row r="29" spans="1:20" ht="40.5" customHeight="1" x14ac:dyDescent="0.25">
      <c r="A29" s="24">
        <v>18</v>
      </c>
      <c r="B29" s="24" t="s">
        <v>279</v>
      </c>
      <c r="C29" s="24"/>
      <c r="D29" s="24">
        <v>38</v>
      </c>
      <c r="E29" s="24"/>
      <c r="F29" s="24"/>
      <c r="G29" s="24"/>
      <c r="H29" s="24"/>
      <c r="I29" s="24">
        <v>5</v>
      </c>
      <c r="J29" s="24">
        <v>4</v>
      </c>
      <c r="K29" s="24">
        <f t="shared" si="0"/>
        <v>6</v>
      </c>
      <c r="L29" s="24">
        <v>3</v>
      </c>
      <c r="M29" s="24">
        <v>1</v>
      </c>
      <c r="N29" s="24"/>
      <c r="O29" s="24"/>
      <c r="P29" s="24"/>
      <c r="Q29" s="24"/>
      <c r="R29" s="24">
        <v>2</v>
      </c>
      <c r="S29" s="24"/>
      <c r="T29" s="24"/>
    </row>
    <row r="30" spans="1:20" ht="40.5" customHeight="1" x14ac:dyDescent="0.25">
      <c r="A30" s="24">
        <v>19</v>
      </c>
      <c r="B30" s="24" t="s">
        <v>279</v>
      </c>
      <c r="C30" s="24"/>
      <c r="D30" s="24">
        <v>38</v>
      </c>
      <c r="E30" s="24"/>
      <c r="F30" s="24"/>
      <c r="G30" s="24"/>
      <c r="H30" s="24"/>
      <c r="I30" s="24">
        <v>5</v>
      </c>
      <c r="J30" s="24">
        <v>4</v>
      </c>
      <c r="K30" s="24">
        <f t="shared" si="0"/>
        <v>6</v>
      </c>
      <c r="L30" s="24">
        <v>2</v>
      </c>
      <c r="M30" s="24">
        <v>1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25">
      <c r="A31" s="24">
        <v>20</v>
      </c>
      <c r="B31" s="24"/>
      <c r="C31" s="24"/>
      <c r="D31" s="24"/>
      <c r="E31" s="24"/>
      <c r="F31" s="24"/>
      <c r="G31" s="24"/>
      <c r="H31" s="24"/>
      <c r="I31" s="24"/>
      <c r="J31" s="24"/>
      <c r="K31" s="24">
        <f t="shared" si="0"/>
        <v>0</v>
      </c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40.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A14" sqref="A14:A24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B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view="pageBreakPreview" topLeftCell="A25" zoomScale="60" workbookViewId="0">
      <selection activeCell="F15" sqref="F15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26" t="s">
        <v>277</v>
      </c>
      <c r="C5" s="12" t="s">
        <v>313</v>
      </c>
      <c r="D5" s="12">
        <v>4</v>
      </c>
      <c r="E5" s="12">
        <v>3.5</v>
      </c>
      <c r="F5" s="12" t="s">
        <v>331</v>
      </c>
      <c r="G5" s="12">
        <f>D5*E5</f>
        <v>14</v>
      </c>
      <c r="H5" s="12"/>
    </row>
    <row r="6" spans="1:8" ht="29.25" customHeight="1" x14ac:dyDescent="0.25">
      <c r="A6" s="11">
        <v>2</v>
      </c>
      <c r="B6" s="26" t="s">
        <v>280</v>
      </c>
      <c r="C6" s="12" t="s">
        <v>314</v>
      </c>
      <c r="D6" s="12">
        <v>5</v>
      </c>
      <c r="E6" s="12">
        <v>1.8</v>
      </c>
      <c r="F6" s="12" t="s">
        <v>328</v>
      </c>
      <c r="G6" s="12">
        <f t="shared" ref="G6:G14" si="0">D6*E6</f>
        <v>9</v>
      </c>
      <c r="H6" s="12"/>
    </row>
    <row r="7" spans="1:8" ht="29.25" customHeight="1" x14ac:dyDescent="0.25">
      <c r="A7" s="11">
        <v>3</v>
      </c>
      <c r="B7" s="26" t="s">
        <v>281</v>
      </c>
      <c r="C7" s="12"/>
      <c r="D7" s="12">
        <v>3</v>
      </c>
      <c r="E7" s="12">
        <v>4</v>
      </c>
      <c r="F7" s="12"/>
      <c r="G7" s="12">
        <f t="shared" si="0"/>
        <v>12</v>
      </c>
      <c r="H7" s="12"/>
    </row>
    <row r="8" spans="1:8" ht="29.25" customHeight="1" x14ac:dyDescent="0.25">
      <c r="A8" s="11">
        <v>4</v>
      </c>
      <c r="B8" s="26" t="s">
        <v>280</v>
      </c>
      <c r="C8" s="12" t="s">
        <v>314</v>
      </c>
      <c r="D8" s="12">
        <v>9</v>
      </c>
      <c r="E8" s="12">
        <v>4</v>
      </c>
      <c r="F8" s="12" t="s">
        <v>328</v>
      </c>
      <c r="G8" s="12">
        <f t="shared" si="0"/>
        <v>36</v>
      </c>
      <c r="H8" s="12"/>
    </row>
    <row r="9" spans="1:8" ht="29.25" customHeight="1" x14ac:dyDescent="0.25">
      <c r="A9" s="11">
        <v>5</v>
      </c>
      <c r="B9" s="26" t="s">
        <v>280</v>
      </c>
      <c r="C9" s="12" t="s">
        <v>314</v>
      </c>
      <c r="D9" s="12">
        <v>7</v>
      </c>
      <c r="E9" s="12">
        <v>5</v>
      </c>
      <c r="F9" s="12"/>
      <c r="G9" s="12">
        <f t="shared" si="0"/>
        <v>35</v>
      </c>
      <c r="H9" s="12"/>
    </row>
    <row r="10" spans="1:8" ht="29.25" customHeight="1" x14ac:dyDescent="0.25">
      <c r="A10" s="11">
        <v>6</v>
      </c>
      <c r="B10" s="26" t="s">
        <v>282</v>
      </c>
      <c r="C10" s="12" t="s">
        <v>315</v>
      </c>
      <c r="D10" s="12">
        <v>6</v>
      </c>
      <c r="E10" s="12">
        <v>4</v>
      </c>
      <c r="F10" s="12" t="s">
        <v>332</v>
      </c>
      <c r="G10" s="12">
        <f t="shared" si="0"/>
        <v>24</v>
      </c>
      <c r="H10" s="12"/>
    </row>
    <row r="11" spans="1:8" ht="29.25" customHeight="1" x14ac:dyDescent="0.25">
      <c r="A11" s="11">
        <v>7</v>
      </c>
      <c r="B11" s="26" t="s">
        <v>272</v>
      </c>
      <c r="C11" s="12" t="s">
        <v>316</v>
      </c>
      <c r="D11" s="12">
        <v>5</v>
      </c>
      <c r="E11" s="12">
        <v>3</v>
      </c>
      <c r="F11" s="12" t="s">
        <v>331</v>
      </c>
      <c r="G11" s="12">
        <f t="shared" si="0"/>
        <v>15</v>
      </c>
      <c r="H11" s="12"/>
    </row>
    <row r="12" spans="1:8" ht="29.25" customHeight="1" x14ac:dyDescent="0.25">
      <c r="A12" s="11">
        <v>8</v>
      </c>
      <c r="B12" s="26" t="s">
        <v>282</v>
      </c>
      <c r="C12" s="12" t="s">
        <v>315</v>
      </c>
      <c r="D12" s="12">
        <v>6</v>
      </c>
      <c r="E12" s="12">
        <v>4</v>
      </c>
      <c r="F12" s="12"/>
      <c r="G12" s="12">
        <f t="shared" si="0"/>
        <v>24</v>
      </c>
      <c r="H12" s="12"/>
    </row>
    <row r="13" spans="1:8" ht="29.25" customHeight="1" x14ac:dyDescent="0.25">
      <c r="A13" s="11">
        <v>9</v>
      </c>
      <c r="B13" s="26" t="s">
        <v>272</v>
      </c>
      <c r="C13" s="12" t="s">
        <v>316</v>
      </c>
      <c r="D13" s="12">
        <v>4</v>
      </c>
      <c r="E13" s="12">
        <v>2.5</v>
      </c>
      <c r="F13" s="12"/>
      <c r="G13" s="12">
        <f t="shared" si="0"/>
        <v>10</v>
      </c>
      <c r="H13" s="12"/>
    </row>
    <row r="14" spans="1:8" ht="29.25" customHeight="1" x14ac:dyDescent="0.25">
      <c r="A14" s="11">
        <v>10</v>
      </c>
      <c r="B14" s="26" t="s">
        <v>283</v>
      </c>
      <c r="C14" s="12" t="s">
        <v>310</v>
      </c>
      <c r="D14" s="12">
        <v>4</v>
      </c>
      <c r="E14" s="12">
        <v>3</v>
      </c>
      <c r="F14" s="12" t="s">
        <v>322</v>
      </c>
      <c r="G14" s="12">
        <f t="shared" si="0"/>
        <v>12</v>
      </c>
      <c r="H14" s="12"/>
    </row>
    <row r="15" spans="1:8" ht="29.25" customHeight="1" x14ac:dyDescent="0.25">
      <c r="A15" s="11">
        <v>12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13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14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15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16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17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18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19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20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21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22</v>
      </c>
      <c r="B25" s="12"/>
      <c r="C25" s="12"/>
      <c r="D25" s="12"/>
      <c r="E25" s="12"/>
      <c r="F25" s="12"/>
      <c r="G25" s="12"/>
      <c r="H25" s="12"/>
    </row>
    <row r="26" spans="1:8" ht="15" customHeight="1" x14ac:dyDescent="0.25">
      <c r="A26" s="30"/>
      <c r="B26" s="31"/>
      <c r="C26" s="32"/>
      <c r="D26" s="33"/>
      <c r="E26" s="34"/>
    </row>
    <row r="27" spans="1:8" ht="24.75" customHeight="1" x14ac:dyDescent="0.25">
      <c r="A27" s="71" t="s">
        <v>175</v>
      </c>
      <c r="B27" s="71"/>
      <c r="C27" s="71"/>
      <c r="D27" s="71"/>
      <c r="E27" s="71"/>
      <c r="F27" s="71"/>
      <c r="G27" s="71"/>
      <c r="H27" s="71"/>
    </row>
    <row r="28" spans="1:8" ht="36" customHeight="1" x14ac:dyDescent="0.25">
      <c r="A28" s="11">
        <v>1</v>
      </c>
      <c r="B28" s="77" t="s">
        <v>176</v>
      </c>
      <c r="C28" s="77"/>
      <c r="D28" s="77"/>
      <c r="E28" s="77"/>
      <c r="F28" s="77"/>
      <c r="G28" s="77"/>
      <c r="H28" s="35" t="s">
        <v>284</v>
      </c>
    </row>
    <row r="29" spans="1:8" ht="31.5" customHeight="1" x14ac:dyDescent="0.25">
      <c r="A29" s="11">
        <v>2</v>
      </c>
      <c r="B29" s="77" t="s">
        <v>177</v>
      </c>
      <c r="C29" s="77"/>
      <c r="D29" s="77"/>
      <c r="E29" s="77"/>
      <c r="F29" s="77"/>
      <c r="G29" s="77"/>
      <c r="H29" s="35" t="s">
        <v>285</v>
      </c>
    </row>
    <row r="30" spans="1:8" ht="24.75" customHeight="1" x14ac:dyDescent="0.25">
      <c r="A30" s="11">
        <v>3</v>
      </c>
      <c r="B30" s="77" t="s">
        <v>178</v>
      </c>
      <c r="C30" s="77"/>
      <c r="D30" s="77"/>
      <c r="E30" s="77"/>
      <c r="F30" s="77"/>
      <c r="G30" s="77"/>
      <c r="H30" s="35" t="s">
        <v>286</v>
      </c>
    </row>
    <row r="31" spans="1:8" ht="24.75" customHeight="1" x14ac:dyDescent="0.25">
      <c r="A31" s="11">
        <v>4</v>
      </c>
      <c r="B31" s="78" t="s">
        <v>179</v>
      </c>
      <c r="C31" s="79"/>
      <c r="D31" s="79"/>
      <c r="E31" s="79"/>
      <c r="F31" s="79"/>
      <c r="G31" s="80"/>
      <c r="H31" s="35" t="s">
        <v>287</v>
      </c>
    </row>
    <row r="32" spans="1:8" ht="24.75" customHeight="1" x14ac:dyDescent="0.25">
      <c r="A32" s="11">
        <v>5</v>
      </c>
      <c r="B32" s="78" t="s">
        <v>180</v>
      </c>
      <c r="C32" s="79"/>
      <c r="D32" s="79"/>
      <c r="E32" s="79"/>
      <c r="F32" s="79"/>
      <c r="G32" s="80"/>
      <c r="H32" s="35" t="s">
        <v>317</v>
      </c>
    </row>
    <row r="33" spans="1:8" ht="22.15" customHeight="1" x14ac:dyDescent="0.25">
      <c r="A33" s="30"/>
      <c r="B33" s="30"/>
      <c r="C33" s="30"/>
      <c r="D33" s="30"/>
      <c r="E33" s="30"/>
      <c r="F33" s="30"/>
      <c r="G33" s="30"/>
      <c r="H33" s="36"/>
    </row>
    <row r="34" spans="1:8" ht="24" customHeight="1" x14ac:dyDescent="0.25">
      <c r="B34" s="37" t="str">
        <f>B2</f>
        <v xml:space="preserve">    Grid No:  </v>
      </c>
      <c r="F34" s="37" t="s">
        <v>181</v>
      </c>
      <c r="G34" s="37"/>
    </row>
    <row r="35" spans="1:8" ht="27.6" customHeight="1" x14ac:dyDescent="0.25">
      <c r="A35" s="71" t="s">
        <v>166</v>
      </c>
      <c r="B35" s="71" t="s">
        <v>167</v>
      </c>
      <c r="C35" s="71" t="s">
        <v>168</v>
      </c>
      <c r="D35" s="73" t="s">
        <v>169</v>
      </c>
      <c r="E35" s="71" t="s">
        <v>170</v>
      </c>
      <c r="F35" s="71" t="s">
        <v>171</v>
      </c>
      <c r="G35" s="71"/>
      <c r="H35" s="71" t="s">
        <v>172</v>
      </c>
    </row>
    <row r="36" spans="1:8" ht="67.150000000000006" customHeight="1" x14ac:dyDescent="0.25">
      <c r="A36" s="71"/>
      <c r="B36" s="71"/>
      <c r="C36" s="71"/>
      <c r="D36" s="74"/>
      <c r="E36" s="71"/>
      <c r="F36" s="18" t="s">
        <v>173</v>
      </c>
      <c r="G36" s="18" t="s">
        <v>174</v>
      </c>
      <c r="H36" s="71"/>
    </row>
    <row r="37" spans="1:8" ht="36" customHeight="1" x14ac:dyDescent="0.25">
      <c r="A37" s="11">
        <v>1</v>
      </c>
      <c r="B37" s="18" t="s">
        <v>272</v>
      </c>
      <c r="C37" s="18" t="s">
        <v>316</v>
      </c>
      <c r="D37" s="18">
        <v>9.8000000000000007</v>
      </c>
      <c r="E37" s="18">
        <v>5</v>
      </c>
      <c r="F37" s="18" t="s">
        <v>329</v>
      </c>
      <c r="G37" s="12">
        <f t="shared" ref="G37:G41" si="1">D37*E37</f>
        <v>49</v>
      </c>
      <c r="H37" s="18"/>
    </row>
    <row r="38" spans="1:8" ht="36" customHeight="1" x14ac:dyDescent="0.25">
      <c r="A38" s="11">
        <v>2</v>
      </c>
      <c r="B38" s="18" t="s">
        <v>283</v>
      </c>
      <c r="C38" s="18" t="s">
        <v>310</v>
      </c>
      <c r="D38" s="18">
        <v>7</v>
      </c>
      <c r="E38" s="18">
        <v>3</v>
      </c>
      <c r="F38" s="18"/>
      <c r="G38" s="12">
        <f t="shared" si="1"/>
        <v>21</v>
      </c>
      <c r="H38" s="18"/>
    </row>
    <row r="39" spans="1:8" ht="36" customHeight="1" x14ac:dyDescent="0.25">
      <c r="A39" s="11">
        <v>3</v>
      </c>
      <c r="B39" s="18" t="s">
        <v>283</v>
      </c>
      <c r="C39" s="18" t="s">
        <v>310</v>
      </c>
      <c r="D39" s="18">
        <v>4</v>
      </c>
      <c r="E39" s="18">
        <v>2</v>
      </c>
      <c r="F39" s="18" t="s">
        <v>330</v>
      </c>
      <c r="G39" s="12">
        <f t="shared" si="1"/>
        <v>8</v>
      </c>
      <c r="H39" s="18"/>
    </row>
    <row r="40" spans="1:8" ht="36" customHeight="1" x14ac:dyDescent="0.25">
      <c r="A40" s="11">
        <v>4</v>
      </c>
      <c r="B40" s="18" t="s">
        <v>283</v>
      </c>
      <c r="C40" s="18" t="s">
        <v>310</v>
      </c>
      <c r="D40" s="18">
        <v>5</v>
      </c>
      <c r="E40" s="18">
        <v>3</v>
      </c>
      <c r="F40" s="18"/>
      <c r="G40" s="12">
        <f t="shared" si="1"/>
        <v>15</v>
      </c>
      <c r="H40" s="18"/>
    </row>
    <row r="41" spans="1:8" ht="36" customHeight="1" x14ac:dyDescent="0.25">
      <c r="A41" s="11">
        <v>5</v>
      </c>
      <c r="B41" s="18" t="s">
        <v>318</v>
      </c>
      <c r="C41" s="18" t="s">
        <v>288</v>
      </c>
      <c r="D41" s="18">
        <v>4</v>
      </c>
      <c r="E41" s="18">
        <v>2</v>
      </c>
      <c r="F41" s="18"/>
      <c r="G41" s="12">
        <f t="shared" si="1"/>
        <v>8</v>
      </c>
      <c r="H41" s="18"/>
    </row>
    <row r="42" spans="1:8" ht="36" customHeight="1" x14ac:dyDescent="0.25">
      <c r="A42" s="11">
        <v>6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7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8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9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10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11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12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13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14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15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16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17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18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19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20</v>
      </c>
      <c r="B56" s="12"/>
      <c r="C56" s="12"/>
      <c r="D56" s="12"/>
      <c r="E56" s="12"/>
      <c r="F56" s="12"/>
      <c r="G56" s="12"/>
      <c r="H56" s="12"/>
    </row>
    <row r="57" spans="1:8" ht="20.45" customHeight="1" x14ac:dyDescent="0.25">
      <c r="A57" s="30"/>
      <c r="B57" s="38"/>
      <c r="C57" s="39"/>
      <c r="D57" s="30"/>
      <c r="E57" s="30"/>
      <c r="F57" s="30"/>
      <c r="G57" s="30"/>
      <c r="H57" s="30"/>
    </row>
    <row r="58" spans="1:8" ht="24.75" customHeight="1" x14ac:dyDescent="0.25">
      <c r="A58" s="71" t="s">
        <v>175</v>
      </c>
      <c r="B58" s="71"/>
      <c r="C58" s="71"/>
      <c r="D58" s="71"/>
      <c r="E58" s="71"/>
      <c r="F58" s="71"/>
      <c r="G58" s="71"/>
      <c r="H58" s="71"/>
    </row>
    <row r="59" spans="1:8" ht="38.25" customHeight="1" x14ac:dyDescent="0.25">
      <c r="A59" s="11">
        <v>1</v>
      </c>
      <c r="B59" s="77" t="s">
        <v>176</v>
      </c>
      <c r="C59" s="77"/>
      <c r="D59" s="77"/>
      <c r="E59" s="77"/>
      <c r="F59" s="77"/>
      <c r="G59" s="77"/>
      <c r="H59" s="11" t="s">
        <v>289</v>
      </c>
    </row>
    <row r="60" spans="1:8" ht="38.25" customHeight="1" x14ac:dyDescent="0.25">
      <c r="A60" s="11">
        <v>2</v>
      </c>
      <c r="B60" s="77" t="s">
        <v>177</v>
      </c>
      <c r="C60" s="77"/>
      <c r="D60" s="77"/>
      <c r="E60" s="77"/>
      <c r="F60" s="77"/>
      <c r="G60" s="77"/>
      <c r="H60" s="11" t="s">
        <v>290</v>
      </c>
    </row>
    <row r="61" spans="1:8" ht="25.5" customHeight="1" x14ac:dyDescent="0.25">
      <c r="A61" s="11">
        <v>3</v>
      </c>
      <c r="B61" s="77" t="s">
        <v>178</v>
      </c>
      <c r="C61" s="77"/>
      <c r="D61" s="77"/>
      <c r="E61" s="77"/>
      <c r="F61" s="77"/>
      <c r="G61" s="77"/>
      <c r="H61" s="11" t="s">
        <v>291</v>
      </c>
    </row>
    <row r="62" spans="1:8" ht="25.5" customHeight="1" x14ac:dyDescent="0.25">
      <c r="A62" s="11">
        <v>4</v>
      </c>
      <c r="B62" s="78" t="s">
        <v>182</v>
      </c>
      <c r="C62" s="79"/>
      <c r="D62" s="79"/>
      <c r="E62" s="79"/>
      <c r="F62" s="79"/>
      <c r="G62" s="80"/>
      <c r="H62" s="11" t="s">
        <v>292</v>
      </c>
    </row>
    <row r="63" spans="1:8" ht="24.75" customHeight="1" x14ac:dyDescent="0.25">
      <c r="A63" s="11">
        <v>5</v>
      </c>
      <c r="B63" s="77" t="s">
        <v>183</v>
      </c>
      <c r="C63" s="77"/>
      <c r="D63" s="77"/>
      <c r="E63" s="77"/>
      <c r="F63" s="77"/>
      <c r="G63" s="77"/>
      <c r="H63" s="11" t="s">
        <v>319</v>
      </c>
    </row>
    <row r="64" spans="1:8" ht="20.45" customHeight="1" x14ac:dyDescent="0.25">
      <c r="A64" s="30"/>
      <c r="B64" s="39"/>
      <c r="C64" s="39"/>
      <c r="D64" s="39"/>
      <c r="E64" s="39"/>
      <c r="F64" s="39"/>
      <c r="G64" s="39"/>
      <c r="H64" s="36"/>
    </row>
    <row r="65" spans="1:8" ht="26.25" customHeight="1" x14ac:dyDescent="0.25">
      <c r="B65" s="37" t="str">
        <f>B2</f>
        <v xml:space="preserve">    Grid No:  </v>
      </c>
      <c r="F65" s="29" t="s">
        <v>241</v>
      </c>
      <c r="G65" s="29"/>
    </row>
    <row r="66" spans="1:8" ht="29.45" customHeight="1" x14ac:dyDescent="0.25">
      <c r="A66" s="71" t="s">
        <v>166</v>
      </c>
      <c r="B66" s="71" t="s">
        <v>167</v>
      </c>
      <c r="C66" s="71" t="s">
        <v>168</v>
      </c>
      <c r="D66" s="73" t="s">
        <v>169</v>
      </c>
      <c r="E66" s="71" t="s">
        <v>170</v>
      </c>
      <c r="F66" s="71" t="s">
        <v>171</v>
      </c>
      <c r="G66" s="71"/>
      <c r="H66" s="71" t="s">
        <v>172</v>
      </c>
    </row>
    <row r="67" spans="1:8" ht="63" x14ac:dyDescent="0.25">
      <c r="A67" s="71"/>
      <c r="B67" s="71"/>
      <c r="C67" s="71"/>
      <c r="D67" s="74"/>
      <c r="E67" s="71"/>
      <c r="F67" s="18" t="s">
        <v>173</v>
      </c>
      <c r="G67" s="18" t="s">
        <v>174</v>
      </c>
      <c r="H67" s="71"/>
    </row>
    <row r="68" spans="1:8" s="28" customFormat="1" ht="41.25" customHeight="1" x14ac:dyDescent="0.25">
      <c r="A68" s="11">
        <v>1</v>
      </c>
      <c r="B68" s="40" t="s">
        <v>280</v>
      </c>
      <c r="C68" s="11" t="s">
        <v>314</v>
      </c>
      <c r="D68" s="11">
        <v>7</v>
      </c>
      <c r="E68" s="11">
        <v>1.8</v>
      </c>
      <c r="F68" s="11" t="s">
        <v>328</v>
      </c>
      <c r="G68" s="12">
        <f t="shared" ref="G68:G69" si="2">D68*E68</f>
        <v>12.6</v>
      </c>
      <c r="H68" s="11"/>
    </row>
    <row r="69" spans="1:8" s="28" customFormat="1" ht="41.25" customHeight="1" x14ac:dyDescent="0.25">
      <c r="A69" s="11">
        <v>2</v>
      </c>
      <c r="B69" s="40" t="s">
        <v>272</v>
      </c>
      <c r="C69" s="11" t="s">
        <v>316</v>
      </c>
      <c r="D69" s="11">
        <v>9.5</v>
      </c>
      <c r="E69" s="11">
        <v>5</v>
      </c>
      <c r="F69" s="11" t="s">
        <v>329</v>
      </c>
      <c r="G69" s="12">
        <f t="shared" si="2"/>
        <v>47.5</v>
      </c>
      <c r="H69" s="11"/>
    </row>
    <row r="70" spans="1:8" s="28" customFormat="1" ht="41.25" customHeight="1" x14ac:dyDescent="0.25">
      <c r="A70" s="11">
        <v>3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4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5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6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7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8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9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10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11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12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13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14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15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16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17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18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19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20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21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22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23</v>
      </c>
      <c r="B90" s="40"/>
      <c r="C90" s="11"/>
      <c r="D90" s="11"/>
      <c r="E90" s="11"/>
      <c r="F90" s="11"/>
      <c r="G90" s="11"/>
      <c r="H90" s="11"/>
    </row>
    <row r="91" spans="1:8" x14ac:dyDescent="0.25">
      <c r="A91" s="30"/>
      <c r="B91" s="30"/>
      <c r="C91" s="30"/>
      <c r="D91" s="30"/>
      <c r="E91" s="30"/>
      <c r="F91" s="30"/>
      <c r="G91" s="30"/>
      <c r="H91" s="30"/>
    </row>
    <row r="92" spans="1:8" ht="22.9" customHeight="1" x14ac:dyDescent="0.25">
      <c r="B92" s="37" t="str">
        <f>B2</f>
        <v xml:space="preserve">    Grid No:  </v>
      </c>
      <c r="F92" s="72" t="s">
        <v>242</v>
      </c>
      <c r="G92" s="72"/>
      <c r="H92" s="72"/>
    </row>
    <row r="93" spans="1:8" ht="24" customHeight="1" x14ac:dyDescent="0.25">
      <c r="A93" s="73" t="s">
        <v>166</v>
      </c>
      <c r="B93" s="73" t="s">
        <v>167</v>
      </c>
      <c r="C93" s="73" t="s">
        <v>168</v>
      </c>
      <c r="D93" s="73" t="s">
        <v>169</v>
      </c>
      <c r="E93" s="73" t="s">
        <v>170</v>
      </c>
      <c r="F93" s="75" t="s">
        <v>171</v>
      </c>
      <c r="G93" s="76"/>
      <c r="H93" s="73" t="s">
        <v>172</v>
      </c>
    </row>
    <row r="94" spans="1:8" ht="69.599999999999994" customHeight="1" x14ac:dyDescent="0.25">
      <c r="A94" s="74"/>
      <c r="B94" s="74"/>
      <c r="C94" s="74"/>
      <c r="D94" s="74"/>
      <c r="E94" s="74"/>
      <c r="F94" s="18" t="s">
        <v>173</v>
      </c>
      <c r="G94" s="18" t="s">
        <v>174</v>
      </c>
      <c r="H94" s="74"/>
    </row>
    <row r="95" spans="1:8" s="28" customFormat="1" ht="39" customHeight="1" x14ac:dyDescent="0.25">
      <c r="A95" s="41">
        <v>1</v>
      </c>
      <c r="B95" s="40" t="s">
        <v>293</v>
      </c>
      <c r="C95" s="11"/>
      <c r="D95" s="41"/>
      <c r="E95" s="42"/>
      <c r="F95" s="23"/>
      <c r="G95" s="23"/>
      <c r="H95" s="23"/>
    </row>
    <row r="96" spans="1:8" s="28" customFormat="1" ht="39" customHeight="1" x14ac:dyDescent="0.25">
      <c r="A96" s="41">
        <v>2</v>
      </c>
      <c r="B96" s="40"/>
      <c r="C96" s="11">
        <f ca="1">C96</f>
        <v>0</v>
      </c>
      <c r="D96" s="41"/>
      <c r="E96" s="42"/>
      <c r="F96" s="23"/>
      <c r="G96" s="23"/>
      <c r="H96" s="23"/>
    </row>
    <row r="97" spans="1:8" s="28" customFormat="1" ht="39" customHeight="1" x14ac:dyDescent="0.25">
      <c r="A97" s="41">
        <v>3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4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5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6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7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8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9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10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11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12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13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14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15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16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17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18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19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20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21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22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23</v>
      </c>
      <c r="B117" s="40"/>
      <c r="C117" s="11"/>
      <c r="D117" s="41"/>
      <c r="E117" s="42"/>
      <c r="F117" s="23"/>
      <c r="G117" s="23"/>
      <c r="H117" s="23"/>
    </row>
  </sheetData>
  <mergeCells count="43">
    <mergeCell ref="B32:G32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7:H27"/>
    <mergeCell ref="B28:G28"/>
    <mergeCell ref="B29:G29"/>
    <mergeCell ref="B30:G30"/>
    <mergeCell ref="B31:G31"/>
    <mergeCell ref="B62:G62"/>
    <mergeCell ref="A35:A36"/>
    <mergeCell ref="B35:B36"/>
    <mergeCell ref="C35:C36"/>
    <mergeCell ref="D35:D36"/>
    <mergeCell ref="E35:E36"/>
    <mergeCell ref="F35:G35"/>
    <mergeCell ref="H35:H36"/>
    <mergeCell ref="A58:H58"/>
    <mergeCell ref="B59:G59"/>
    <mergeCell ref="B60:G60"/>
    <mergeCell ref="B61:G61"/>
    <mergeCell ref="B63:G63"/>
    <mergeCell ref="A66:A67"/>
    <mergeCell ref="B66:B67"/>
    <mergeCell ref="C66:C67"/>
    <mergeCell ref="D66:D67"/>
    <mergeCell ref="E66:E67"/>
    <mergeCell ref="F66:G66"/>
    <mergeCell ref="H66:H67"/>
    <mergeCell ref="F92:H92"/>
    <mergeCell ref="A93:A94"/>
    <mergeCell ref="B93:B94"/>
    <mergeCell ref="C93:C94"/>
    <mergeCell ref="D93:D94"/>
    <mergeCell ref="E93:E94"/>
    <mergeCell ref="F93:G93"/>
    <mergeCell ref="H93:H94"/>
  </mergeCells>
  <printOptions horizontalCentered="1"/>
  <pageMargins left="0.16" right="0.24" top="0.38" bottom="0.27" header="0.16" footer="0.17"/>
  <pageSetup scale="70" orientation="portrait" r:id="rId1"/>
  <rowBreaks count="3" manualBreakCount="3">
    <brk id="33" max="16383" man="1"/>
    <brk id="63" max="16383" man="1"/>
    <brk id="9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C9" sqref="C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283</v>
      </c>
      <c r="C6" s="45" t="s">
        <v>310</v>
      </c>
      <c r="D6" s="18">
        <v>80</v>
      </c>
      <c r="E6" s="18" t="s">
        <v>322</v>
      </c>
      <c r="F6" s="18">
        <f>0.05*(D6)*(D6)</f>
        <v>320</v>
      </c>
      <c r="G6" s="18"/>
    </row>
    <row r="7" spans="1:7" ht="45.6" customHeight="1" x14ac:dyDescent="0.25">
      <c r="A7" s="11">
        <v>2</v>
      </c>
      <c r="B7" s="18" t="s">
        <v>283</v>
      </c>
      <c r="C7" s="45" t="s">
        <v>310</v>
      </c>
      <c r="D7" s="18">
        <v>120</v>
      </c>
      <c r="E7" s="18" t="s">
        <v>327</v>
      </c>
      <c r="F7" s="18" t="s">
        <v>326</v>
      </c>
      <c r="G7" s="18"/>
    </row>
    <row r="8" spans="1:7" ht="45.6" customHeight="1" x14ac:dyDescent="0.25">
      <c r="A8" s="11">
        <v>3</v>
      </c>
      <c r="B8" s="18" t="s">
        <v>283</v>
      </c>
      <c r="C8" s="45" t="s">
        <v>310</v>
      </c>
      <c r="D8" s="18">
        <v>130</v>
      </c>
      <c r="E8" s="18"/>
      <c r="F8" s="18" t="s">
        <v>324</v>
      </c>
      <c r="G8" s="18"/>
    </row>
    <row r="9" spans="1:7" ht="45.6" customHeight="1" x14ac:dyDescent="0.25">
      <c r="A9" s="11">
        <v>4</v>
      </c>
      <c r="B9" s="18" t="s">
        <v>283</v>
      </c>
      <c r="C9" s="45" t="s">
        <v>310</v>
      </c>
      <c r="D9" s="18">
        <v>90</v>
      </c>
      <c r="E9" s="18"/>
      <c r="F9" s="18" t="s">
        <v>325</v>
      </c>
      <c r="G9" s="18"/>
    </row>
    <row r="10" spans="1:7" ht="45.6" customHeight="1" x14ac:dyDescent="0.25">
      <c r="A10" s="11">
        <v>5</v>
      </c>
      <c r="B10" s="18" t="s">
        <v>283</v>
      </c>
      <c r="C10" s="45" t="s">
        <v>310</v>
      </c>
      <c r="D10" s="18">
        <v>60</v>
      </c>
      <c r="E10" s="18"/>
      <c r="F10" s="18">
        <f t="shared" ref="F7:F13" si="0">0.05*(D10)*(D10)</f>
        <v>180</v>
      </c>
      <c r="G10" s="18"/>
    </row>
    <row r="11" spans="1:7" ht="45.6" customHeight="1" x14ac:dyDescent="0.25">
      <c r="A11" s="11">
        <v>6</v>
      </c>
      <c r="B11" s="18" t="s">
        <v>283</v>
      </c>
      <c r="C11" s="45" t="s">
        <v>310</v>
      </c>
      <c r="D11" s="18">
        <v>40</v>
      </c>
      <c r="E11" s="18"/>
      <c r="F11" s="18">
        <f t="shared" si="0"/>
        <v>80</v>
      </c>
      <c r="G11" s="18"/>
    </row>
    <row r="12" spans="1:7" ht="45.6" customHeight="1" x14ac:dyDescent="0.25">
      <c r="A12" s="11">
        <v>7</v>
      </c>
      <c r="B12" s="18" t="s">
        <v>283</v>
      </c>
      <c r="C12" s="45" t="s">
        <v>310</v>
      </c>
      <c r="D12" s="18">
        <v>45</v>
      </c>
      <c r="E12" s="18"/>
      <c r="F12" s="18">
        <f t="shared" si="0"/>
        <v>101.25</v>
      </c>
      <c r="G12" s="18"/>
    </row>
    <row r="13" spans="1:7" ht="45.6" customHeight="1" x14ac:dyDescent="0.25">
      <c r="A13" s="11">
        <v>8</v>
      </c>
      <c r="B13" s="18" t="s">
        <v>294</v>
      </c>
      <c r="C13" s="45" t="s">
        <v>311</v>
      </c>
      <c r="D13" s="18">
        <v>50</v>
      </c>
      <c r="E13" s="18"/>
      <c r="F13" s="18">
        <f t="shared" si="0"/>
        <v>125</v>
      </c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295</v>
      </c>
      <c r="C39" s="48" t="s">
        <v>312</v>
      </c>
      <c r="D39" s="41">
        <v>40</v>
      </c>
      <c r="E39" s="88" t="s">
        <v>320</v>
      </c>
      <c r="F39" s="18">
        <f t="shared" ref="F39:F42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294</v>
      </c>
      <c r="C40" s="48" t="s">
        <v>311</v>
      </c>
      <c r="D40" s="41">
        <v>70</v>
      </c>
      <c r="E40" s="23" t="s">
        <v>321</v>
      </c>
      <c r="F40" s="18">
        <f t="shared" si="1"/>
        <v>245</v>
      </c>
      <c r="G40" s="23"/>
    </row>
    <row r="41" spans="1:7" s="28" customFormat="1" ht="45.6" customHeight="1" x14ac:dyDescent="0.25">
      <c r="A41" s="41">
        <v>3</v>
      </c>
      <c r="B41" s="23" t="s">
        <v>283</v>
      </c>
      <c r="C41" s="48" t="s">
        <v>310</v>
      </c>
      <c r="D41" s="41">
        <v>30</v>
      </c>
      <c r="E41" s="23" t="s">
        <v>322</v>
      </c>
      <c r="F41" s="18">
        <f t="shared" si="1"/>
        <v>45</v>
      </c>
      <c r="G41" s="23"/>
    </row>
    <row r="42" spans="1:7" s="28" customFormat="1" ht="45.6" customHeight="1" x14ac:dyDescent="0.25">
      <c r="A42" s="41">
        <v>4</v>
      </c>
      <c r="B42" s="23" t="s">
        <v>296</v>
      </c>
      <c r="C42" s="48"/>
      <c r="D42" s="41">
        <v>120</v>
      </c>
      <c r="E42" s="23"/>
      <c r="F42" s="18" t="s">
        <v>323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2024-06-17T05:41:43Z</dcterms:modified>
</cp:coreProperties>
</file>