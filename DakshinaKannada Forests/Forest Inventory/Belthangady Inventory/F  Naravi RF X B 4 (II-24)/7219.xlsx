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Naravi RF X B 4 (II-24) #\"/>
    </mc:Choice>
  </mc:AlternateContent>
  <xr:revisionPtr revIDLastSave="0" documentId="13_ncr:1_{B120F707-B946-48AA-8595-D08639F571D1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23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<sst xmlns="http://schemas.openxmlformats.org/spreadsheetml/2006/main" count="479" uniqueCount="320">
  <si>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</si>
  <si>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</si>
  <si>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</si>
  <si>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</si>
  <si>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</si>
  <si>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</si>
  <si>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</si>
  <si>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</si>
  <si>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</si>
  <si>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</si>
  <si>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</si>
  <si>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</si>
  <si>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</si>
  <si>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</si>
  <si>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</si>
  <si>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</si>
  <si>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</si>
  <si>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</si>
  <si>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</si>
  <si>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</si>
  <si>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</si>
  <si>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</si>
  <si>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</si>
  <si>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</si>
  <si>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</si>
  <si>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</si>
  <si>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</si>
  <si>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</si>
  <si>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</si>
  <si>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</si>
  <si>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</si>
  <si>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</si>
  <si>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</si>
  <si>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</si>
  <si>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</si>
  <si>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</si>
  <si>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</si>
  <si>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</si>
  <si>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</si>
  <si>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</si>
  <si>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</si>
  <si>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</si>
  <si>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</si>
  <si>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</si>
  <si>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</si>
  <si>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</si>
  <si>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</si>
  <si>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</si>
  <si>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</si>
  <si>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</si>
  <si>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</si>
  <si>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</si>
  <si>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</si>
  <si>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</si>
  <si>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</si>
  <si>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</si>
  <si>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</si>
  <si>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</si>
  <si>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</si>
  <si>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</si>
  <si>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</si>
  <si>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</si>
  <si>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</si>
  <si>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</si>
  <si>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</si>
  <si>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</si>
  <si>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</si>
  <si>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</si>
  <si>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</si>
  <si>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</si>
  <si>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</si>
  <si>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</si>
  <si>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</si>
  <si>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</si>
  <si>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</si>
  <si>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</si>
  <si>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</si>
  <si>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</si>
  <si>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</si>
  <si>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</si>
  <si>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</si>
  <si>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</si>
  <si>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</si>
  <si>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</si>
  <si>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</si>
  <si>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</si>
  <si>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</si>
  <si>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</si>
  <si>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</si>
  <si>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</si>
  <si>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</si>
  <si>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</si>
  <si>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</si>
  <si>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</si>
  <si>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</si>
  <si>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</si>
  <si>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</si>
  <si>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</si>
  <si>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</si>
  <si>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</si>
  <si>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</si>
  <si>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</si>
  <si>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</si>
  <si>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</si>
  <si>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</si>
  <si>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</si>
  <si>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</si>
  <si>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</si>
  <si>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</si>
  <si>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</si>
  <si>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</si>
  <si>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</si>
  <si>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</si>
  <si>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</si>
  <si>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</si>
  <si>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</si>
  <si>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</si>
  <si>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</si>
  <si>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</si>
  <si>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</si>
  <si>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</si>
  <si>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</si>
  <si>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</si>
  <si>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</si>
  <si>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</si>
  <si>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</si>
  <si>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</si>
  <si>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</si>
  <si>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</si>
  <si>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</si>
  <si>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</si>
  <si>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</si>
  <si>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</si>
  <si>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</si>
  <si>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</si>
  <si>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</si>
  <si>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</si>
  <si>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</si>
  <si>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</si>
  <si>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</si>
  <si>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</si>
  <si>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</si>
  <si>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</si>
  <si>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</si>
  <si>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</si>
  <si>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</si>
  <si>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</si>
  <si>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</si>
  <si>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</si>
  <si>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</si>
  <si>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</si>
  <si>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</si>
  <si>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</si>
  <si>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</si>
  <si>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</si>
  <si>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</si>
  <si>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</si>
  <si>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</si>
  <si>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</si>
  <si>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</si>
  <si>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</si>
  <si>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</si>
  <si>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</si>
  <si>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</si>
  <si>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</si>
  <si>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</si>
  <si>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</si>
  <si>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</si>
  <si>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</si>
  <si>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</si>
  <si>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</si>
  <si>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</si>
  <si>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</si>
  <si>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</si>
  <si>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</si>
  <si>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</si>
  <si>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</si>
  <si>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</si>
  <si>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</si>
  <si>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</si>
  <si>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</si>
  <si>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</si>
  <si>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</si>
  <si>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</si>
  <si>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</si>
  <si>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</si>
  <si>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</si>
  <si>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</si>
  <si>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</si>
  <si>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</si>
  <si>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</si>
  <si>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</si>
  <si>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</si>
  <si>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</si>
  <si>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</si>
  <si>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</si>
  <si>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</si>
  <si>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</si>
  <si>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</si>
  <si>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</si>
  <si>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</si>
  <si>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</si>
  <si>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</si>
  <si>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</si>
  <si>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</si>
  <si>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</si>
  <si>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</si>
  <si>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</si>
  <si>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</si>
  <si>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</si>
  <si>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</si>
  <si>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</si>
  <si>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</si>
  <si>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</si>
  <si>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</si>
  <si>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</si>
  <si>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</si>
  <si>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</si>
  <si>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</si>
  <si>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</si>
  <si>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</si>
  <si>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</si>
  <si>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</si>
  <si>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</si>
  <si>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</si>
  <si>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</si>
  <si>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</si>
  <si>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</si>
  <si>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</si>
  <si>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</si>
  <si>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</si>
  <si>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</si>
  <si>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</si>
  <si>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</si>
  <si>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</si>
  <si>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</si>
  <si>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</si>
  <si>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</si>
  <si>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</si>
  <si>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</si>
  <si>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</si>
  <si>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</si>
  <si>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 upto N  13.073857   E 75.333870   by vehicle then travel in the bearing of  12  degree  to reach the grid.</t>
  </si>
  <si>
    <t xml:space="preserve">Xylia xylocarpa Holigarna arnattiana Terminalia paniculata Aporosa lindleyana </t>
  </si>
  <si>
    <t>Tract -Hilly</t>
  </si>
  <si>
    <t>Aspect -Eastern</t>
  </si>
  <si>
    <t>Soil -Black loamy</t>
  </si>
  <si>
    <t>Grasses -hebullu</t>
  </si>
  <si>
    <t xml:space="preserve">Weeds -Smilax spinosa </t>
  </si>
  <si>
    <t xml:space="preserve">Bamboos -Bambusa bambos </t>
  </si>
  <si>
    <t xml:space="preserve">Shrubs -Xylia xylocarpa , Cinnamomum verum </t>
  </si>
  <si>
    <t xml:space="preserve">Climbers -Gnetum ula </t>
  </si>
  <si>
    <t xml:space="preserve">NTFP yieding sps –Garcinia morella </t>
  </si>
  <si>
    <t>Stream</t>
  </si>
  <si>
    <t xml:space="preserve">Mild </t>
  </si>
  <si>
    <r>
      <rPr>
        <b/>
        <sz val="12"/>
        <rFont val="Times New Roman"/>
        <family val="1"/>
      </rPr>
      <t>Reserve Fores</t>
    </r>
    <r>
      <rPr>
        <sz val="12"/>
        <rFont val="Times New Roman"/>
        <family val="1"/>
      </rPr>
      <t>t / Protected Forest/ Un classed Forest /Private Forest/ Private Land</t>
    </r>
  </si>
  <si>
    <r>
      <rPr>
        <b/>
        <sz val="12"/>
        <rFont val="Times New Roman"/>
        <family val="1"/>
      </rPr>
      <t>Closed Forest</t>
    </r>
    <r>
      <rPr>
        <sz val="12"/>
        <rFont val="Times New Roman"/>
        <family val="1"/>
      </rPr>
      <t xml:space="preserve"> /Dense Forest 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</si>
  <si>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</si>
  <si>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/4°-15°/</t>
    </r>
    <r>
      <rPr>
        <b/>
        <sz val="12"/>
        <rFont val="Times New Roman"/>
        <family val="1"/>
      </rPr>
      <t xml:space="preserve"> 16°-40°</t>
    </r>
    <r>
      <rPr>
        <sz val="12"/>
        <rFont val="Times New Roman"/>
        <family val="1"/>
      </rPr>
      <t xml:space="preserve"> /41° and Above</t>
    </r>
  </si>
  <si>
    <r>
      <t>Northern / NE/</t>
    </r>
    <r>
      <rPr>
        <b/>
        <sz val="12"/>
        <rFont val="Times New Roman"/>
        <family val="1"/>
      </rPr>
      <t>Eastern</t>
    </r>
    <r>
      <rPr>
        <sz val="12"/>
        <rFont val="Times New Roman"/>
        <family val="1"/>
      </rPr>
      <t xml:space="preserve"> / SE /Southern /SW /Western/ NW /No aspect</t>
    </r>
  </si>
  <si>
    <t>Texture- Smooth</t>
  </si>
  <si>
    <t>Permiability- 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</si>
  <si>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</si>
  <si>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Xylia xylocarpa , Aporosa lindleyana , Holigarna arnattiana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</si>
  <si>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</si>
  <si>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>Top drying / Lopping / Girdling / Scarring /</t>
    </r>
    <r>
      <rPr>
        <b/>
        <sz val="12"/>
        <rFont val="Times New Roman"/>
        <family val="1"/>
      </rPr>
      <t xml:space="preserve"> Damage by natural calamities </t>
    </r>
    <r>
      <rPr>
        <sz val="12"/>
        <rFont val="Times New Roman"/>
        <family val="1"/>
      </rPr>
      <t>/ None</t>
    </r>
  </si>
  <si>
    <t>Fungi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</si>
  <si>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</si>
  <si>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</si>
  <si>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</si>
  <si>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</si>
  <si>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0.5-0.75</t>
  </si>
  <si>
    <t xml:space="preserve">Xylia xylocarpa </t>
  </si>
  <si>
    <t>Jumma</t>
  </si>
  <si>
    <t>Karekumara</t>
  </si>
  <si>
    <t xml:space="preserve">Alstonia scholaris </t>
  </si>
  <si>
    <t xml:space="preserve">Dillenia pentagyna </t>
  </si>
  <si>
    <t xml:space="preserve">Aporosa lindleyana </t>
  </si>
  <si>
    <t xml:space="preserve">Ixora brachiata </t>
  </si>
  <si>
    <t xml:space="preserve">Tabernamontana heyneana </t>
  </si>
  <si>
    <t xml:space="preserve">Psychotria flavida </t>
  </si>
  <si>
    <t>80g</t>
  </si>
  <si>
    <t>700g</t>
  </si>
  <si>
    <t>8kg</t>
  </si>
  <si>
    <t>95g</t>
  </si>
  <si>
    <t>1.9kg</t>
  </si>
  <si>
    <t xml:space="preserve">Macaranga peltata </t>
  </si>
  <si>
    <t>120g</t>
  </si>
  <si>
    <t>600g</t>
  </si>
  <si>
    <t>1.8kg</t>
  </si>
  <si>
    <t>Nertige</t>
  </si>
  <si>
    <t xml:space="preserve">Cinnamomum verum </t>
  </si>
  <si>
    <t xml:space="preserve">Cyclea peltata </t>
  </si>
  <si>
    <t xml:space="preserve">Smilax spinosa </t>
  </si>
  <si>
    <t>Appachi balli</t>
  </si>
  <si>
    <t>Belthangady</t>
  </si>
  <si>
    <t>Naravi RF X B 4</t>
  </si>
  <si>
    <t>II-24</t>
  </si>
  <si>
    <t>Herbs -NIL</t>
  </si>
  <si>
    <t>Canopy Dencity - 0.56</t>
  </si>
  <si>
    <t>Rattans –NIL</t>
  </si>
  <si>
    <t>Underwood species –NIL</t>
  </si>
  <si>
    <t>2m</t>
  </si>
  <si>
    <t>NIL</t>
  </si>
  <si>
    <t xml:space="preserve">Depth- Deep </t>
  </si>
  <si>
    <t>627 ft</t>
  </si>
  <si>
    <t>Mangalore Division</t>
  </si>
  <si>
    <t>Kaadu coffee</t>
  </si>
  <si>
    <t>Salle</t>
  </si>
  <si>
    <t>Battala Chandalike</t>
  </si>
  <si>
    <t>Jambe</t>
  </si>
  <si>
    <t xml:space="preserve">Leea indica </t>
  </si>
  <si>
    <t>Dalchinni</t>
  </si>
  <si>
    <t xml:space="preserve">Pothos scandens </t>
  </si>
  <si>
    <t>Leaves</t>
  </si>
  <si>
    <t xml:space="preserve">Fruit </t>
  </si>
  <si>
    <t>Pod</t>
  </si>
  <si>
    <t>Stem</t>
  </si>
  <si>
    <t>Bark</t>
  </si>
  <si>
    <t xml:space="preserve">Root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</si>
</sst>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52" t="s">
        <v>306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0" t="s">
        <v>6</v>
      </c>
      <c r="C5" s="7" t="s">
        <v>295</v>
      </c>
    </row>
    <row r="6" spans="1:3" ht="39" customHeight="1" x14ac:dyDescent="0.3">
      <c r="A6" s="4">
        <v>2</v>
      </c>
      <c r="B6" s="50" t="s">
        <v>7</v>
      </c>
      <c r="C6" s="8" t="s">
        <v>296</v>
      </c>
    </row>
    <row r="7" spans="1:3" ht="39" customHeight="1" x14ac:dyDescent="0.3">
      <c r="A7" s="4">
        <v>3</v>
      </c>
      <c r="B7" s="50" t="s">
        <v>8</v>
      </c>
      <c r="C7" s="8" t="s">
        <v>297</v>
      </c>
    </row>
    <row r="8" spans="1:3" ht="39" customHeight="1" x14ac:dyDescent="0.3">
      <c r="A8" s="4">
        <v>4</v>
      </c>
      <c r="B8" s="50" t="s">
        <v>9</v>
      </c>
      <c r="C8" s="8">
        <v>7219</v>
      </c>
    </row>
    <row r="9" spans="1:3" ht="39" customHeight="1" x14ac:dyDescent="0.3">
      <c r="A9" s="4">
        <v>5</v>
      </c>
      <c r="B9" s="50" t="s">
        <v>10</v>
      </c>
      <c r="C9" s="9">
        <v>13.073893999999999</v>
      </c>
    </row>
    <row r="10" spans="1:3" ht="39" customHeight="1" x14ac:dyDescent="0.3">
      <c r="A10" s="4">
        <v>6</v>
      </c>
      <c r="B10" s="50" t="s">
        <v>11</v>
      </c>
      <c r="C10" s="9">
        <v>75.333878999999996</v>
      </c>
    </row>
    <row r="11" spans="1:3" ht="141.75" customHeight="1" x14ac:dyDescent="0.3">
      <c r="A11" s="4">
        <v>7</v>
      </c>
      <c r="B11" s="50" t="s">
        <v>12</v>
      </c>
      <c r="C11" s="9" t="s">
        <v>242</v>
      </c>
    </row>
    <row r="12" spans="1:3" ht="98.25" customHeight="1" x14ac:dyDescent="0.3">
      <c r="A12" s="4">
        <v>8</v>
      </c>
      <c r="B12" s="50" t="s">
        <v>13</v>
      </c>
      <c r="C12" s="10" t="s">
        <v>243</v>
      </c>
    </row>
    <row r="13" spans="1:3" ht="32.25" customHeight="1" x14ac:dyDescent="0.3">
      <c r="A13" s="54">
        <v>9</v>
      </c>
      <c r="B13" s="55" t="s">
        <v>14</v>
      </c>
      <c r="C13" s="6" t="s">
        <v>244</v>
      </c>
    </row>
    <row r="14" spans="1:3" ht="32.25" customHeight="1" x14ac:dyDescent="0.3">
      <c r="A14" s="54"/>
      <c r="B14" s="55"/>
      <c r="C14" s="6" t="s">
        <v>245</v>
      </c>
    </row>
    <row r="15" spans="1:3" ht="32.25" customHeight="1" x14ac:dyDescent="0.3">
      <c r="A15" s="54"/>
      <c r="B15" s="55"/>
      <c r="C15" s="6" t="s">
        <v>299</v>
      </c>
    </row>
    <row r="16" spans="1:3" ht="32.25" customHeight="1" x14ac:dyDescent="0.3">
      <c r="A16" s="54"/>
      <c r="B16" s="55"/>
      <c r="C16" s="6" t="s">
        <v>246</v>
      </c>
    </row>
    <row r="17" spans="1:3" ht="32.25" customHeight="1" x14ac:dyDescent="0.3">
      <c r="A17" s="54"/>
      <c r="B17" s="55"/>
      <c r="C17" s="6" t="s">
        <v>247</v>
      </c>
    </row>
    <row r="18" spans="1:3" ht="32.25" customHeight="1" x14ac:dyDescent="0.3">
      <c r="A18" s="54"/>
      <c r="B18" s="55"/>
      <c r="C18" s="6" t="s">
        <v>248</v>
      </c>
    </row>
    <row r="19" spans="1:3" ht="32.25" customHeight="1" x14ac:dyDescent="0.3">
      <c r="A19" s="54"/>
      <c r="B19" s="55"/>
      <c r="C19" s="6" t="s">
        <v>249</v>
      </c>
    </row>
    <row r="20" spans="1:3" ht="57.75" customHeight="1" x14ac:dyDescent="0.3">
      <c r="A20" s="54"/>
      <c r="B20" s="55"/>
      <c r="C20" s="6" t="s">
        <v>298</v>
      </c>
    </row>
    <row r="21" spans="1:3" ht="63" customHeight="1" x14ac:dyDescent="0.3">
      <c r="A21" s="54"/>
      <c r="B21" s="55"/>
      <c r="C21" s="6" t="s">
        <v>250</v>
      </c>
    </row>
    <row r="22" spans="1:3" ht="63" customHeight="1" x14ac:dyDescent="0.3">
      <c r="A22" s="54"/>
      <c r="B22" s="55"/>
      <c r="C22" s="6" t="s">
        <v>301</v>
      </c>
    </row>
    <row r="23" spans="1:3" ht="63" customHeight="1" x14ac:dyDescent="0.3">
      <c r="A23" s="54"/>
      <c r="B23" s="55"/>
      <c r="C23" s="6" t="s">
        <v>251</v>
      </c>
    </row>
    <row r="24" spans="1:3" ht="63" customHeight="1" x14ac:dyDescent="0.3">
      <c r="A24" s="54"/>
      <c r="B24" s="55"/>
      <c r="C24" s="6" t="s">
        <v>300</v>
      </c>
    </row>
    <row r="25" spans="1:3" ht="63" customHeight="1" x14ac:dyDescent="0.3">
      <c r="A25" s="54"/>
      <c r="B25" s="55"/>
      <c r="C25" s="6" t="s">
        <v>252</v>
      </c>
    </row>
    <row r="26" spans="1:3" ht="49.5" customHeight="1" x14ac:dyDescent="0.3">
      <c r="A26" s="4">
        <v>10</v>
      </c>
      <c r="B26" s="50" t="s">
        <v>15</v>
      </c>
      <c r="C26" s="6" t="s">
        <v>253</v>
      </c>
    </row>
    <row r="27" spans="1:3" ht="53.25" customHeight="1" x14ac:dyDescent="0.3">
      <c r="A27" s="4">
        <v>11</v>
      </c>
      <c r="B27" s="50" t="s">
        <v>16</v>
      </c>
      <c r="C27" s="6" t="s">
        <v>254</v>
      </c>
    </row>
    <row r="28" spans="1:3" s="13" customFormat="1" ht="51" customHeight="1" x14ac:dyDescent="0.3">
      <c r="A28" s="17">
        <v>12</v>
      </c>
      <c r="B28" s="51" t="s">
        <v>217</v>
      </c>
      <c r="C28" s="19">
        <v>1</v>
      </c>
    </row>
    <row r="29" spans="1:3" s="13" customFormat="1" ht="51.75" customHeight="1" x14ac:dyDescent="0.3">
      <c r="A29" s="17">
        <v>13</v>
      </c>
      <c r="B29" s="51" t="s">
        <v>218</v>
      </c>
      <c r="C29" s="19" t="s">
        <v>302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52" t="s">
        <v>306</v>
      </c>
    </row>
    <row r="4" spans="1:3" s="18" customFormat="1" ht="25.5" customHeight="1" x14ac:dyDescent="0.3">
      <c r="A4" s="17" t="s">
        <v>3</v>
      </c>
      <c r="B4" s="17" t="s">
        <v>5</v>
      </c>
      <c r="C4" s="17" t="s">
        <v>19</v>
      </c>
    </row>
    <row r="5" spans="1:3" ht="32.25" customHeight="1" x14ac:dyDescent="0.3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3">
      <c r="A6" s="11">
        <v>2</v>
      </c>
      <c r="B6" s="51" t="s">
        <v>223</v>
      </c>
      <c r="C6" s="19"/>
    </row>
    <row r="7" spans="1:3" ht="32.25" customHeight="1" x14ac:dyDescent="0.3">
      <c r="A7" s="11">
        <v>3</v>
      </c>
      <c r="B7" s="51" t="s">
        <v>219</v>
      </c>
      <c r="C7" s="19" t="str">
        <f>'Form 1'!C6</f>
        <v>Naravi RF X B 4</v>
      </c>
    </row>
    <row r="8" spans="1:3" ht="32.25" customHeight="1" x14ac:dyDescent="0.3">
      <c r="A8" s="11">
        <v>4</v>
      </c>
      <c r="B8" s="51" t="s">
        <v>9</v>
      </c>
      <c r="C8" s="19">
        <f>'Form 1'!C8</f>
        <v>7219</v>
      </c>
    </row>
    <row r="9" spans="1:3" ht="32.25" customHeight="1" x14ac:dyDescent="0.3">
      <c r="A9" s="11">
        <v>5</v>
      </c>
      <c r="B9" s="51" t="s">
        <v>20</v>
      </c>
      <c r="C9" s="20">
        <f>'Form 1'!C9</f>
        <v>13.073893999999999</v>
      </c>
    </row>
    <row r="10" spans="1:3" ht="32.25" customHeight="1" x14ac:dyDescent="0.3">
      <c r="A10" s="11">
        <v>6</v>
      </c>
      <c r="B10" s="51" t="s">
        <v>21</v>
      </c>
      <c r="C10" s="20">
        <f>'Form 1'!C10</f>
        <v>75.333878999999996</v>
      </c>
    </row>
    <row r="11" spans="1:3" ht="32.25" customHeight="1" x14ac:dyDescent="0.3">
      <c r="A11" s="11">
        <v>7</v>
      </c>
      <c r="B11" s="51" t="s">
        <v>22</v>
      </c>
      <c r="C11" s="19" t="s">
        <v>305</v>
      </c>
    </row>
    <row r="12" spans="1:3" ht="43.5" customHeight="1" x14ac:dyDescent="0.3">
      <c r="A12" s="11">
        <v>8</v>
      </c>
      <c r="B12" s="51" t="s">
        <v>23</v>
      </c>
      <c r="C12" s="19" t="s">
        <v>255</v>
      </c>
    </row>
    <row r="13" spans="1:3" ht="43.5" customHeight="1" x14ac:dyDescent="0.3">
      <c r="A13" s="11">
        <v>9</v>
      </c>
      <c r="B13" s="51" t="s">
        <v>24</v>
      </c>
      <c r="C13" s="19" t="s">
        <v>256</v>
      </c>
    </row>
    <row r="14" spans="1:3" ht="38.25" customHeight="1" x14ac:dyDescent="0.3">
      <c r="A14" s="11">
        <v>10</v>
      </c>
      <c r="B14" s="51" t="s">
        <v>25</v>
      </c>
      <c r="C14" s="19" t="s">
        <v>257</v>
      </c>
    </row>
    <row r="15" spans="1:3" ht="25.5" customHeight="1" x14ac:dyDescent="0.3">
      <c r="A15" s="11">
        <v>11</v>
      </c>
      <c r="B15" s="51" t="s">
        <v>26</v>
      </c>
      <c r="C15" s="21" t="s">
        <v>258</v>
      </c>
    </row>
    <row r="16" spans="1:3" ht="37.5" customHeight="1" x14ac:dyDescent="0.3">
      <c r="A16" s="11">
        <v>12</v>
      </c>
      <c r="B16" s="51" t="s">
        <v>27</v>
      </c>
      <c r="C16" s="21" t="s">
        <v>259</v>
      </c>
    </row>
    <row r="17" spans="1:3" ht="37.5" customHeight="1" x14ac:dyDescent="0.3">
      <c r="A17" s="11">
        <v>13</v>
      </c>
      <c r="B17" s="51" t="s">
        <v>28</v>
      </c>
      <c r="C17" s="21" t="s">
        <v>29</v>
      </c>
    </row>
    <row r="18" spans="1:3" ht="31.5" customHeight="1" x14ac:dyDescent="0.3">
      <c r="A18" s="57">
        <v>14</v>
      </c>
      <c r="B18" s="58" t="s">
        <v>30</v>
      </c>
      <c r="C18" s="21" t="s">
        <v>260</v>
      </c>
    </row>
    <row r="19" spans="1:3" ht="30.75" customHeight="1" x14ac:dyDescent="0.3">
      <c r="A19" s="57"/>
      <c r="B19" s="58"/>
      <c r="C19" s="21" t="s">
        <v>304</v>
      </c>
    </row>
    <row r="20" spans="1:3" ht="30.75" customHeight="1" x14ac:dyDescent="0.3">
      <c r="A20" s="57"/>
      <c r="B20" s="58"/>
      <c r="C20" s="22" t="s">
        <v>261</v>
      </c>
    </row>
    <row r="21" spans="1:3" ht="36" customHeight="1" x14ac:dyDescent="0.3">
      <c r="A21" s="11">
        <v>15</v>
      </c>
      <c r="B21" s="51" t="s">
        <v>31</v>
      </c>
      <c r="C21" s="21" t="s">
        <v>262</v>
      </c>
    </row>
    <row r="22" spans="1:3" ht="54.75" customHeight="1" x14ac:dyDescent="0.3">
      <c r="A22" s="11">
        <v>16</v>
      </c>
      <c r="B22" s="51" t="s">
        <v>32</v>
      </c>
      <c r="C22" s="21" t="s">
        <v>263</v>
      </c>
    </row>
    <row r="23" spans="1:3" ht="15.6" x14ac:dyDescent="0.3">
      <c r="A23" s="11">
        <v>17</v>
      </c>
      <c r="B23" s="51" t="s">
        <v>220</v>
      </c>
      <c r="C23" s="21" t="s">
        <v>264</v>
      </c>
    </row>
    <row r="24" spans="1:3" ht="35.25" customHeight="1" x14ac:dyDescent="0.3">
      <c r="A24" s="11">
        <v>18</v>
      </c>
      <c r="B24" s="51" t="s">
        <v>33</v>
      </c>
      <c r="C24" s="21" t="s">
        <v>265</v>
      </c>
    </row>
    <row r="25" spans="1:3" ht="72.75" customHeight="1" x14ac:dyDescent="0.3">
      <c r="A25" s="11">
        <v>19</v>
      </c>
      <c r="B25" s="51" t="s">
        <v>34</v>
      </c>
      <c r="C25" s="21" t="s">
        <v>266</v>
      </c>
    </row>
    <row r="26" spans="1:3" ht="30" customHeight="1" x14ac:dyDescent="0.3">
      <c r="A26" s="11">
        <v>20</v>
      </c>
      <c r="B26" s="51" t="s">
        <v>35</v>
      </c>
      <c r="C26" s="22" t="s">
        <v>267</v>
      </c>
    </row>
    <row r="27" spans="1:3" ht="30" customHeight="1" x14ac:dyDescent="0.3">
      <c r="A27" s="11">
        <v>21</v>
      </c>
      <c r="B27" s="51" t="s">
        <v>36</v>
      </c>
      <c r="C27" s="21" t="s">
        <v>268</v>
      </c>
    </row>
    <row r="28" spans="1:3" ht="30" customHeight="1" x14ac:dyDescent="0.3">
      <c r="A28" s="11">
        <v>22</v>
      </c>
      <c r="B28" s="51" t="s">
        <v>37</v>
      </c>
      <c r="C28" s="21" t="s">
        <v>269</v>
      </c>
    </row>
    <row r="29" spans="1:3" ht="32.25" customHeight="1" x14ac:dyDescent="0.3">
      <c r="A29" s="11">
        <v>23</v>
      </c>
      <c r="B29" s="51" t="s">
        <v>38</v>
      </c>
      <c r="C29" s="21" t="s">
        <v>269</v>
      </c>
    </row>
    <row r="30" spans="1:3" ht="62.25" customHeight="1" x14ac:dyDescent="0.3">
      <c r="A30" s="11">
        <v>24</v>
      </c>
      <c r="B30" s="51" t="s">
        <v>39</v>
      </c>
      <c r="C30" s="21" t="s">
        <v>303</v>
      </c>
    </row>
    <row r="31" spans="1:3" ht="72.75" customHeight="1" x14ac:dyDescent="0.3">
      <c r="A31" s="11">
        <v>25</v>
      </c>
      <c r="B31" s="51" t="s">
        <v>40</v>
      </c>
      <c r="C31" s="21" t="s">
        <v>303</v>
      </c>
    </row>
    <row r="32" spans="1:3" ht="60" customHeight="1" x14ac:dyDescent="0.3">
      <c r="A32" s="11">
        <v>26</v>
      </c>
      <c r="B32" s="51" t="s">
        <v>41</v>
      </c>
      <c r="C32" s="21" t="s">
        <v>253</v>
      </c>
    </row>
    <row r="33" spans="1:3" ht="60" customHeight="1" x14ac:dyDescent="0.3">
      <c r="A33" s="11">
        <v>27</v>
      </c>
      <c r="B33" s="51" t="s">
        <v>42</v>
      </c>
      <c r="C33" s="19" t="s">
        <v>270</v>
      </c>
    </row>
    <row r="34" spans="1:3" ht="57.75" customHeight="1" x14ac:dyDescent="0.3">
      <c r="A34" s="11">
        <v>28</v>
      </c>
      <c r="B34" s="51" t="s">
        <v>43</v>
      </c>
      <c r="C34" s="21" t="s">
        <v>303</v>
      </c>
    </row>
    <row r="35" spans="1:3" ht="59.25" customHeight="1" x14ac:dyDescent="0.3">
      <c r="A35" s="11">
        <v>29</v>
      </c>
      <c r="B35" s="51" t="s">
        <v>44</v>
      </c>
      <c r="C35" s="21" t="s">
        <v>303</v>
      </c>
    </row>
    <row r="36" spans="1:3" ht="66" customHeight="1" x14ac:dyDescent="0.3">
      <c r="A36" s="11">
        <v>30</v>
      </c>
      <c r="B36" s="51" t="s">
        <v>224</v>
      </c>
      <c r="C36" s="21" t="s">
        <v>271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15" zoomScale="60" zoomScaleNormal="70" workbookViewId="0">
      <selection activeCell="O13" sqref="O13"/>
    </sheetView>
  </sheetViews>
  <sheetFormatPr defaultColWidth="9.109375" defaultRowHeight="40.5" customHeight="1" x14ac:dyDescent="0.3"/>
  <cols>
    <col min="1" max="1" width="9.109375" style="18"/>
    <col min="2" max="2" width="42.6640625" style="18" customWidth="1"/>
    <col min="3" max="3" width="14.6640625" style="18" customWidth="1"/>
    <col min="4" max="4" width="11.44140625" style="18" customWidth="1"/>
    <col min="5" max="5" width="12.44140625" style="18" customWidth="1"/>
    <col min="6" max="6" width="12.33203125" style="18" customWidth="1"/>
    <col min="7" max="8" width="9.109375" style="18"/>
    <col min="9" max="9" width="8.88671875" style="18" customWidth="1"/>
    <col min="10" max="18" width="9.109375" style="18"/>
    <col min="19" max="19" width="13.109375" style="18" customWidth="1"/>
    <col min="20" max="20" width="24.5546875" style="18" customWidth="1"/>
    <col min="21" max="16384" width="9.109375" style="18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3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3">
      <c r="A8" s="64" t="s">
        <v>239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225</v>
      </c>
    </row>
    <row r="9" spans="1:20" s="24" customFormat="1" ht="40.5" customHeight="1" x14ac:dyDescent="0.3">
      <c r="A9" s="64"/>
      <c r="B9" s="54" t="s">
        <v>71</v>
      </c>
      <c r="C9" s="54" t="s">
        <v>72</v>
      </c>
      <c r="D9" s="54" t="s">
        <v>230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4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3">
      <c r="A12" s="23">
        <v>1</v>
      </c>
      <c r="B12" s="23" t="s">
        <v>272</v>
      </c>
      <c r="C12" s="23"/>
      <c r="D12" s="23">
        <v>74</v>
      </c>
      <c r="E12" s="23"/>
      <c r="F12" s="23"/>
      <c r="G12" s="23"/>
      <c r="H12" s="23"/>
      <c r="I12" s="23">
        <v>4</v>
      </c>
      <c r="J12" s="23">
        <v>5</v>
      </c>
      <c r="K12" s="23">
        <f>L12+M12+R12</f>
        <v>9.5</v>
      </c>
      <c r="L12" s="23">
        <v>4</v>
      </c>
      <c r="M12" s="23">
        <v>3</v>
      </c>
      <c r="N12" s="23"/>
      <c r="O12" s="23"/>
      <c r="P12" s="23"/>
      <c r="Q12" s="23"/>
      <c r="R12" s="23">
        <v>2.5</v>
      </c>
      <c r="S12" s="23"/>
      <c r="T12" s="23"/>
    </row>
    <row r="13" spans="1:20" ht="40.5" customHeight="1" x14ac:dyDescent="0.3">
      <c r="A13" s="23">
        <v>2</v>
      </c>
      <c r="B13" s="23" t="s">
        <v>273</v>
      </c>
      <c r="C13" s="23"/>
      <c r="D13" s="23">
        <v>98</v>
      </c>
      <c r="E13" s="23"/>
      <c r="F13" s="23"/>
      <c r="G13" s="23"/>
      <c r="H13" s="23"/>
      <c r="I13" s="23">
        <v>4</v>
      </c>
      <c r="J13" s="23">
        <v>6</v>
      </c>
      <c r="K13" s="23">
        <f t="shared" ref="K13:K23" si="0">L13+M13+R13</f>
        <v>12.5</v>
      </c>
      <c r="L13" s="23">
        <v>4.5</v>
      </c>
      <c r="M13" s="23">
        <v>3</v>
      </c>
      <c r="N13" s="23"/>
      <c r="O13" s="23"/>
      <c r="P13" s="23"/>
      <c r="Q13" s="23"/>
      <c r="R13" s="23">
        <v>5</v>
      </c>
      <c r="S13" s="23"/>
      <c r="T13" s="23"/>
    </row>
    <row r="14" spans="1:20" ht="40.5" customHeight="1" x14ac:dyDescent="0.3">
      <c r="A14" s="23">
        <v>3</v>
      </c>
      <c r="B14" s="23" t="s">
        <v>274</v>
      </c>
      <c r="C14" s="23"/>
      <c r="D14" s="23">
        <v>42</v>
      </c>
      <c r="E14" s="23"/>
      <c r="F14" s="23"/>
      <c r="G14" s="23"/>
      <c r="H14" s="23"/>
      <c r="I14" s="23">
        <v>4</v>
      </c>
      <c r="J14" s="23">
        <v>5</v>
      </c>
      <c r="K14" s="23">
        <f t="shared" si="0"/>
        <v>16.5</v>
      </c>
      <c r="L14" s="23">
        <v>6</v>
      </c>
      <c r="M14" s="23">
        <v>4.5</v>
      </c>
      <c r="N14" s="23"/>
      <c r="O14" s="23"/>
      <c r="P14" s="23"/>
      <c r="Q14" s="23"/>
      <c r="R14" s="23">
        <v>6</v>
      </c>
      <c r="S14" s="23"/>
      <c r="T14" s="23"/>
    </row>
    <row r="15" spans="1:20" ht="40.5" customHeight="1" x14ac:dyDescent="0.3">
      <c r="A15" s="23">
        <v>4</v>
      </c>
      <c r="B15" s="23" t="s">
        <v>275</v>
      </c>
      <c r="C15" s="23"/>
      <c r="D15" s="23">
        <v>112</v>
      </c>
      <c r="E15" s="23"/>
      <c r="F15" s="23"/>
      <c r="G15" s="23"/>
      <c r="H15" s="23"/>
      <c r="I15" s="23">
        <v>10</v>
      </c>
      <c r="J15" s="23">
        <v>8</v>
      </c>
      <c r="K15" s="23">
        <f t="shared" si="0"/>
        <v>13.5</v>
      </c>
      <c r="L15" s="23">
        <v>4</v>
      </c>
      <c r="M15" s="23">
        <v>1.5</v>
      </c>
      <c r="N15" s="23"/>
      <c r="O15" s="23"/>
      <c r="P15" s="23"/>
      <c r="Q15" s="23"/>
      <c r="R15" s="23">
        <v>8</v>
      </c>
      <c r="S15" s="23"/>
      <c r="T15" s="23"/>
    </row>
    <row r="16" spans="1:20" ht="40.5" customHeight="1" x14ac:dyDescent="0.3">
      <c r="A16" s="23">
        <v>5</v>
      </c>
      <c r="B16" s="23" t="s">
        <v>272</v>
      </c>
      <c r="C16" s="23"/>
      <c r="D16" s="23">
        <v>54</v>
      </c>
      <c r="E16" s="23"/>
      <c r="F16" s="23"/>
      <c r="G16" s="23"/>
      <c r="H16" s="23"/>
      <c r="I16" s="23">
        <v>8</v>
      </c>
      <c r="J16" s="23">
        <v>12</v>
      </c>
      <c r="K16" s="23">
        <f t="shared" si="0"/>
        <v>11.5</v>
      </c>
      <c r="L16" s="23">
        <v>7</v>
      </c>
      <c r="M16" s="23">
        <v>3</v>
      </c>
      <c r="N16" s="23"/>
      <c r="O16" s="23"/>
      <c r="P16" s="23"/>
      <c r="Q16" s="23"/>
      <c r="R16" s="23">
        <v>1.5</v>
      </c>
      <c r="S16" s="23"/>
      <c r="T16" s="23"/>
    </row>
    <row r="17" spans="1:20" ht="40.5" customHeight="1" x14ac:dyDescent="0.3">
      <c r="A17" s="23">
        <v>6</v>
      </c>
      <c r="B17" s="18" t="s">
        <v>279</v>
      </c>
      <c r="C17" s="23"/>
      <c r="D17" s="23">
        <v>45</v>
      </c>
      <c r="E17" s="23"/>
      <c r="F17" s="23"/>
      <c r="G17" s="23"/>
      <c r="H17" s="23"/>
      <c r="I17" s="23">
        <v>3</v>
      </c>
      <c r="J17" s="23">
        <v>4</v>
      </c>
      <c r="K17" s="23">
        <f t="shared" si="0"/>
        <v>12</v>
      </c>
      <c r="L17" s="23">
        <v>0</v>
      </c>
      <c r="M17" s="23">
        <v>5</v>
      </c>
      <c r="N17" s="23"/>
      <c r="O17" s="23"/>
      <c r="P17" s="23"/>
      <c r="Q17" s="23"/>
      <c r="R17" s="23">
        <v>7</v>
      </c>
      <c r="S17" s="23"/>
      <c r="T17" s="23"/>
    </row>
    <row r="18" spans="1:20" ht="40.5" customHeight="1" x14ac:dyDescent="0.3">
      <c r="A18" s="23">
        <v>7</v>
      </c>
      <c r="B18" s="18" t="s">
        <v>272</v>
      </c>
      <c r="C18" s="23"/>
      <c r="D18" s="23">
        <v>53</v>
      </c>
      <c r="E18" s="23"/>
      <c r="F18" s="23"/>
      <c r="G18" s="23"/>
      <c r="H18" s="23"/>
      <c r="I18" s="23">
        <v>6</v>
      </c>
      <c r="J18" s="23">
        <v>7</v>
      </c>
      <c r="K18" s="23">
        <f t="shared" si="0"/>
        <v>8.5</v>
      </c>
      <c r="L18" s="23">
        <v>4</v>
      </c>
      <c r="M18" s="23">
        <v>3</v>
      </c>
      <c r="N18" s="23"/>
      <c r="O18" s="23"/>
      <c r="P18" s="23"/>
      <c r="Q18" s="23"/>
      <c r="R18" s="23">
        <v>1.5</v>
      </c>
      <c r="S18" s="23"/>
      <c r="T18" s="23"/>
    </row>
    <row r="19" spans="1:20" ht="40.5" customHeight="1" x14ac:dyDescent="0.3">
      <c r="A19" s="23">
        <v>8</v>
      </c>
      <c r="B19" s="23" t="s">
        <v>276</v>
      </c>
      <c r="C19" s="23"/>
      <c r="D19" s="23">
        <v>132</v>
      </c>
      <c r="E19" s="23"/>
      <c r="F19" s="23"/>
      <c r="G19" s="23"/>
      <c r="H19" s="23"/>
      <c r="I19" s="23">
        <v>15</v>
      </c>
      <c r="J19" s="23">
        <v>18</v>
      </c>
      <c r="K19" s="23">
        <f t="shared" si="0"/>
        <v>19</v>
      </c>
      <c r="L19" s="23">
        <v>8</v>
      </c>
      <c r="M19" s="23">
        <v>6</v>
      </c>
      <c r="N19" s="23"/>
      <c r="O19" s="23"/>
      <c r="P19" s="23"/>
      <c r="Q19" s="23"/>
      <c r="R19" s="23">
        <v>5</v>
      </c>
      <c r="S19" s="23"/>
      <c r="T19" s="23"/>
    </row>
    <row r="20" spans="1:20" ht="40.5" customHeight="1" x14ac:dyDescent="0.3">
      <c r="A20" s="23">
        <v>9</v>
      </c>
      <c r="B20" s="23" t="s">
        <v>277</v>
      </c>
      <c r="C20" s="23"/>
      <c r="D20" s="23">
        <v>52</v>
      </c>
      <c r="E20" s="23"/>
      <c r="F20" s="23"/>
      <c r="G20" s="23"/>
      <c r="H20" s="23"/>
      <c r="I20" s="23">
        <v>4</v>
      </c>
      <c r="J20" s="23">
        <v>7</v>
      </c>
      <c r="K20" s="23">
        <f t="shared" si="0"/>
        <v>11.5</v>
      </c>
      <c r="L20" s="23">
        <v>3</v>
      </c>
      <c r="M20" s="23">
        <v>7</v>
      </c>
      <c r="N20" s="23"/>
      <c r="O20" s="23"/>
      <c r="P20" s="23"/>
      <c r="Q20" s="23"/>
      <c r="R20" s="23">
        <v>1.5</v>
      </c>
      <c r="S20" s="23"/>
      <c r="T20" s="23"/>
    </row>
    <row r="21" spans="1:20" ht="40.5" customHeight="1" x14ac:dyDescent="0.3">
      <c r="A21" s="23">
        <v>10</v>
      </c>
      <c r="B21" s="23" t="s">
        <v>277</v>
      </c>
      <c r="C21" s="23"/>
      <c r="D21" s="23">
        <v>37</v>
      </c>
      <c r="E21" s="23"/>
      <c r="F21" s="23"/>
      <c r="G21" s="23"/>
      <c r="H21" s="23"/>
      <c r="I21" s="23">
        <v>1.5</v>
      </c>
      <c r="J21" s="23">
        <v>3</v>
      </c>
      <c r="K21" s="23">
        <f t="shared" si="0"/>
        <v>8.5</v>
      </c>
      <c r="L21" s="23">
        <v>3</v>
      </c>
      <c r="M21" s="23">
        <v>3</v>
      </c>
      <c r="N21" s="23"/>
      <c r="O21" s="23"/>
      <c r="P21" s="23"/>
      <c r="Q21" s="23"/>
      <c r="R21" s="23">
        <v>2.5</v>
      </c>
      <c r="S21" s="23"/>
      <c r="T21" s="23"/>
    </row>
    <row r="22" spans="1:20" ht="40.5" customHeight="1" x14ac:dyDescent="0.3">
      <c r="A22" s="23">
        <v>11</v>
      </c>
      <c r="B22" s="23" t="s">
        <v>278</v>
      </c>
      <c r="C22" s="23"/>
      <c r="D22" s="23">
        <v>36</v>
      </c>
      <c r="E22" s="23"/>
      <c r="F22" s="23"/>
      <c r="G22" s="23"/>
      <c r="H22" s="23"/>
      <c r="I22" s="23">
        <v>2</v>
      </c>
      <c r="J22" s="23">
        <v>3</v>
      </c>
      <c r="K22" s="23">
        <f t="shared" si="0"/>
        <v>7.5</v>
      </c>
      <c r="L22" s="23">
        <v>2</v>
      </c>
      <c r="M22" s="23">
        <v>1.5</v>
      </c>
      <c r="N22" s="23"/>
      <c r="O22" s="23"/>
      <c r="P22" s="23"/>
      <c r="Q22" s="23"/>
      <c r="R22" s="23">
        <v>4</v>
      </c>
      <c r="S22" s="23"/>
      <c r="T22" s="23"/>
    </row>
    <row r="23" spans="1:20" ht="40.5" customHeight="1" x14ac:dyDescent="0.3">
      <c r="A23" s="23">
        <v>12</v>
      </c>
      <c r="B23" s="23" t="s">
        <v>272</v>
      </c>
      <c r="C23" s="23"/>
      <c r="D23" s="23">
        <v>38</v>
      </c>
      <c r="E23" s="23"/>
      <c r="F23" s="23"/>
      <c r="G23" s="23"/>
      <c r="H23" s="23"/>
      <c r="I23" s="23">
        <v>3</v>
      </c>
      <c r="J23" s="23">
        <v>4.5</v>
      </c>
      <c r="K23" s="23">
        <f t="shared" si="0"/>
        <v>9.5</v>
      </c>
      <c r="L23" s="23">
        <v>2.5</v>
      </c>
      <c r="M23" s="23">
        <v>3</v>
      </c>
      <c r="N23" s="23"/>
      <c r="O23" s="23"/>
      <c r="P23" s="23"/>
      <c r="Q23" s="23"/>
      <c r="R23" s="23">
        <v>4</v>
      </c>
      <c r="S23" s="23"/>
      <c r="T23" s="23"/>
    </row>
    <row r="24" spans="1:20" ht="40.5" customHeight="1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 spans="1:20" ht="40.5" customHeight="1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 spans="1:20" ht="40.5" customHeight="1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 spans="1:20" ht="40.5" customHeight="1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8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8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3">
      <c r="A10" s="53" t="s">
        <v>120</v>
      </c>
      <c r="B10" s="53"/>
      <c r="C10" s="54" t="s">
        <v>121</v>
      </c>
      <c r="D10" s="54" t="s">
        <v>231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6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17" zoomScaleSheetLayoutView="100" workbookViewId="0">
      <selection activeCell="F99" sqref="F99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7" customFormat="1" ht="24.75" customHeight="1" x14ac:dyDescent="0.3">
      <c r="B2" s="28" t="s">
        <v>164</v>
      </c>
      <c r="F2" s="82" t="s">
        <v>165</v>
      </c>
      <c r="G2" s="82"/>
      <c r="H2" s="82"/>
    </row>
    <row r="3" spans="1:8" ht="24" customHeight="1" x14ac:dyDescent="0.3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3">
      <c r="A4" s="74"/>
      <c r="B4" s="74"/>
      <c r="C4" s="74"/>
      <c r="D4" s="74"/>
      <c r="E4" s="74"/>
      <c r="F4" s="17" t="s">
        <v>173</v>
      </c>
      <c r="G4" s="17" t="s">
        <v>174</v>
      </c>
      <c r="H4" s="74"/>
    </row>
    <row r="5" spans="1:8" ht="29.25" customHeight="1" x14ac:dyDescent="0.3">
      <c r="A5" s="11">
        <v>1</v>
      </c>
      <c r="B5" s="12" t="s">
        <v>280</v>
      </c>
      <c r="C5" s="12" t="s">
        <v>307</v>
      </c>
      <c r="D5" s="12">
        <v>3</v>
      </c>
      <c r="E5" s="12">
        <v>1.3</v>
      </c>
      <c r="F5" s="12" t="s">
        <v>314</v>
      </c>
      <c r="G5" s="12">
        <v>3</v>
      </c>
      <c r="H5" s="12"/>
    </row>
    <row r="6" spans="1:8" ht="29.25" customHeight="1" x14ac:dyDescent="0.3">
      <c r="A6" s="11">
        <v>2</v>
      </c>
      <c r="B6" s="12" t="s">
        <v>280</v>
      </c>
      <c r="C6" s="12" t="s">
        <v>307</v>
      </c>
      <c r="D6" s="12">
        <v>4</v>
      </c>
      <c r="E6" s="12">
        <v>2</v>
      </c>
      <c r="F6" s="12" t="s">
        <v>314</v>
      </c>
      <c r="G6" s="12">
        <v>8</v>
      </c>
      <c r="H6" s="12"/>
    </row>
    <row r="7" spans="1:8" ht="29.25" customHeight="1" x14ac:dyDescent="0.3">
      <c r="A7" s="11">
        <v>3</v>
      </c>
      <c r="B7" s="12" t="s">
        <v>277</v>
      </c>
      <c r="C7" s="12" t="s">
        <v>308</v>
      </c>
      <c r="D7" s="12">
        <v>7</v>
      </c>
      <c r="E7" s="12">
        <v>2.5</v>
      </c>
      <c r="F7" s="12" t="s">
        <v>315</v>
      </c>
      <c r="G7" s="12">
        <v>16</v>
      </c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29"/>
      <c r="B27" s="30"/>
      <c r="C27" s="31"/>
      <c r="D27" s="32"/>
      <c r="E27" s="33"/>
    </row>
    <row r="28" spans="1:8" ht="24.75" customHeight="1" x14ac:dyDescent="0.3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3">
      <c r="A29" s="11">
        <v>1</v>
      </c>
      <c r="B29" s="77" t="s">
        <v>176</v>
      </c>
      <c r="C29" s="77"/>
      <c r="D29" s="77"/>
      <c r="E29" s="77"/>
      <c r="F29" s="77"/>
      <c r="G29" s="77"/>
      <c r="H29" s="34" t="s">
        <v>281</v>
      </c>
    </row>
    <row r="30" spans="1:8" ht="31.5" customHeight="1" x14ac:dyDescent="0.3">
      <c r="A30" s="11">
        <v>2</v>
      </c>
      <c r="B30" s="77" t="s">
        <v>177</v>
      </c>
      <c r="C30" s="77"/>
      <c r="D30" s="77"/>
      <c r="E30" s="77"/>
      <c r="F30" s="77"/>
      <c r="G30" s="77"/>
      <c r="H30" s="34" t="s">
        <v>282</v>
      </c>
    </row>
    <row r="31" spans="1:8" ht="24.75" customHeight="1" x14ac:dyDescent="0.3">
      <c r="A31" s="11">
        <v>3</v>
      </c>
      <c r="B31" s="77" t="s">
        <v>178</v>
      </c>
      <c r="C31" s="77"/>
      <c r="D31" s="77"/>
      <c r="E31" s="77"/>
      <c r="F31" s="77"/>
      <c r="G31" s="77"/>
      <c r="H31" s="34" t="s">
        <v>283</v>
      </c>
    </row>
    <row r="32" spans="1:8" ht="24.75" customHeight="1" x14ac:dyDescent="0.3">
      <c r="A32" s="11">
        <v>4</v>
      </c>
      <c r="B32" s="78" t="s">
        <v>179</v>
      </c>
      <c r="C32" s="79"/>
      <c r="D32" s="79"/>
      <c r="E32" s="79"/>
      <c r="F32" s="79"/>
      <c r="G32" s="80"/>
      <c r="H32" s="34" t="s">
        <v>284</v>
      </c>
    </row>
    <row r="33" spans="1:8" ht="24.75" customHeight="1" x14ac:dyDescent="0.3">
      <c r="A33" s="11">
        <v>5</v>
      </c>
      <c r="B33" s="78" t="s">
        <v>180</v>
      </c>
      <c r="C33" s="79"/>
      <c r="D33" s="79"/>
      <c r="E33" s="79"/>
      <c r="F33" s="79"/>
      <c r="G33" s="80"/>
      <c r="H33" s="34" t="s">
        <v>285</v>
      </c>
    </row>
    <row r="34" spans="1:8" ht="22.2" customHeight="1" x14ac:dyDescent="0.3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3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3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2" customHeight="1" x14ac:dyDescent="0.3">
      <c r="A37" s="71"/>
      <c r="B37" s="71"/>
      <c r="C37" s="71"/>
      <c r="D37" s="74"/>
      <c r="E37" s="71"/>
      <c r="F37" s="17" t="s">
        <v>173</v>
      </c>
      <c r="G37" s="17" t="s">
        <v>174</v>
      </c>
      <c r="H37" s="71"/>
    </row>
    <row r="38" spans="1:8" ht="36" customHeight="1" x14ac:dyDescent="0.3">
      <c r="A38" s="11">
        <v>1</v>
      </c>
      <c r="B38" s="17" t="s">
        <v>277</v>
      </c>
      <c r="C38" s="17" t="s">
        <v>308</v>
      </c>
      <c r="D38" s="17">
        <v>4</v>
      </c>
      <c r="E38" s="17">
        <v>1</v>
      </c>
      <c r="F38" s="17" t="s">
        <v>315</v>
      </c>
      <c r="G38" s="17">
        <v>4</v>
      </c>
      <c r="H38" s="17"/>
    </row>
    <row r="39" spans="1:8" ht="36" customHeight="1" x14ac:dyDescent="0.3">
      <c r="A39" s="11">
        <v>2</v>
      </c>
      <c r="B39" s="17" t="s">
        <v>277</v>
      </c>
      <c r="C39" s="17" t="s">
        <v>308</v>
      </c>
      <c r="D39" s="17">
        <v>8</v>
      </c>
      <c r="E39" s="17">
        <v>1.5</v>
      </c>
      <c r="F39" s="17" t="s">
        <v>315</v>
      </c>
      <c r="G39" s="17">
        <v>10</v>
      </c>
      <c r="H39" s="17"/>
    </row>
    <row r="40" spans="1:8" ht="36" customHeight="1" x14ac:dyDescent="0.3">
      <c r="A40" s="11">
        <v>3</v>
      </c>
      <c r="B40" s="17" t="s">
        <v>277</v>
      </c>
      <c r="C40" s="17" t="s">
        <v>308</v>
      </c>
      <c r="D40" s="17">
        <v>3</v>
      </c>
      <c r="E40" s="17">
        <v>1</v>
      </c>
      <c r="F40" s="17" t="s">
        <v>315</v>
      </c>
      <c r="G40" s="17">
        <v>3</v>
      </c>
      <c r="H40" s="17"/>
    </row>
    <row r="41" spans="1:8" ht="36" customHeight="1" x14ac:dyDescent="0.3">
      <c r="A41" s="11">
        <v>4</v>
      </c>
      <c r="B41" s="17" t="s">
        <v>286</v>
      </c>
      <c r="C41" s="17" t="s">
        <v>309</v>
      </c>
      <c r="D41" s="17">
        <v>8</v>
      </c>
      <c r="E41" s="17">
        <v>3</v>
      </c>
      <c r="F41" s="17" t="s">
        <v>314</v>
      </c>
      <c r="G41" s="17">
        <v>27</v>
      </c>
      <c r="H41" s="17"/>
    </row>
    <row r="42" spans="1:8" ht="36" customHeight="1" x14ac:dyDescent="0.3">
      <c r="A42" s="11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3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3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3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3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3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3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3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3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3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3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3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3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3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3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3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3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287</v>
      </c>
    </row>
    <row r="61" spans="1:8" ht="38.25" customHeight="1" x14ac:dyDescent="0.3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288</v>
      </c>
    </row>
    <row r="62" spans="1:8" ht="25.5" customHeight="1" x14ac:dyDescent="0.3">
      <c r="A62" s="11">
        <v>3</v>
      </c>
      <c r="B62" s="77" t="s">
        <v>178</v>
      </c>
      <c r="C62" s="77"/>
      <c r="D62" s="77"/>
      <c r="E62" s="77"/>
      <c r="F62" s="77"/>
      <c r="G62" s="77"/>
      <c r="H62" s="11">
        <v>0</v>
      </c>
    </row>
    <row r="63" spans="1:8" ht="25.5" customHeight="1" x14ac:dyDescent="0.3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281</v>
      </c>
    </row>
    <row r="64" spans="1:8" ht="24.75" customHeight="1" x14ac:dyDescent="0.3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289</v>
      </c>
    </row>
    <row r="65" spans="1:8" ht="20.399999999999999" customHeight="1" x14ac:dyDescent="0.3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3">
      <c r="B66" s="36" t="str">
        <f>B2</f>
        <v xml:space="preserve">    Grid No:  </v>
      </c>
      <c r="F66" s="28" t="s">
        <v>240</v>
      </c>
      <c r="G66" s="28"/>
    </row>
    <row r="67" spans="1:8" ht="29.4" customHeight="1" x14ac:dyDescent="0.3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2.4" x14ac:dyDescent="0.3">
      <c r="A68" s="71"/>
      <c r="B68" s="71"/>
      <c r="C68" s="71"/>
      <c r="D68" s="74"/>
      <c r="E68" s="71"/>
      <c r="F68" s="17" t="s">
        <v>173</v>
      </c>
      <c r="G68" s="17" t="s">
        <v>174</v>
      </c>
      <c r="H68" s="71"/>
    </row>
    <row r="69" spans="1:8" s="27" customFormat="1" ht="41.25" customHeight="1" x14ac:dyDescent="0.3">
      <c r="A69" s="11">
        <v>1</v>
      </c>
      <c r="B69" s="39" t="s">
        <v>272</v>
      </c>
      <c r="C69" s="11" t="s">
        <v>310</v>
      </c>
      <c r="D69" s="11">
        <v>5</v>
      </c>
      <c r="E69" s="11">
        <v>1.8</v>
      </c>
      <c r="F69" s="11" t="s">
        <v>316</v>
      </c>
      <c r="G69" s="11">
        <v>5.5</v>
      </c>
      <c r="H69" s="11"/>
    </row>
    <row r="70" spans="1:8" s="27" customFormat="1" ht="41.25" customHeight="1" x14ac:dyDescent="0.3">
      <c r="A70" s="11">
        <v>2</v>
      </c>
      <c r="B70" s="39" t="s">
        <v>277</v>
      </c>
      <c r="C70" s="11" t="s">
        <v>308</v>
      </c>
      <c r="D70" s="11">
        <v>4</v>
      </c>
      <c r="E70" s="11">
        <v>2.2000000000000002</v>
      </c>
      <c r="F70" s="11" t="s">
        <v>315</v>
      </c>
      <c r="G70" s="11">
        <v>10</v>
      </c>
      <c r="H70" s="11"/>
    </row>
    <row r="71" spans="1:8" s="27" customFormat="1" ht="41.25" customHeight="1" x14ac:dyDescent="0.3">
      <c r="A71" s="11">
        <v>3</v>
      </c>
      <c r="B71" s="39" t="s">
        <v>311</v>
      </c>
      <c r="C71" s="11" t="s">
        <v>290</v>
      </c>
      <c r="D71" s="11">
        <v>6</v>
      </c>
      <c r="E71" s="11">
        <v>2.5</v>
      </c>
      <c r="F71" s="11" t="s">
        <v>317</v>
      </c>
      <c r="G71" s="11">
        <v>18</v>
      </c>
      <c r="H71" s="11"/>
    </row>
    <row r="72" spans="1:8" s="27" customFormat="1" ht="41.25" customHeight="1" x14ac:dyDescent="0.3">
      <c r="A72" s="11">
        <v>4</v>
      </c>
      <c r="B72" s="39"/>
      <c r="C72" s="11"/>
      <c r="D72" s="11"/>
      <c r="F72" s="11"/>
      <c r="G72" s="11"/>
      <c r="H72" s="11"/>
    </row>
    <row r="73" spans="1:8" s="27" customFormat="1" ht="41.25" customHeight="1" x14ac:dyDescent="0.3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3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3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3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3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3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3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3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3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3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3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3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3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3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3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3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3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3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3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3">
      <c r="A92" s="29"/>
      <c r="B92" s="29"/>
      <c r="C92" s="29"/>
      <c r="D92" s="29"/>
      <c r="E92" s="29"/>
      <c r="F92" s="29"/>
      <c r="G92" s="29"/>
      <c r="H92" s="29"/>
    </row>
    <row r="93" spans="1:8" ht="22.95" customHeight="1" x14ac:dyDescent="0.3">
      <c r="B93" s="36" t="str">
        <f>B2</f>
        <v xml:space="preserve">    Grid No:  </v>
      </c>
      <c r="F93" s="72" t="s">
        <v>241</v>
      </c>
      <c r="G93" s="72"/>
      <c r="H93" s="72"/>
    </row>
    <row r="94" spans="1:8" ht="24" customHeight="1" x14ac:dyDescent="0.3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3">
      <c r="A95" s="74"/>
      <c r="B95" s="74"/>
      <c r="C95" s="74"/>
      <c r="D95" s="74"/>
      <c r="E95" s="74"/>
      <c r="F95" s="17" t="s">
        <v>173</v>
      </c>
      <c r="G95" s="17" t="s">
        <v>174</v>
      </c>
      <c r="H95" s="74"/>
    </row>
    <row r="96" spans="1:8" s="27" customFormat="1" ht="39" customHeight="1" x14ac:dyDescent="0.3">
      <c r="A96" s="40">
        <v>1</v>
      </c>
      <c r="B96" s="39" t="s">
        <v>280</v>
      </c>
      <c r="C96" s="11" t="s">
        <v>307</v>
      </c>
      <c r="D96" s="40">
        <v>3</v>
      </c>
      <c r="E96" s="41">
        <v>1.5</v>
      </c>
      <c r="F96" s="22" t="s">
        <v>314</v>
      </c>
      <c r="G96" s="22">
        <v>3.6</v>
      </c>
      <c r="H96" s="22"/>
    </row>
    <row r="97" spans="1:8" s="27" customFormat="1" ht="39" customHeight="1" x14ac:dyDescent="0.3">
      <c r="A97" s="40">
        <v>2</v>
      </c>
      <c r="B97" s="39" t="s">
        <v>272</v>
      </c>
      <c r="C97" s="11" t="s">
        <v>310</v>
      </c>
      <c r="D97" s="40">
        <v>6</v>
      </c>
      <c r="E97" s="41">
        <v>2.5</v>
      </c>
      <c r="F97" s="22" t="s">
        <v>316</v>
      </c>
      <c r="G97" s="22">
        <v>18</v>
      </c>
      <c r="H97" s="22"/>
    </row>
    <row r="98" spans="1:8" s="27" customFormat="1" ht="39" customHeight="1" x14ac:dyDescent="0.3">
      <c r="A98" s="40">
        <v>3</v>
      </c>
      <c r="B98" s="39" t="s">
        <v>311</v>
      </c>
      <c r="C98" s="11" t="s">
        <v>290</v>
      </c>
      <c r="D98" s="40">
        <v>8</v>
      </c>
      <c r="E98" s="41">
        <v>2</v>
      </c>
      <c r="F98" s="22" t="s">
        <v>317</v>
      </c>
      <c r="G98" s="22">
        <v>18</v>
      </c>
      <c r="H98" s="22"/>
    </row>
    <row r="99" spans="1:8" s="27" customFormat="1" ht="39" customHeight="1" x14ac:dyDescent="0.3">
      <c r="A99" s="40">
        <v>4</v>
      </c>
      <c r="B99" s="39"/>
      <c r="C99" s="11"/>
      <c r="D99" s="40"/>
      <c r="E99" s="41"/>
      <c r="F99" s="22"/>
      <c r="G99" s="22"/>
      <c r="H99" s="22"/>
    </row>
    <row r="100" spans="1:8" s="27" customFormat="1" ht="39" customHeight="1" x14ac:dyDescent="0.3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3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3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3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3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3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3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3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3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3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3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3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3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3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3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3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3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3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3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61" zoomScale="60" zoomScaleNormal="85" workbookViewId="0">
      <selection activeCell="E44" sqref="E44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1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3">
      <c r="E2" s="82" t="s">
        <v>165</v>
      </c>
      <c r="F2" s="82"/>
      <c r="G2" s="82"/>
    </row>
    <row r="3" spans="1:7" ht="45.6" customHeight="1" x14ac:dyDescent="0.3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3">
      <c r="A4" s="71"/>
      <c r="B4" s="71"/>
      <c r="C4" s="58"/>
      <c r="D4" s="71"/>
      <c r="E4" s="17" t="s">
        <v>187</v>
      </c>
      <c r="F4" s="17" t="s">
        <v>188</v>
      </c>
      <c r="G4" s="71"/>
    </row>
    <row r="5" spans="1:7" ht="45.6" customHeight="1" x14ac:dyDescent="0.3">
      <c r="A5" s="71"/>
      <c r="B5" s="71"/>
      <c r="C5" s="58"/>
      <c r="D5" s="71"/>
      <c r="E5" s="17" t="s">
        <v>189</v>
      </c>
      <c r="F5" s="17" t="s">
        <v>221</v>
      </c>
      <c r="G5" s="71"/>
    </row>
    <row r="6" spans="1:7" ht="45.6" customHeight="1" x14ac:dyDescent="0.3">
      <c r="A6" s="11">
        <v>1</v>
      </c>
      <c r="B6" s="17" t="s">
        <v>291</v>
      </c>
      <c r="C6" s="44" t="s">
        <v>312</v>
      </c>
      <c r="D6" s="17">
        <v>30</v>
      </c>
      <c r="E6" s="17" t="s">
        <v>318</v>
      </c>
      <c r="F6" s="17">
        <v>170</v>
      </c>
      <c r="G6" s="17"/>
    </row>
    <row r="7" spans="1:7" ht="45.6" customHeight="1" x14ac:dyDescent="0.3">
      <c r="A7" s="11">
        <v>2</v>
      </c>
      <c r="B7" s="17" t="s">
        <v>280</v>
      </c>
      <c r="C7" s="44" t="s">
        <v>307</v>
      </c>
      <c r="D7" s="17">
        <v>47</v>
      </c>
      <c r="E7" s="17" t="s">
        <v>314</v>
      </c>
      <c r="F7" s="17">
        <v>220</v>
      </c>
      <c r="G7" s="17"/>
    </row>
    <row r="8" spans="1:7" ht="45.6" customHeight="1" x14ac:dyDescent="0.3">
      <c r="A8" s="11">
        <v>3</v>
      </c>
      <c r="B8" s="17" t="s">
        <v>280</v>
      </c>
      <c r="C8" s="44" t="s">
        <v>307</v>
      </c>
      <c r="D8" s="17">
        <v>66</v>
      </c>
      <c r="E8" s="17" t="s">
        <v>314</v>
      </c>
      <c r="F8" s="17">
        <v>240</v>
      </c>
      <c r="G8" s="17"/>
    </row>
    <row r="9" spans="1:7" ht="45.6" customHeight="1" x14ac:dyDescent="0.3">
      <c r="A9" s="11">
        <v>4</v>
      </c>
      <c r="B9" s="17" t="s">
        <v>280</v>
      </c>
      <c r="C9" s="44" t="s">
        <v>307</v>
      </c>
      <c r="D9" s="17">
        <v>48</v>
      </c>
      <c r="E9" s="17" t="s">
        <v>314</v>
      </c>
      <c r="F9" s="17">
        <v>200</v>
      </c>
      <c r="G9" s="17"/>
    </row>
    <row r="10" spans="1:7" ht="45.6" customHeight="1" x14ac:dyDescent="0.3">
      <c r="A10" s="11">
        <v>5</v>
      </c>
      <c r="B10" s="17" t="s">
        <v>292</v>
      </c>
      <c r="C10" s="44"/>
      <c r="D10" s="17">
        <v>37</v>
      </c>
      <c r="E10" s="17" t="s">
        <v>314</v>
      </c>
      <c r="F10" s="17">
        <v>185</v>
      </c>
      <c r="G10" s="17"/>
    </row>
    <row r="11" spans="1:7" ht="45.6" customHeight="1" x14ac:dyDescent="0.3">
      <c r="A11" s="11">
        <v>6</v>
      </c>
      <c r="B11" s="17"/>
      <c r="C11" s="44"/>
      <c r="D11" s="17"/>
      <c r="E11" s="17"/>
      <c r="F11" s="17"/>
      <c r="G11" s="17"/>
    </row>
    <row r="12" spans="1:7" ht="45.6" customHeight="1" x14ac:dyDescent="0.3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3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3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3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3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3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3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3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3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3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3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3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3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3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3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3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3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3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3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3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3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3">
      <c r="B35" s="45" t="s">
        <v>191</v>
      </c>
      <c r="C35" s="46"/>
      <c r="E35" s="81" t="s">
        <v>192</v>
      </c>
      <c r="F35" s="81"/>
      <c r="G35" s="81"/>
    </row>
    <row r="36" spans="1:7" ht="45.6" customHeight="1" x14ac:dyDescent="0.3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3">
      <c r="A37" s="71"/>
      <c r="B37" s="71"/>
      <c r="C37" s="84"/>
      <c r="D37" s="71"/>
      <c r="E37" s="17" t="s">
        <v>187</v>
      </c>
      <c r="F37" s="17" t="s">
        <v>188</v>
      </c>
      <c r="G37" s="71"/>
    </row>
    <row r="38" spans="1:7" ht="45.6" customHeight="1" x14ac:dyDescent="0.3">
      <c r="A38" s="71"/>
      <c r="B38" s="71"/>
      <c r="C38" s="85"/>
      <c r="D38" s="71"/>
      <c r="E38" s="17" t="s">
        <v>189</v>
      </c>
      <c r="F38" s="17" t="s">
        <v>190</v>
      </c>
      <c r="G38" s="71"/>
    </row>
    <row r="39" spans="1:7" s="27" customFormat="1" ht="45.6" customHeight="1" x14ac:dyDescent="0.3">
      <c r="A39" s="40">
        <v>1</v>
      </c>
      <c r="B39" s="22" t="s">
        <v>280</v>
      </c>
      <c r="C39" s="47" t="s">
        <v>307</v>
      </c>
      <c r="D39" s="40">
        <v>45</v>
      </c>
      <c r="E39" s="22" t="s">
        <v>314</v>
      </c>
      <c r="F39" s="22">
        <v>200</v>
      </c>
      <c r="G39" s="22"/>
    </row>
    <row r="40" spans="1:7" s="27" customFormat="1" ht="45.6" customHeight="1" x14ac:dyDescent="0.3">
      <c r="A40" s="40">
        <v>2</v>
      </c>
      <c r="B40" s="22" t="s">
        <v>280</v>
      </c>
      <c r="C40" s="47" t="s">
        <v>307</v>
      </c>
      <c r="D40" s="40">
        <v>55</v>
      </c>
      <c r="E40" s="22" t="s">
        <v>314</v>
      </c>
      <c r="F40" s="22">
        <v>220</v>
      </c>
      <c r="G40" s="22"/>
    </row>
    <row r="41" spans="1:7" s="27" customFormat="1" ht="45.6" customHeight="1" x14ac:dyDescent="0.3">
      <c r="A41" s="40">
        <v>3</v>
      </c>
      <c r="B41" s="22" t="s">
        <v>280</v>
      </c>
      <c r="C41" s="47" t="s">
        <v>307</v>
      </c>
      <c r="D41" s="40">
        <v>51</v>
      </c>
      <c r="E41" s="22" t="s">
        <v>314</v>
      </c>
      <c r="F41" s="22">
        <v>210</v>
      </c>
      <c r="G41" s="22"/>
    </row>
    <row r="42" spans="1:7" s="27" customFormat="1" ht="45.6" customHeight="1" x14ac:dyDescent="0.3">
      <c r="A42" s="40">
        <v>4</v>
      </c>
      <c r="B42" s="22" t="s">
        <v>293</v>
      </c>
      <c r="C42" s="47"/>
      <c r="D42" s="40">
        <v>55</v>
      </c>
      <c r="E42" s="22" t="s">
        <v>319</v>
      </c>
      <c r="F42" s="22">
        <v>230</v>
      </c>
      <c r="G42" s="22"/>
    </row>
    <row r="43" spans="1:7" s="27" customFormat="1" ht="45.6" customHeight="1" x14ac:dyDescent="0.3">
      <c r="A43" s="40">
        <v>5</v>
      </c>
      <c r="B43" s="22" t="s">
        <v>313</v>
      </c>
      <c r="C43" s="22" t="s">
        <v>294</v>
      </c>
      <c r="D43" s="40">
        <v>33</v>
      </c>
      <c r="E43" s="22" t="s">
        <v>314</v>
      </c>
      <c r="F43" s="22">
        <v>175</v>
      </c>
      <c r="G43" s="22"/>
    </row>
    <row r="44" spans="1:7" s="27" customFormat="1" ht="45.6" customHeight="1" x14ac:dyDescent="0.3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3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3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3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3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3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3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3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3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3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3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3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3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3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3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3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3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3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9" zoomScaleSheetLayoutView="100" workbookViewId="0">
      <selection activeCell="B15" sqref="B15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3"/>
      <c r="B7" s="23">
        <v>10</v>
      </c>
      <c r="C7" s="23"/>
      <c r="D7" s="23"/>
      <c r="E7" s="23"/>
      <c r="F7" s="23"/>
      <c r="G7" s="23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3" customFormat="1" ht="75" customHeight="1" x14ac:dyDescent="0.3">
      <c r="A10" s="54"/>
      <c r="B10" s="4" t="s">
        <v>167</v>
      </c>
      <c r="C10" s="4" t="s">
        <v>210</v>
      </c>
      <c r="D10" s="4" t="s">
        <v>232</v>
      </c>
      <c r="E10" s="4" t="s">
        <v>211</v>
      </c>
      <c r="F10" s="4" t="s">
        <v>209</v>
      </c>
      <c r="G10" s="4" t="s">
        <v>232</v>
      </c>
      <c r="H10" s="4" t="s">
        <v>222</v>
      </c>
    </row>
    <row r="11" spans="1:11" ht="24.75" customHeight="1" x14ac:dyDescent="0.3">
      <c r="A11" s="23" t="s">
        <v>64</v>
      </c>
      <c r="B11" s="23" t="s">
        <v>212</v>
      </c>
      <c r="C11" s="23" t="s">
        <v>142</v>
      </c>
      <c r="D11" s="23" t="s">
        <v>91</v>
      </c>
      <c r="E11" s="23" t="s">
        <v>213</v>
      </c>
      <c r="F11" s="23" t="s">
        <v>214</v>
      </c>
      <c r="G11" s="23" t="s">
        <v>215</v>
      </c>
      <c r="H11" s="23" t="s">
        <v>216</v>
      </c>
    </row>
    <row r="12" spans="1:11" ht="39.75" customHeight="1" x14ac:dyDescent="0.3">
      <c r="A12" s="23">
        <v>1</v>
      </c>
      <c r="B12" s="23" t="s">
        <v>272</v>
      </c>
      <c r="C12" s="23"/>
      <c r="D12" s="23"/>
      <c r="E12" s="23"/>
      <c r="F12" s="23"/>
      <c r="G12" s="23">
        <v>88</v>
      </c>
      <c r="H12" s="23">
        <v>1500</v>
      </c>
    </row>
    <row r="13" spans="1:11" ht="39.7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3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3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3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3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226</v>
      </c>
      <c r="B1" s="53"/>
      <c r="C1" s="53"/>
      <c r="D1" s="53"/>
      <c r="E1" s="53"/>
    </row>
    <row r="2" spans="1:8" ht="25.5" customHeight="1" x14ac:dyDescent="0.3">
      <c r="A2" s="2" t="s">
        <v>227</v>
      </c>
      <c r="B2" s="2" t="s">
        <v>233</v>
      </c>
      <c r="C2" s="2" t="s">
        <v>234</v>
      </c>
      <c r="D2" s="2" t="s">
        <v>235</v>
      </c>
      <c r="E2" s="2" t="s">
        <v>228</v>
      </c>
    </row>
    <row r="3" spans="1:8" ht="35.25" customHeight="1" x14ac:dyDescent="0.3">
      <c r="A3" s="23">
        <v>1</v>
      </c>
      <c r="B3" s="23"/>
      <c r="C3" s="23"/>
      <c r="D3" s="23"/>
      <c r="E3" s="23"/>
    </row>
    <row r="4" spans="1:8" ht="35.25" customHeight="1" x14ac:dyDescent="0.3">
      <c r="A4" s="23">
        <v>2</v>
      </c>
      <c r="B4" s="23"/>
      <c r="C4" s="23"/>
      <c r="D4" s="23"/>
      <c r="E4" s="23"/>
    </row>
    <row r="5" spans="1:8" ht="35.25" customHeight="1" x14ac:dyDescent="0.3">
      <c r="A5" s="23">
        <v>3</v>
      </c>
      <c r="B5" s="23"/>
      <c r="C5" s="23"/>
      <c r="D5" s="23"/>
      <c r="E5" s="23"/>
    </row>
    <row r="6" spans="1:8" ht="35.25" customHeight="1" x14ac:dyDescent="0.3">
      <c r="A6" s="23">
        <v>4</v>
      </c>
      <c r="B6" s="23"/>
      <c r="C6" s="23"/>
      <c r="D6" s="23"/>
      <c r="E6" s="23"/>
      <c r="H6" t="s">
        <v>229</v>
      </c>
    </row>
    <row r="7" spans="1:8" ht="35.25" customHeight="1" x14ac:dyDescent="0.3">
      <c r="A7" s="23">
        <v>5</v>
      </c>
      <c r="B7" s="23"/>
      <c r="C7" s="23"/>
      <c r="D7" s="23"/>
      <c r="E7" s="23"/>
    </row>
    <row r="8" spans="1:8" ht="35.25" customHeight="1" x14ac:dyDescent="0.3">
      <c r="A8" s="23">
        <v>6</v>
      </c>
      <c r="B8" s="23"/>
      <c r="C8" s="23"/>
      <c r="D8" s="23"/>
      <c r="E8" s="23"/>
    </row>
    <row r="9" spans="1:8" ht="35.25" customHeight="1" x14ac:dyDescent="0.3">
      <c r="A9" s="23">
        <v>7</v>
      </c>
      <c r="B9" s="23"/>
      <c r="C9" s="23"/>
      <c r="D9" s="23"/>
      <c r="E9" s="23"/>
    </row>
    <row r="10" spans="1:8" ht="35.25" customHeight="1" x14ac:dyDescent="0.3">
      <c r="A10" s="23">
        <v>8</v>
      </c>
      <c r="B10" s="23"/>
      <c r="C10" s="23"/>
      <c r="D10" s="23"/>
      <c r="E10" s="23"/>
    </row>
    <row r="11" spans="1:8" ht="35.25" customHeight="1" x14ac:dyDescent="0.3">
      <c r="A11" s="23">
        <v>9</v>
      </c>
      <c r="B11" s="49"/>
      <c r="C11" s="49"/>
      <c r="D11" s="49"/>
      <c r="E11" s="49"/>
    </row>
    <row r="12" spans="1:8" ht="35.25" customHeight="1" x14ac:dyDescent="0.3">
      <c r="A12" s="23">
        <v>10</v>
      </c>
      <c r="B12" s="49"/>
      <c r="C12" s="49"/>
      <c r="D12" s="49"/>
      <c r="E12" s="49"/>
    </row>
    <row r="13" spans="1:8" ht="35.25" customHeight="1" x14ac:dyDescent="0.3">
      <c r="A13" s="23">
        <v>11</v>
      </c>
      <c r="B13" s="49"/>
      <c r="C13" s="49"/>
      <c r="D13" s="49"/>
      <c r="E13" s="49"/>
    </row>
    <row r="14" spans="1:8" ht="35.25" customHeight="1" x14ac:dyDescent="0.3">
      <c r="A14" s="23">
        <v>12</v>
      </c>
      <c r="B14" s="49"/>
      <c r="C14" s="49"/>
      <c r="D14" s="49"/>
      <c r="E14" s="49"/>
    </row>
    <row r="15" spans="1:8" ht="35.25" customHeight="1" x14ac:dyDescent="0.3">
      <c r="A15" s="23">
        <v>13</v>
      </c>
      <c r="B15" s="49"/>
      <c r="C15" s="49"/>
      <c r="D15" s="49"/>
      <c r="E15" s="49"/>
    </row>
    <row r="16" spans="1:8" ht="35.25" customHeight="1" x14ac:dyDescent="0.3">
      <c r="A16" s="23">
        <v>14</v>
      </c>
      <c r="B16" s="49"/>
      <c r="C16" s="49"/>
      <c r="D16" s="49"/>
      <c r="E16" s="49"/>
    </row>
    <row r="17" spans="1:5" ht="35.25" customHeight="1" x14ac:dyDescent="0.3">
      <c r="A17" s="23">
        <v>15</v>
      </c>
      <c r="B17" s="49"/>
      <c r="C17" s="49"/>
      <c r="D17" s="49"/>
      <c r="E17" s="49"/>
    </row>
    <row r="19" spans="1:5" ht="25.5" customHeight="1" x14ac:dyDescent="0.3">
      <c r="A19" s="53" t="s">
        <v>236</v>
      </c>
      <c r="B19" s="53"/>
      <c r="C19" s="53"/>
      <c r="D19" s="53"/>
      <c r="E19" s="53"/>
    </row>
    <row r="20" spans="1:5" ht="36" customHeight="1" x14ac:dyDescent="0.3">
      <c r="A20" s="2" t="s">
        <v>227</v>
      </c>
      <c r="B20" s="2" t="s">
        <v>120</v>
      </c>
      <c r="C20" s="2" t="s">
        <v>237</v>
      </c>
      <c r="D20" s="4" t="s">
        <v>238</v>
      </c>
      <c r="E20" s="2" t="s">
        <v>19</v>
      </c>
    </row>
    <row r="21" spans="1:5" ht="39" customHeight="1" x14ac:dyDescent="0.3">
      <c r="A21" s="23">
        <v>1</v>
      </c>
      <c r="B21" s="49"/>
      <c r="C21" s="49"/>
      <c r="D21" s="49"/>
      <c r="E21" s="49"/>
    </row>
    <row r="22" spans="1:5" ht="39" customHeight="1" x14ac:dyDescent="0.3">
      <c r="A22" s="23">
        <v>2</v>
      </c>
      <c r="B22" s="49"/>
      <c r="C22" s="49"/>
      <c r="D22" s="49"/>
      <c r="E22" s="49"/>
    </row>
    <row r="23" spans="1:5" ht="39" customHeight="1" x14ac:dyDescent="0.3">
      <c r="A23" s="23">
        <v>3</v>
      </c>
      <c r="B23" s="49"/>
      <c r="C23" s="49"/>
      <c r="D23" s="49"/>
      <c r="E23" s="49"/>
    </row>
    <row r="24" spans="1:5" ht="39" customHeight="1" x14ac:dyDescent="0.3">
      <c r="A24" s="23">
        <v>4</v>
      </c>
      <c r="B24" s="49"/>
      <c r="C24" s="49"/>
      <c r="D24" s="49"/>
      <c r="E24" s="49"/>
    </row>
    <row r="25" spans="1:5" ht="39" customHeight="1" x14ac:dyDescent="0.3">
      <c r="A25" s="23">
        <v>5</v>
      </c>
      <c r="B25" s="49"/>
      <c r="C25" s="49"/>
      <c r="D25" s="49"/>
      <c r="E25" s="49"/>
    </row>
    <row r="26" spans="1:5" ht="39" customHeight="1" x14ac:dyDescent="0.3">
      <c r="A26" s="23">
        <v>6</v>
      </c>
      <c r="B26" s="49"/>
      <c r="C26" s="49"/>
      <c r="D26" s="49"/>
      <c r="E26" s="49"/>
    </row>
    <row r="27" spans="1:5" ht="39" customHeight="1" x14ac:dyDescent="0.3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2024-07-13T10:22:34Z</dcterms:modified>
</cp:coreProperties>
</file>