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4\"/>
    </mc:Choice>
  </mc:AlternateContent>
  <xr:revisionPtr revIDLastSave="0" documentId="13_ncr:1_{C2CCE6B1-70F6-434A-98C1-C141EF96E99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6" i="8"/>
  <c r="B29" i="8"/>
  <c r="B16" i="8"/>
</calcChain>
</file>

<file path=xl/sharedStrings.xml><?xml version="1.0" encoding="utf-8"?>
<sst xmlns="http://schemas.openxmlformats.org/spreadsheetml/2006/main" count="306" uniqueCount="193">
  <si>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</si>
  <si>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</si>
  <si>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</si>
  <si>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</si>
  <si>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</si>
  <si>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</si>
  <si>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</si>
  <si>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</si>
  <si>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</si>
  <si>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</si>
  <si>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</si>
  <si>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</si>
  <si>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</si>
  <si>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</si>
  <si>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</si>
  <si>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</si>
  <si>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</si>
  <si>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</si>
  <si>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</si>
  <si>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</si>
  <si>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</si>
  <si>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</si>
  <si>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</si>
  <si>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</si>
  <si>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</si>
  <si>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</si>
  <si>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</si>
  <si>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</si>
  <si>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</si>
  <si>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</si>
  <si>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</si>
  <si>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</si>
  <si>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</si>
  <si>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</si>
  <si>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</si>
  <si>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</si>
  <si>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</si>
  <si>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</si>
  <si>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</si>
  <si>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</si>
  <si>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</si>
  <si>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</si>
  <si>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</si>
  <si>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</si>
  <si>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</si>
  <si>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</si>
  <si>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</si>
  <si>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</si>
  <si>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</si>
  <si>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</si>
  <si>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</si>
  <si>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</si>
  <si>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</si>
  <si>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</si>
  <si>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</si>
  <si>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</si>
  <si>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</si>
  <si>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</si>
  <si>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</si>
  <si>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</si>
  <si>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</si>
  <si>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</si>
  <si>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</si>
  <si>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</si>
  <si>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</si>
  <si>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</si>
  <si>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</si>
  <si>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</si>
  <si>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</si>
  <si>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</si>
  <si>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</si>
  <si>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</si>
  <si>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</si>
  <si>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</si>
  <si>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 Charmadi ghat view point upto N.13.0770913, E 75.459759 in 334 degree bearing for 318m</t>
  </si>
  <si>
    <t xml:space="preserve">Terminalia paniculata , Hopea ponga , Terminalia catappa </t>
  </si>
  <si>
    <t>Tract - Hilly</t>
  </si>
  <si>
    <t>Aspect - No aspect</t>
  </si>
  <si>
    <t>Soil - Humus rich black soil</t>
  </si>
  <si>
    <t xml:space="preserve">Grasses -Themeda quadrivalvis </t>
  </si>
  <si>
    <t>Weeds -Chromolaena odorata</t>
  </si>
  <si>
    <t>Herbs - Ferns</t>
  </si>
  <si>
    <t xml:space="preserve">Shrubs -Memecylon talbotianum , Hopea ponga </t>
  </si>
  <si>
    <t xml:space="preserve">Underwood species – Holigarna arnattiana , Arenga whitii, Myristica malabarica </t>
  </si>
  <si>
    <t xml:space="preserve">Climbers -Gnetum ula </t>
  </si>
  <si>
    <t xml:space="preserve">Rattans –Calamus thwiitesii Calamus rotung </t>
  </si>
  <si>
    <t>Stream flowing</t>
  </si>
  <si>
    <r>
      <rPr>
        <b/>
        <sz val="12"/>
        <rFont val="Times New Roman"/>
        <family val="1"/>
      </rPr>
      <t>Reserve Forest /</t>
    </r>
    <r>
      <rPr>
        <sz val="12"/>
        <rFont val="Times New Roman"/>
        <family val="1"/>
      </rPr>
      <t xml:space="preserve"> 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</si>
  <si>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>/Dense Fores</t>
    </r>
    <r>
      <rPr>
        <sz val="12"/>
        <rFont val="Times New Roman"/>
        <family val="1"/>
      </rPr>
      <t>t /Open Forest / Scrub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</si>
  <si>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</si>
  <si>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</si>
  <si>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</si>
  <si>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Sandy loam</t>
  </si>
  <si>
    <t>Depth- Shallow</t>
  </si>
  <si>
    <t>Permiability-Good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</si>
  <si>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</si>
  <si>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Macaranga peltata Knema attenuata Ixora brachiata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</si>
  <si>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</si>
  <si>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</si>
  <si>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Elephant walking path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</si>
  <si>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</si>
  <si>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</si>
  <si>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</si>
  <si>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Stream</t>
  </si>
  <si>
    <t xml:space="preserve">Olea dioca </t>
  </si>
  <si>
    <t xml:space="preserve">Hopea ponga </t>
  </si>
  <si>
    <t xml:space="preserve">Gnetum ula </t>
  </si>
  <si>
    <t xml:space="preserve">Holigarna arnattiana </t>
  </si>
  <si>
    <t xml:space="preserve">Macaranga peltata </t>
  </si>
  <si>
    <t>Saraca asoka</t>
  </si>
  <si>
    <t xml:space="preserve">Flacourtia montana </t>
  </si>
  <si>
    <t>Karekumara</t>
  </si>
  <si>
    <t xml:space="preserve">Ixora brachiata </t>
  </si>
  <si>
    <t xml:space="preserve">Veteria indica </t>
  </si>
  <si>
    <t>Maddhalsu</t>
  </si>
  <si>
    <t xml:space="preserve">Myristica malabarica </t>
  </si>
  <si>
    <t xml:space="preserve">Knema attenuata </t>
  </si>
  <si>
    <t>30g</t>
  </si>
  <si>
    <t>180g</t>
  </si>
  <si>
    <t>6kg</t>
  </si>
  <si>
    <t xml:space="preserve">Leea indica </t>
  </si>
  <si>
    <t xml:space="preserve">Calamus rotung </t>
  </si>
  <si>
    <t>19g</t>
  </si>
  <si>
    <t>530g</t>
  </si>
  <si>
    <t>8kg</t>
  </si>
  <si>
    <t xml:space="preserve">Memecylon talbotianum </t>
  </si>
  <si>
    <t xml:space="preserve">Garcinia gummi-gutta </t>
  </si>
  <si>
    <t xml:space="preserve">Garcinia morella </t>
  </si>
  <si>
    <t>Fern</t>
  </si>
  <si>
    <t>Insulin Plant</t>
  </si>
  <si>
    <t>Belthangady</t>
  </si>
  <si>
    <t xml:space="preserve">Charmady kanapady RF </t>
  </si>
  <si>
    <t>II-4</t>
  </si>
  <si>
    <t>Bamboos -NIL</t>
  </si>
  <si>
    <t>Canopy Dencity -0.33</t>
  </si>
  <si>
    <t>NTFP yieding sps –NIL</t>
  </si>
  <si>
    <t>NIL</t>
  </si>
  <si>
    <t>1616 ft</t>
  </si>
  <si>
    <t xml:space="preserve">Unknow </t>
  </si>
  <si>
    <t>Mangalore Division</t>
  </si>
  <si>
    <t>Unknown</t>
  </si>
  <si>
    <t>Ramapatre</t>
  </si>
  <si>
    <t>Rakta Mara</t>
  </si>
  <si>
    <t>Kodakam Balli</t>
  </si>
  <si>
    <t>Nertige</t>
  </si>
  <si>
    <t>Onti Betta</t>
  </si>
  <si>
    <t>Ponpuli</t>
  </si>
  <si>
    <t>Uppage</t>
  </si>
  <si>
    <t xml:space="preserve">Chemeo costus sp </t>
  </si>
  <si>
    <t>Stem</t>
  </si>
  <si>
    <t>Fruit</t>
  </si>
  <si>
    <t>Leaves</t>
  </si>
  <si>
    <t xml:space="preserve">Fruit </t>
  </si>
  <si>
    <t>Bark</t>
  </si>
  <si>
    <t xml:space="preserve">Flower 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</si>
  <si>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</si>
  <si>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</si>
  <si>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</si>
  <si>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</si>
  <si>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</si>
  <si>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</si>
  <si>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Beat: </t>
  </si>
  <si>
    <t xml:space="preserve">Range: </t>
  </si>
  <si>
    <t xml:space="preserve">Division: </t>
  </si>
  <si>
    <t>Mangalore</t>
  </si>
  <si>
    <t xml:space="preserve">ALT: </t>
  </si>
  <si>
    <t xml:space="preserve">LAT: </t>
  </si>
  <si>
    <t xml:space="preserve">LONG: </t>
  </si>
  <si>
    <t>Grid No:</t>
  </si>
  <si>
    <t>GBH 
(cm)</t>
  </si>
  <si>
    <t>GBH (OB) (cm)</t>
  </si>
  <si>
    <t>Height of selected dominant trees (m)</t>
  </si>
  <si>
    <t>Remarks, if any, about the tree condition</t>
  </si>
  <si>
    <t>Part of the tree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</si>
  <si>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</si>
  <si>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</si>
  <si>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</si>
  <si>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</si>
  <si>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</si>
  <si>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</si>
  <si>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</si>
  <si>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</si>
  <si>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</si>
  <si>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</si>
  <si>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</si>
  <si>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</si>
  <si>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</si>
  <si>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</si>
  <si>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</si>
  <si>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</si>
  <si>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</si>
  <si>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</si>
  <si>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 xml:space="preserve">          PLOT ENUMERATION FORM – C (1m X 1m Plot)    Grid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</si>
</sst>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8" sqref="C8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285156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2" customFormat="1" ht="24.75" customHeight="1" x14ac:dyDescent="0.25">
      <c r="A3" s="47" t="s">
        <v>2</v>
      </c>
      <c r="B3" s="47"/>
      <c r="C3" s="43" t="s">
        <v>139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6.25" customHeight="1" x14ac:dyDescent="0.25">
      <c r="A5" s="3">
        <v>1</v>
      </c>
      <c r="B5" s="41" t="s">
        <v>6</v>
      </c>
      <c r="C5" s="6" t="s">
        <v>130</v>
      </c>
    </row>
    <row r="6" spans="1:3" ht="26.25" customHeight="1" x14ac:dyDescent="0.25">
      <c r="A6" s="3">
        <v>2</v>
      </c>
      <c r="B6" s="41" t="s">
        <v>7</v>
      </c>
      <c r="C6" s="7" t="s">
        <v>131</v>
      </c>
    </row>
    <row r="7" spans="1:3" ht="26.25" customHeight="1" x14ac:dyDescent="0.25">
      <c r="A7" s="3">
        <v>3</v>
      </c>
      <c r="B7" s="41" t="s">
        <v>8</v>
      </c>
      <c r="C7" s="7" t="s">
        <v>132</v>
      </c>
    </row>
    <row r="8" spans="1:3" ht="26.25" customHeight="1" x14ac:dyDescent="0.25">
      <c r="A8" s="3">
        <v>4</v>
      </c>
      <c r="B8" s="41" t="s">
        <v>9</v>
      </c>
      <c r="C8" s="7">
        <v>7267</v>
      </c>
    </row>
    <row r="9" spans="1:3" ht="26.25" customHeight="1" x14ac:dyDescent="0.25">
      <c r="A9" s="3">
        <v>5</v>
      </c>
      <c r="B9" s="41" t="s">
        <v>10</v>
      </c>
      <c r="C9" s="8">
        <v>13.080484999999999</v>
      </c>
    </row>
    <row r="10" spans="1:3" ht="26.25" customHeight="1" x14ac:dyDescent="0.25">
      <c r="A10" s="3">
        <v>6</v>
      </c>
      <c r="B10" s="41" t="s">
        <v>11</v>
      </c>
      <c r="C10" s="8">
        <v>75.458406999999994</v>
      </c>
    </row>
    <row r="11" spans="1:3" ht="47.25" x14ac:dyDescent="0.25">
      <c r="A11" s="3">
        <v>7</v>
      </c>
      <c r="B11" s="41" t="s">
        <v>12</v>
      </c>
      <c r="C11" s="8" t="s">
        <v>74</v>
      </c>
    </row>
    <row r="12" spans="1:3" ht="26.25" customHeight="1" x14ac:dyDescent="0.25">
      <c r="A12" s="3">
        <v>8</v>
      </c>
      <c r="B12" s="41" t="s">
        <v>13</v>
      </c>
      <c r="C12" s="9" t="s">
        <v>75</v>
      </c>
    </row>
    <row r="13" spans="1:3" ht="26.25" customHeight="1" x14ac:dyDescent="0.25">
      <c r="A13" s="48">
        <v>9</v>
      </c>
      <c r="B13" s="49" t="s">
        <v>14</v>
      </c>
      <c r="C13" s="5" t="s">
        <v>76</v>
      </c>
    </row>
    <row r="14" spans="1:3" ht="26.25" customHeight="1" x14ac:dyDescent="0.25">
      <c r="A14" s="48"/>
      <c r="B14" s="49"/>
      <c r="C14" s="5" t="s">
        <v>77</v>
      </c>
    </row>
    <row r="15" spans="1:3" ht="26.25" customHeight="1" x14ac:dyDescent="0.25">
      <c r="A15" s="48"/>
      <c r="B15" s="49"/>
      <c r="C15" s="5" t="s">
        <v>134</v>
      </c>
    </row>
    <row r="16" spans="1:3" ht="26.25" customHeight="1" x14ac:dyDescent="0.25">
      <c r="A16" s="48"/>
      <c r="B16" s="49"/>
      <c r="C16" s="5" t="s">
        <v>78</v>
      </c>
    </row>
    <row r="17" spans="1:3" ht="26.25" customHeight="1" x14ac:dyDescent="0.25">
      <c r="A17" s="48"/>
      <c r="B17" s="49"/>
      <c r="C17" s="5" t="s">
        <v>79</v>
      </c>
    </row>
    <row r="18" spans="1:3" ht="26.25" customHeight="1" x14ac:dyDescent="0.25">
      <c r="A18" s="48"/>
      <c r="B18" s="49"/>
      <c r="C18" s="5" t="s">
        <v>80</v>
      </c>
    </row>
    <row r="19" spans="1:3" ht="26.25" customHeight="1" x14ac:dyDescent="0.25">
      <c r="A19" s="48"/>
      <c r="B19" s="49"/>
      <c r="C19" s="5" t="s">
        <v>133</v>
      </c>
    </row>
    <row r="20" spans="1:3" ht="26.25" customHeight="1" x14ac:dyDescent="0.25">
      <c r="A20" s="48"/>
      <c r="B20" s="49"/>
      <c r="C20" s="5" t="s">
        <v>81</v>
      </c>
    </row>
    <row r="21" spans="1:3" ht="26.25" customHeight="1" x14ac:dyDescent="0.25">
      <c r="A21" s="48"/>
      <c r="B21" s="49"/>
      <c r="C21" s="5" t="s">
        <v>82</v>
      </c>
    </row>
    <row r="22" spans="1:3" ht="31.5" x14ac:dyDescent="0.25">
      <c r="A22" s="48"/>
      <c r="B22" s="49"/>
      <c r="C22" s="5" t="s">
        <v>83</v>
      </c>
    </row>
    <row r="23" spans="1:3" ht="26.25" customHeight="1" x14ac:dyDescent="0.25">
      <c r="A23" s="48"/>
      <c r="B23" s="49"/>
      <c r="C23" s="5" t="s">
        <v>84</v>
      </c>
    </row>
    <row r="24" spans="1:3" ht="26.25" customHeight="1" x14ac:dyDescent="0.25">
      <c r="A24" s="48"/>
      <c r="B24" s="49"/>
      <c r="C24" s="5" t="s">
        <v>85</v>
      </c>
    </row>
    <row r="25" spans="1:3" ht="26.25" customHeight="1" x14ac:dyDescent="0.25">
      <c r="A25" s="48"/>
      <c r="B25" s="49"/>
      <c r="C25" s="5" t="s">
        <v>135</v>
      </c>
    </row>
    <row r="26" spans="1:3" ht="26.25" customHeight="1" x14ac:dyDescent="0.25">
      <c r="A26" s="3">
        <v>10</v>
      </c>
      <c r="B26" s="41" t="s">
        <v>15</v>
      </c>
      <c r="C26" s="5" t="s">
        <v>86</v>
      </c>
    </row>
    <row r="27" spans="1:3" ht="26.25" customHeight="1" x14ac:dyDescent="0.25">
      <c r="A27" s="3">
        <v>11</v>
      </c>
      <c r="B27" s="41" t="s">
        <v>16</v>
      </c>
      <c r="C27" s="5" t="s">
        <v>136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2.85546875" style="13" bestFit="1" customWidth="1"/>
    <col min="3" max="3" width="47.85546875" style="13" customWidth="1"/>
    <col min="4" max="16384" width="9.140625" style="13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4" customFormat="1" ht="25.5" customHeight="1" x14ac:dyDescent="0.25">
      <c r="A3" s="50" t="s">
        <v>2</v>
      </c>
      <c r="B3" s="50"/>
      <c r="C3" s="43" t="s">
        <v>139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4.7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4.75" customHeight="1" x14ac:dyDescent="0.25">
      <c r="A6" s="10">
        <v>2</v>
      </c>
      <c r="B6" s="42" t="s">
        <v>71</v>
      </c>
      <c r="C6" s="18"/>
    </row>
    <row r="7" spans="1:3" ht="24.75" customHeight="1" x14ac:dyDescent="0.25">
      <c r="A7" s="10">
        <v>3</v>
      </c>
      <c r="B7" s="42" t="s">
        <v>68</v>
      </c>
      <c r="C7" s="18" t="str">
        <f>'Form 1'!C6</f>
        <v xml:space="preserve">Charmady kanapady RF </v>
      </c>
    </row>
    <row r="8" spans="1:3" ht="24.75" customHeight="1" x14ac:dyDescent="0.25">
      <c r="A8" s="10">
        <v>4</v>
      </c>
      <c r="B8" s="42" t="s">
        <v>9</v>
      </c>
      <c r="C8" s="18">
        <f>'Form 1'!C8</f>
        <v>7267</v>
      </c>
    </row>
    <row r="9" spans="1:3" ht="24.75" customHeight="1" x14ac:dyDescent="0.25">
      <c r="A9" s="10">
        <v>5</v>
      </c>
      <c r="B9" s="42" t="s">
        <v>20</v>
      </c>
      <c r="C9" s="19">
        <f>'Form 1'!C9</f>
        <v>13.080484999999999</v>
      </c>
    </row>
    <row r="10" spans="1:3" ht="24.75" customHeight="1" x14ac:dyDescent="0.25">
      <c r="A10" s="10">
        <v>6</v>
      </c>
      <c r="B10" s="42" t="s">
        <v>21</v>
      </c>
      <c r="C10" s="19">
        <f>'Form 1'!C10</f>
        <v>75.458406999999994</v>
      </c>
    </row>
    <row r="11" spans="1:3" ht="24.75" customHeight="1" x14ac:dyDescent="0.25">
      <c r="A11" s="10">
        <v>7</v>
      </c>
      <c r="B11" s="42" t="s">
        <v>22</v>
      </c>
      <c r="C11" s="18" t="s">
        <v>137</v>
      </c>
    </row>
    <row r="12" spans="1:3" ht="31.5" x14ac:dyDescent="0.25">
      <c r="A12" s="10">
        <v>8</v>
      </c>
      <c r="B12" s="42" t="s">
        <v>23</v>
      </c>
      <c r="C12" s="18" t="s">
        <v>87</v>
      </c>
    </row>
    <row r="13" spans="1:3" ht="24.75" customHeight="1" x14ac:dyDescent="0.25">
      <c r="A13" s="10">
        <v>9</v>
      </c>
      <c r="B13" s="42" t="s">
        <v>24</v>
      </c>
      <c r="C13" s="18" t="s">
        <v>88</v>
      </c>
    </row>
    <row r="14" spans="1:3" ht="31.5" x14ac:dyDescent="0.25">
      <c r="A14" s="10">
        <v>10</v>
      </c>
      <c r="B14" s="42" t="s">
        <v>25</v>
      </c>
      <c r="C14" s="18" t="s">
        <v>90</v>
      </c>
    </row>
    <row r="15" spans="1:3" ht="24.75" customHeight="1" x14ac:dyDescent="0.25">
      <c r="A15" s="10">
        <v>11</v>
      </c>
      <c r="B15" s="42" t="s">
        <v>26</v>
      </c>
      <c r="C15" s="20" t="s">
        <v>89</v>
      </c>
    </row>
    <row r="16" spans="1:3" ht="31.5" x14ac:dyDescent="0.25">
      <c r="A16" s="10">
        <v>12</v>
      </c>
      <c r="B16" s="42" t="s">
        <v>27</v>
      </c>
      <c r="C16" s="20" t="s">
        <v>91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.75" customHeight="1" x14ac:dyDescent="0.25">
      <c r="A18" s="51">
        <v>14</v>
      </c>
      <c r="B18" s="52" t="s">
        <v>30</v>
      </c>
      <c r="C18" s="20" t="s">
        <v>92</v>
      </c>
    </row>
    <row r="19" spans="1:3" ht="24.75" customHeight="1" x14ac:dyDescent="0.25">
      <c r="A19" s="51"/>
      <c r="B19" s="52"/>
      <c r="C19" s="20" t="s">
        <v>93</v>
      </c>
    </row>
    <row r="20" spans="1:3" ht="24.75" customHeight="1" x14ac:dyDescent="0.25">
      <c r="A20" s="51"/>
      <c r="B20" s="52"/>
      <c r="C20" s="21" t="s">
        <v>94</v>
      </c>
    </row>
    <row r="21" spans="1:3" ht="24.75" customHeight="1" x14ac:dyDescent="0.25">
      <c r="A21" s="10">
        <v>15</v>
      </c>
      <c r="B21" s="42" t="s">
        <v>31</v>
      </c>
      <c r="C21" s="20" t="s">
        <v>95</v>
      </c>
    </row>
    <row r="22" spans="1:3" ht="24.75" customHeight="1" x14ac:dyDescent="0.25">
      <c r="A22" s="10">
        <v>16</v>
      </c>
      <c r="B22" s="42" t="s">
        <v>32</v>
      </c>
      <c r="C22" s="20" t="s">
        <v>96</v>
      </c>
    </row>
    <row r="23" spans="1:3" ht="24.75" customHeight="1" x14ac:dyDescent="0.25">
      <c r="A23" s="10">
        <v>17</v>
      </c>
      <c r="B23" s="42" t="s">
        <v>69</v>
      </c>
      <c r="C23" s="20" t="s">
        <v>97</v>
      </c>
    </row>
    <row r="24" spans="1:3" ht="31.5" x14ac:dyDescent="0.25">
      <c r="A24" s="10">
        <v>18</v>
      </c>
      <c r="B24" s="42" t="s">
        <v>33</v>
      </c>
      <c r="C24" s="20" t="s">
        <v>98</v>
      </c>
    </row>
    <row r="25" spans="1:3" ht="24.75" customHeight="1" x14ac:dyDescent="0.25">
      <c r="A25" s="10">
        <v>19</v>
      </c>
      <c r="B25" s="42" t="s">
        <v>34</v>
      </c>
      <c r="C25" s="20" t="s">
        <v>99</v>
      </c>
    </row>
    <row r="26" spans="1:3" ht="24.75" customHeight="1" x14ac:dyDescent="0.25">
      <c r="A26" s="10">
        <v>20</v>
      </c>
      <c r="B26" s="42" t="s">
        <v>35</v>
      </c>
      <c r="C26" s="21" t="s">
        <v>100</v>
      </c>
    </row>
    <row r="27" spans="1:3" ht="24.75" customHeight="1" x14ac:dyDescent="0.25">
      <c r="A27" s="10">
        <v>21</v>
      </c>
      <c r="B27" s="42" t="s">
        <v>36</v>
      </c>
      <c r="C27" s="20" t="s">
        <v>101</v>
      </c>
    </row>
    <row r="28" spans="1:3" ht="24.75" customHeight="1" x14ac:dyDescent="0.25">
      <c r="A28" s="10">
        <v>22</v>
      </c>
      <c r="B28" s="42" t="s">
        <v>37</v>
      </c>
      <c r="C28" s="20" t="s">
        <v>102</v>
      </c>
    </row>
    <row r="29" spans="1:3" ht="24.75" customHeight="1" x14ac:dyDescent="0.25">
      <c r="A29" s="10">
        <v>23</v>
      </c>
      <c r="B29" s="42" t="s">
        <v>38</v>
      </c>
      <c r="C29" s="20" t="s">
        <v>102</v>
      </c>
    </row>
    <row r="30" spans="1:3" ht="24.75" customHeight="1" x14ac:dyDescent="0.25">
      <c r="A30" s="10">
        <v>24</v>
      </c>
      <c r="B30" s="42" t="s">
        <v>39</v>
      </c>
      <c r="C30" s="20" t="s">
        <v>136</v>
      </c>
    </row>
    <row r="31" spans="1:3" ht="24.75" customHeight="1" x14ac:dyDescent="0.25">
      <c r="A31" s="10">
        <v>25</v>
      </c>
      <c r="B31" s="42" t="s">
        <v>40</v>
      </c>
      <c r="C31" s="20" t="s">
        <v>136</v>
      </c>
    </row>
    <row r="32" spans="1:3" ht="24.75" customHeight="1" x14ac:dyDescent="0.25">
      <c r="A32" s="10">
        <v>26</v>
      </c>
      <c r="B32" s="42" t="s">
        <v>41</v>
      </c>
      <c r="C32" s="20" t="s">
        <v>103</v>
      </c>
    </row>
    <row r="33" spans="1:3" ht="24.75" customHeight="1" x14ac:dyDescent="0.25">
      <c r="A33" s="10">
        <v>27</v>
      </c>
      <c r="B33" s="42" t="s">
        <v>42</v>
      </c>
      <c r="C33" s="18" t="s">
        <v>155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474C-22AC-46D2-AF57-F3C8B629A146}">
  <dimension ref="A1:I28"/>
  <sheetViews>
    <sheetView workbookViewId="0">
      <selection activeCell="M15" sqref="M15"/>
    </sheetView>
  </sheetViews>
  <sheetFormatPr defaultRowHeight="15" x14ac:dyDescent="0.25"/>
  <cols>
    <col min="1" max="1" width="6.85546875" bestFit="1" customWidth="1"/>
    <col min="2" max="2" width="19" bestFit="1" customWidth="1"/>
    <col min="3" max="3" width="9.28515625" customWidth="1"/>
    <col min="4" max="4" width="10.28515625" customWidth="1"/>
  </cols>
  <sheetData>
    <row r="1" spans="1:9" s="66" customFormat="1" ht="15.6" customHeight="1" x14ac:dyDescent="0.25">
      <c r="A1" s="65" t="s">
        <v>156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157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158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4" customFormat="1" ht="33" customHeight="1" x14ac:dyDescent="0.25">
      <c r="A5" s="70" t="s">
        <v>159</v>
      </c>
      <c r="B5" s="71"/>
      <c r="C5" s="45" t="s">
        <v>132</v>
      </c>
      <c r="D5" s="72" t="s">
        <v>160</v>
      </c>
      <c r="E5" s="73" t="s">
        <v>131</v>
      </c>
      <c r="F5" s="73"/>
      <c r="G5" s="71"/>
      <c r="H5" s="45" t="s">
        <v>161</v>
      </c>
      <c r="I5" s="45"/>
    </row>
    <row r="6" spans="1:9" s="74" customFormat="1" ht="33" customHeight="1" x14ac:dyDescent="0.25">
      <c r="A6" s="70" t="s">
        <v>162</v>
      </c>
      <c r="B6" s="71"/>
      <c r="C6" s="45" t="s">
        <v>130</v>
      </c>
      <c r="D6" s="72" t="s">
        <v>163</v>
      </c>
      <c r="E6" s="73" t="s">
        <v>164</v>
      </c>
      <c r="F6" s="73"/>
      <c r="G6" s="71"/>
      <c r="H6" s="45" t="s">
        <v>165</v>
      </c>
      <c r="I6" s="45" t="s">
        <v>137</v>
      </c>
    </row>
    <row r="7" spans="1:9" s="74" customFormat="1" ht="33" customHeight="1" x14ac:dyDescent="0.25">
      <c r="A7" s="70" t="s">
        <v>166</v>
      </c>
      <c r="B7" s="71"/>
      <c r="C7" s="45">
        <v>13.080484999999999</v>
      </c>
      <c r="D7" s="72" t="s">
        <v>167</v>
      </c>
      <c r="E7" s="73">
        <v>75.458406999999994</v>
      </c>
      <c r="F7" s="73"/>
      <c r="G7" s="71"/>
      <c r="H7" s="45" t="s">
        <v>168</v>
      </c>
      <c r="I7" s="45">
        <v>7267</v>
      </c>
    </row>
    <row r="8" spans="1:9" s="66" customFormat="1" ht="15.6" customHeight="1" x14ac:dyDescent="0.25">
      <c r="A8" s="17"/>
      <c r="B8" s="68"/>
      <c r="C8" s="17"/>
      <c r="D8" s="17"/>
      <c r="E8" s="17"/>
      <c r="F8" s="17"/>
      <c r="G8" s="17"/>
      <c r="H8" s="17"/>
      <c r="I8" s="17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169</v>
      </c>
      <c r="E9" s="48" t="s">
        <v>170</v>
      </c>
      <c r="F9" s="48" t="s">
        <v>171</v>
      </c>
      <c r="G9" s="48" t="s">
        <v>51</v>
      </c>
      <c r="H9" s="48"/>
      <c r="I9" s="48" t="s">
        <v>172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4" t="s">
        <v>173</v>
      </c>
      <c r="H10" s="44" t="s">
        <v>54</v>
      </c>
      <c r="I10" s="48"/>
    </row>
    <row r="11" spans="1:9" ht="15.75" x14ac:dyDescent="0.25">
      <c r="A11" s="69">
        <v>1</v>
      </c>
      <c r="B11" s="46" t="s">
        <v>104</v>
      </c>
      <c r="C11" s="69"/>
      <c r="D11" s="46">
        <v>88</v>
      </c>
      <c r="E11" s="69"/>
      <c r="F11" s="69">
        <v>16</v>
      </c>
      <c r="G11" s="69"/>
      <c r="H11" s="69"/>
      <c r="I11" s="69"/>
    </row>
    <row r="12" spans="1:9" ht="15.75" x14ac:dyDescent="0.25">
      <c r="A12" s="69">
        <v>2</v>
      </c>
      <c r="B12" s="46" t="s">
        <v>105</v>
      </c>
      <c r="C12" s="69"/>
      <c r="D12" s="46">
        <v>70</v>
      </c>
      <c r="E12" s="69"/>
      <c r="F12" s="69">
        <v>13</v>
      </c>
      <c r="G12" s="69"/>
      <c r="H12" s="69"/>
      <c r="I12" s="69"/>
    </row>
    <row r="13" spans="1:9" ht="15.75" x14ac:dyDescent="0.25">
      <c r="A13" s="69">
        <v>3</v>
      </c>
      <c r="B13" s="46" t="s">
        <v>106</v>
      </c>
      <c r="C13" s="69"/>
      <c r="D13" s="46">
        <v>32</v>
      </c>
      <c r="E13" s="69"/>
      <c r="F13" s="69">
        <v>0</v>
      </c>
      <c r="G13" s="69"/>
      <c r="H13" s="69"/>
      <c r="I13" s="69"/>
    </row>
    <row r="14" spans="1:9" ht="15.75" x14ac:dyDescent="0.25">
      <c r="A14" s="69">
        <v>4</v>
      </c>
      <c r="B14" s="46" t="s">
        <v>107</v>
      </c>
      <c r="C14" s="69"/>
      <c r="D14" s="46">
        <v>102</v>
      </c>
      <c r="E14" s="69"/>
      <c r="F14" s="69">
        <v>14</v>
      </c>
      <c r="G14" s="69"/>
      <c r="H14" s="69"/>
      <c r="I14" s="69"/>
    </row>
    <row r="15" spans="1:9" ht="15.75" x14ac:dyDescent="0.25">
      <c r="A15" s="69">
        <v>5</v>
      </c>
      <c r="B15" s="46" t="s">
        <v>108</v>
      </c>
      <c r="C15" s="69"/>
      <c r="D15" s="46">
        <v>93</v>
      </c>
      <c r="E15" s="69"/>
      <c r="F15" s="69">
        <v>16</v>
      </c>
      <c r="G15" s="69"/>
      <c r="H15" s="69"/>
      <c r="I15" s="69"/>
    </row>
    <row r="16" spans="1:9" ht="15.75" x14ac:dyDescent="0.25">
      <c r="A16" s="69">
        <v>6</v>
      </c>
      <c r="B16" s="46" t="s">
        <v>138</v>
      </c>
      <c r="C16" s="69"/>
      <c r="D16" s="46">
        <v>51</v>
      </c>
      <c r="E16" s="69"/>
      <c r="F16" s="69">
        <v>13</v>
      </c>
      <c r="G16" s="69"/>
      <c r="H16" s="69"/>
      <c r="I16" s="69"/>
    </row>
    <row r="17" spans="1:9" ht="15.75" x14ac:dyDescent="0.25">
      <c r="A17" s="69">
        <v>7</v>
      </c>
      <c r="B17" s="46" t="s">
        <v>138</v>
      </c>
      <c r="C17" s="69"/>
      <c r="D17" s="46">
        <v>98</v>
      </c>
      <c r="E17" s="69"/>
      <c r="F17" s="69">
        <v>50</v>
      </c>
      <c r="G17" s="69"/>
      <c r="H17" s="69"/>
      <c r="I17" s="69"/>
    </row>
    <row r="18" spans="1:9" ht="15.75" x14ac:dyDescent="0.25">
      <c r="A18" s="69">
        <v>8</v>
      </c>
      <c r="B18" s="46" t="s">
        <v>109</v>
      </c>
      <c r="C18" s="69"/>
      <c r="D18" s="46">
        <v>123</v>
      </c>
      <c r="E18" s="69"/>
      <c r="F18" s="69">
        <v>18</v>
      </c>
      <c r="G18" s="69"/>
      <c r="H18" s="69"/>
      <c r="I18" s="69"/>
    </row>
    <row r="19" spans="1:9" ht="15.75" x14ac:dyDescent="0.25">
      <c r="A19" s="69">
        <v>9</v>
      </c>
      <c r="B19" s="46" t="s">
        <v>109</v>
      </c>
      <c r="C19" s="69"/>
      <c r="D19" s="46">
        <v>73</v>
      </c>
      <c r="E19" s="69"/>
      <c r="F19" s="69">
        <v>15</v>
      </c>
      <c r="G19" s="69"/>
      <c r="H19" s="69"/>
      <c r="I19" s="69"/>
    </row>
    <row r="20" spans="1:9" ht="15.75" x14ac:dyDescent="0.25">
      <c r="A20" s="69">
        <v>10</v>
      </c>
      <c r="B20" s="46" t="s">
        <v>110</v>
      </c>
      <c r="C20" s="69"/>
      <c r="D20" s="46">
        <v>79</v>
      </c>
      <c r="E20" s="69"/>
      <c r="F20" s="69">
        <v>10</v>
      </c>
      <c r="G20" s="69"/>
      <c r="H20" s="69"/>
      <c r="I20" s="69"/>
    </row>
    <row r="21" spans="1:9" ht="15.75" x14ac:dyDescent="0.25">
      <c r="A21" s="69">
        <v>11</v>
      </c>
      <c r="B21" s="46" t="s">
        <v>111</v>
      </c>
      <c r="C21" s="69"/>
      <c r="D21" s="46">
        <v>38</v>
      </c>
      <c r="E21" s="69"/>
      <c r="F21" s="69">
        <v>12</v>
      </c>
      <c r="G21" s="69"/>
      <c r="H21" s="69"/>
      <c r="I21" s="69"/>
    </row>
    <row r="22" spans="1:9" ht="15.75" x14ac:dyDescent="0.25">
      <c r="A22" s="69">
        <v>12</v>
      </c>
      <c r="B22" s="46" t="s">
        <v>112</v>
      </c>
      <c r="C22" s="69"/>
      <c r="D22" s="46">
        <v>49</v>
      </c>
      <c r="E22" s="69"/>
      <c r="F22" s="69">
        <v>8</v>
      </c>
      <c r="G22" s="69"/>
      <c r="H22" s="69"/>
      <c r="I22" s="69"/>
    </row>
    <row r="23" spans="1:9" ht="15.75" x14ac:dyDescent="0.25">
      <c r="A23" s="69">
        <v>13</v>
      </c>
      <c r="B23" s="46" t="s">
        <v>111</v>
      </c>
      <c r="C23" s="69"/>
      <c r="D23" s="46">
        <v>132</v>
      </c>
      <c r="E23" s="69"/>
      <c r="F23" s="69">
        <v>20</v>
      </c>
      <c r="G23" s="69"/>
      <c r="H23" s="69"/>
      <c r="I23" s="69"/>
    </row>
    <row r="24" spans="1:9" ht="15.75" x14ac:dyDescent="0.25">
      <c r="A24" s="69">
        <v>14</v>
      </c>
      <c r="B24" s="46" t="s">
        <v>112</v>
      </c>
      <c r="C24" s="69"/>
      <c r="D24" s="46">
        <v>62</v>
      </c>
      <c r="E24" s="69"/>
      <c r="F24" s="69">
        <v>8</v>
      </c>
      <c r="G24" s="69"/>
      <c r="H24" s="69"/>
      <c r="I24" s="69"/>
    </row>
    <row r="25" spans="1:9" ht="15.75" x14ac:dyDescent="0.25">
      <c r="A25" s="69">
        <v>15</v>
      </c>
      <c r="B25" s="46" t="s">
        <v>113</v>
      </c>
      <c r="C25" s="69"/>
      <c r="D25" s="46">
        <v>178</v>
      </c>
      <c r="E25" s="69"/>
      <c r="F25" s="69">
        <v>12</v>
      </c>
      <c r="G25" s="69"/>
      <c r="H25" s="69"/>
      <c r="I25" s="69"/>
    </row>
    <row r="26" spans="1:9" ht="15.75" x14ac:dyDescent="0.25">
      <c r="A26" s="69">
        <v>16</v>
      </c>
      <c r="B26" s="46" t="s">
        <v>114</v>
      </c>
      <c r="C26" s="69"/>
      <c r="D26" s="46">
        <v>53</v>
      </c>
      <c r="E26" s="69"/>
      <c r="F26" s="69">
        <v>10</v>
      </c>
      <c r="G26" s="69"/>
      <c r="H26" s="69"/>
      <c r="I26" s="69"/>
    </row>
    <row r="27" spans="1:9" ht="15.75" x14ac:dyDescent="0.25">
      <c r="A27" s="69">
        <v>17</v>
      </c>
      <c r="B27" s="46" t="s">
        <v>104</v>
      </c>
      <c r="C27" s="69"/>
      <c r="D27" s="46">
        <v>74</v>
      </c>
      <c r="E27" s="69"/>
      <c r="F27" s="69">
        <v>11</v>
      </c>
      <c r="G27" s="69"/>
      <c r="H27" s="69"/>
      <c r="I27" s="69"/>
    </row>
    <row r="28" spans="1:9" ht="15.75" x14ac:dyDescent="0.25">
      <c r="A28" s="69">
        <v>18</v>
      </c>
      <c r="B28" s="46" t="s">
        <v>138</v>
      </c>
      <c r="C28" s="69"/>
      <c r="D28" s="46">
        <v>140</v>
      </c>
      <c r="E28" s="69"/>
      <c r="F28" s="69">
        <v>2</v>
      </c>
      <c r="G28" s="69"/>
      <c r="H28" s="69"/>
      <c r="I28" s="69"/>
    </row>
  </sheetData>
  <mergeCells count="18">
    <mergeCell ref="G9:H9"/>
    <mergeCell ref="I9:I10"/>
    <mergeCell ref="A6:B6"/>
    <mergeCell ref="E6:G6"/>
    <mergeCell ref="A7:B7"/>
    <mergeCell ref="E7:G7"/>
    <mergeCell ref="A9:A10"/>
    <mergeCell ref="B9:B10"/>
    <mergeCell ref="C9:C10"/>
    <mergeCell ref="D9:D10"/>
    <mergeCell ref="E9:E10"/>
    <mergeCell ref="F9:F10"/>
    <mergeCell ref="A1:I1"/>
    <mergeCell ref="A2:I2"/>
    <mergeCell ref="A3:I3"/>
    <mergeCell ref="A4:I4"/>
    <mergeCell ref="A5:B5"/>
    <mergeCell ref="E5:G5"/>
  </mergeCells>
  <pageMargins left="0.7" right="0.22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1293-A689-414E-9AF6-D35816211E26}">
  <dimension ref="A1:Q10"/>
  <sheetViews>
    <sheetView workbookViewId="0">
      <selection activeCell="D16" sqref="D16:D17"/>
    </sheetView>
  </sheetViews>
  <sheetFormatPr defaultRowHeight="15" x14ac:dyDescent="0.25"/>
  <cols>
    <col min="1" max="1" width="6.85546875" bestFit="1" customWidth="1"/>
    <col min="5" max="13" width="5.85546875" customWidth="1"/>
    <col min="17" max="17" width="12.42578125" customWidth="1"/>
  </cols>
  <sheetData>
    <row r="1" spans="1:17" s="76" customFormat="1" ht="20.25" x14ac:dyDescent="0.25">
      <c r="A1" s="75" t="s">
        <v>174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175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176</v>
      </c>
      <c r="E5" s="79" t="s">
        <v>177</v>
      </c>
      <c r="F5" s="80"/>
      <c r="G5" s="80"/>
      <c r="H5" s="80"/>
      <c r="I5" s="80"/>
      <c r="J5" s="80"/>
      <c r="K5" s="80"/>
      <c r="L5" s="80"/>
      <c r="M5" s="81"/>
      <c r="N5" s="78" t="s">
        <v>178</v>
      </c>
      <c r="O5" s="79" t="s">
        <v>179</v>
      </c>
      <c r="P5" s="81"/>
      <c r="Q5" s="78" t="s">
        <v>180</v>
      </c>
    </row>
    <row r="6" spans="1:17" s="76" customFormat="1" ht="15.75" x14ac:dyDescent="0.25">
      <c r="A6" s="82"/>
      <c r="B6" s="82"/>
      <c r="C6" s="82"/>
      <c r="D6" s="82"/>
      <c r="E6" s="83" t="s">
        <v>181</v>
      </c>
      <c r="F6" s="84"/>
      <c r="G6" s="85"/>
      <c r="H6" s="83" t="s">
        <v>182</v>
      </c>
      <c r="I6" s="84"/>
      <c r="J6" s="85"/>
      <c r="K6" s="83" t="s">
        <v>183</v>
      </c>
      <c r="L6" s="84"/>
      <c r="M6" s="85"/>
      <c r="N6" s="82"/>
      <c r="O6" s="78" t="s">
        <v>184</v>
      </c>
      <c r="P6" s="78" t="s">
        <v>185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186</v>
      </c>
      <c r="F7" s="88"/>
      <c r="G7" s="89"/>
      <c r="H7" s="87" t="s">
        <v>187</v>
      </c>
      <c r="I7" s="88"/>
      <c r="J7" s="89"/>
      <c r="K7" s="87" t="s">
        <v>186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188</v>
      </c>
      <c r="F8" s="91" t="s">
        <v>189</v>
      </c>
      <c r="G8" s="91" t="s">
        <v>190</v>
      </c>
      <c r="H8" s="91" t="s">
        <v>188</v>
      </c>
      <c r="I8" s="91" t="s">
        <v>189</v>
      </c>
      <c r="J8" s="91" t="s">
        <v>190</v>
      </c>
      <c r="K8" s="91" t="s">
        <v>188</v>
      </c>
      <c r="L8" s="91" t="s">
        <v>189</v>
      </c>
      <c r="M8" s="91" t="s">
        <v>190</v>
      </c>
      <c r="N8" s="90"/>
      <c r="O8" s="90"/>
      <c r="P8" s="90"/>
      <c r="Q8" s="90"/>
    </row>
    <row r="9" spans="1:17" s="76" customFormat="1" ht="15.75" x14ac:dyDescent="0.25">
      <c r="A9" s="44">
        <v>1</v>
      </c>
      <c r="B9" s="92" t="s">
        <v>191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1:17" s="76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46" right="0.17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view="pageBreakPreview" zoomScaleSheetLayoutView="100" workbookViewId="0">
      <selection activeCell="F17" sqref="F17:G17"/>
    </sheetView>
  </sheetViews>
  <sheetFormatPr defaultColWidth="9.140625" defaultRowHeight="15.75" x14ac:dyDescent="0.25"/>
  <cols>
    <col min="1" max="1" width="6.85546875" style="12" bestFit="1" customWidth="1"/>
    <col min="2" max="2" width="25" style="12" bestFit="1" customWidth="1"/>
    <col min="3" max="3" width="13.7109375" style="12" customWidth="1"/>
    <col min="4" max="4" width="9.28515625" style="12" customWidth="1"/>
    <col min="5" max="5" width="7.7109375" style="12" customWidth="1"/>
    <col min="6" max="7" width="9.140625" style="12"/>
    <col min="8" max="8" width="16.425781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2" customFormat="1" x14ac:dyDescent="0.25">
      <c r="B2" s="23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6" t="s">
        <v>53</v>
      </c>
      <c r="G4" s="16" t="s">
        <v>54</v>
      </c>
      <c r="H4" s="56"/>
    </row>
    <row r="5" spans="1:8" x14ac:dyDescent="0.25">
      <c r="A5" s="10">
        <v>1</v>
      </c>
      <c r="B5" s="11" t="s">
        <v>140</v>
      </c>
      <c r="C5" s="11"/>
      <c r="D5" s="11">
        <v>2.2000000000000002</v>
      </c>
      <c r="E5" s="11">
        <v>2.5</v>
      </c>
      <c r="F5" s="11"/>
      <c r="G5" s="11">
        <v>5</v>
      </c>
      <c r="H5" s="11"/>
    </row>
    <row r="6" spans="1:8" x14ac:dyDescent="0.25">
      <c r="A6" s="10">
        <v>2</v>
      </c>
      <c r="B6" s="11" t="s">
        <v>115</v>
      </c>
      <c r="C6" s="11" t="s">
        <v>141</v>
      </c>
      <c r="D6" s="11">
        <v>2.5</v>
      </c>
      <c r="E6" s="11">
        <v>2.5</v>
      </c>
      <c r="F6" s="11" t="s">
        <v>152</v>
      </c>
      <c r="G6" s="11">
        <v>5.5</v>
      </c>
      <c r="H6" s="11"/>
    </row>
    <row r="7" spans="1:8" x14ac:dyDescent="0.25">
      <c r="A7" s="10">
        <v>3</v>
      </c>
      <c r="B7" s="11" t="s">
        <v>116</v>
      </c>
      <c r="C7" s="11" t="s">
        <v>142</v>
      </c>
      <c r="D7" s="11">
        <v>2.5</v>
      </c>
      <c r="E7" s="11">
        <v>3</v>
      </c>
      <c r="F7" s="11" t="s">
        <v>152</v>
      </c>
      <c r="G7" s="11">
        <v>8</v>
      </c>
      <c r="H7" s="11"/>
    </row>
    <row r="8" spans="1:8" x14ac:dyDescent="0.25">
      <c r="A8" s="10">
        <v>4</v>
      </c>
      <c r="B8" s="11" t="s">
        <v>116</v>
      </c>
      <c r="C8" s="11" t="s">
        <v>142</v>
      </c>
      <c r="D8" s="11">
        <v>3</v>
      </c>
      <c r="E8" s="11">
        <v>3</v>
      </c>
      <c r="F8" s="11" t="s">
        <v>152</v>
      </c>
      <c r="G8" s="11">
        <v>10</v>
      </c>
      <c r="H8" s="11"/>
    </row>
    <row r="9" spans="1:8" x14ac:dyDescent="0.25">
      <c r="A9" s="10">
        <v>5</v>
      </c>
      <c r="B9" s="11" t="s">
        <v>106</v>
      </c>
      <c r="C9" s="11" t="s">
        <v>143</v>
      </c>
      <c r="D9" s="11">
        <v>5</v>
      </c>
      <c r="E9" s="11">
        <v>4</v>
      </c>
      <c r="F9" s="11" t="s">
        <v>152</v>
      </c>
      <c r="G9" s="11">
        <v>25</v>
      </c>
      <c r="H9" s="11"/>
    </row>
    <row r="10" spans="1:8" x14ac:dyDescent="0.25">
      <c r="A10" s="24"/>
      <c r="B10" s="25"/>
      <c r="C10" s="26"/>
      <c r="D10" s="27"/>
      <c r="E10" s="28"/>
    </row>
    <row r="11" spans="1:8" x14ac:dyDescent="0.25">
      <c r="A11" s="57" t="s">
        <v>55</v>
      </c>
      <c r="B11" s="57"/>
      <c r="C11" s="57"/>
      <c r="D11" s="57"/>
      <c r="E11" s="57"/>
      <c r="F11" s="57"/>
      <c r="G11" s="57"/>
      <c r="H11" s="57"/>
    </row>
    <row r="12" spans="1:8" x14ac:dyDescent="0.25">
      <c r="A12" s="10">
        <v>1</v>
      </c>
      <c r="B12" s="58" t="s">
        <v>56</v>
      </c>
      <c r="C12" s="58"/>
      <c r="D12" s="58"/>
      <c r="E12" s="58"/>
      <c r="F12" s="58"/>
      <c r="G12" s="58"/>
      <c r="H12" s="29" t="s">
        <v>117</v>
      </c>
    </row>
    <row r="13" spans="1:8" x14ac:dyDescent="0.25">
      <c r="A13" s="10">
        <v>2</v>
      </c>
      <c r="B13" s="58" t="s">
        <v>57</v>
      </c>
      <c r="C13" s="58"/>
      <c r="D13" s="58"/>
      <c r="E13" s="58"/>
      <c r="F13" s="58"/>
      <c r="G13" s="58"/>
      <c r="H13" s="29" t="s">
        <v>118</v>
      </c>
    </row>
    <row r="14" spans="1:8" x14ac:dyDescent="0.25">
      <c r="A14" s="10">
        <v>3</v>
      </c>
      <c r="B14" s="58" t="s">
        <v>58</v>
      </c>
      <c r="C14" s="58"/>
      <c r="D14" s="58"/>
      <c r="E14" s="58"/>
      <c r="F14" s="58"/>
      <c r="G14" s="58"/>
      <c r="H14" s="29" t="s">
        <v>119</v>
      </c>
    </row>
    <row r="15" spans="1:8" x14ac:dyDescent="0.25">
      <c r="A15" s="24"/>
      <c r="B15" s="24"/>
      <c r="C15" s="24"/>
      <c r="D15" s="24"/>
      <c r="E15" s="24"/>
      <c r="F15" s="24"/>
      <c r="G15" s="24"/>
      <c r="H15" s="30"/>
    </row>
    <row r="16" spans="1:8" x14ac:dyDescent="0.25">
      <c r="B16" s="31" t="str">
        <f>B2</f>
        <v xml:space="preserve">    Grid No:  </v>
      </c>
      <c r="F16" s="31" t="s">
        <v>59</v>
      </c>
      <c r="G16" s="31"/>
    </row>
    <row r="17" spans="1:8" x14ac:dyDescent="0.25">
      <c r="A17" s="57" t="s">
        <v>46</v>
      </c>
      <c r="B17" s="57" t="s">
        <v>47</v>
      </c>
      <c r="C17" s="57" t="s">
        <v>48</v>
      </c>
      <c r="D17" s="55" t="s">
        <v>49</v>
      </c>
      <c r="E17" s="57" t="s">
        <v>50</v>
      </c>
      <c r="F17" s="57" t="s">
        <v>51</v>
      </c>
      <c r="G17" s="57"/>
      <c r="H17" s="57" t="s">
        <v>52</v>
      </c>
    </row>
    <row r="18" spans="1:8" ht="63" x14ac:dyDescent="0.25">
      <c r="A18" s="57"/>
      <c r="B18" s="57"/>
      <c r="C18" s="57"/>
      <c r="D18" s="56"/>
      <c r="E18" s="57"/>
      <c r="F18" s="16" t="s">
        <v>53</v>
      </c>
      <c r="G18" s="16" t="s">
        <v>54</v>
      </c>
      <c r="H18" s="57"/>
    </row>
    <row r="19" spans="1:8" x14ac:dyDescent="0.25">
      <c r="A19" s="10">
        <v>1</v>
      </c>
      <c r="B19" s="16" t="s">
        <v>120</v>
      </c>
      <c r="C19" s="16" t="s">
        <v>144</v>
      </c>
      <c r="D19" s="16">
        <v>4</v>
      </c>
      <c r="E19" s="16">
        <v>3</v>
      </c>
      <c r="F19" s="16" t="s">
        <v>149</v>
      </c>
      <c r="G19" s="16">
        <v>13</v>
      </c>
      <c r="H19" s="16"/>
    </row>
    <row r="20" spans="1:8" x14ac:dyDescent="0.25">
      <c r="A20" s="10">
        <v>2</v>
      </c>
      <c r="B20" s="16" t="s">
        <v>120</v>
      </c>
      <c r="C20" s="16" t="s">
        <v>144</v>
      </c>
      <c r="D20" s="16">
        <v>5</v>
      </c>
      <c r="E20" s="16">
        <v>3.5</v>
      </c>
      <c r="F20" s="16" t="s">
        <v>149</v>
      </c>
      <c r="G20" s="16">
        <v>16</v>
      </c>
      <c r="H20" s="16"/>
    </row>
    <row r="21" spans="1:8" x14ac:dyDescent="0.25">
      <c r="A21" s="10">
        <v>3</v>
      </c>
      <c r="B21" s="16" t="s">
        <v>120</v>
      </c>
      <c r="C21" s="16" t="s">
        <v>144</v>
      </c>
      <c r="D21" s="16">
        <v>6</v>
      </c>
      <c r="E21" s="16">
        <v>4.5</v>
      </c>
      <c r="F21" s="16" t="s">
        <v>149</v>
      </c>
      <c r="G21" s="16">
        <v>26</v>
      </c>
      <c r="H21" s="16"/>
    </row>
    <row r="22" spans="1:8" x14ac:dyDescent="0.25">
      <c r="A22" s="10">
        <v>4</v>
      </c>
      <c r="B22" s="16" t="s">
        <v>121</v>
      </c>
      <c r="C22" s="16" t="s">
        <v>145</v>
      </c>
      <c r="D22" s="16">
        <v>7</v>
      </c>
      <c r="E22" s="16">
        <v>20</v>
      </c>
      <c r="F22" s="16" t="s">
        <v>149</v>
      </c>
      <c r="G22" s="16">
        <v>200</v>
      </c>
      <c r="H22" s="16"/>
    </row>
    <row r="23" spans="1:8" x14ac:dyDescent="0.25">
      <c r="A23" s="24"/>
      <c r="B23" s="32"/>
      <c r="C23" s="33"/>
      <c r="D23" s="24"/>
      <c r="E23" s="24"/>
      <c r="F23" s="24"/>
      <c r="G23" s="24"/>
      <c r="H23" s="24"/>
    </row>
    <row r="24" spans="1:8" x14ac:dyDescent="0.25">
      <c r="A24" s="57" t="s">
        <v>55</v>
      </c>
      <c r="B24" s="57"/>
      <c r="C24" s="57"/>
      <c r="D24" s="57"/>
      <c r="E24" s="57"/>
      <c r="F24" s="57"/>
      <c r="G24" s="57"/>
      <c r="H24" s="57"/>
    </row>
    <row r="25" spans="1:8" x14ac:dyDescent="0.25">
      <c r="A25" s="10">
        <v>1</v>
      </c>
      <c r="B25" s="58" t="s">
        <v>56</v>
      </c>
      <c r="C25" s="58"/>
      <c r="D25" s="58"/>
      <c r="E25" s="58"/>
      <c r="F25" s="58"/>
      <c r="G25" s="58"/>
      <c r="H25" s="10" t="s">
        <v>122</v>
      </c>
    </row>
    <row r="26" spans="1:8" x14ac:dyDescent="0.25">
      <c r="A26" s="10">
        <v>2</v>
      </c>
      <c r="B26" s="58" t="s">
        <v>57</v>
      </c>
      <c r="C26" s="58"/>
      <c r="D26" s="58"/>
      <c r="E26" s="58"/>
      <c r="F26" s="58"/>
      <c r="G26" s="58"/>
      <c r="H26" s="10" t="s">
        <v>123</v>
      </c>
    </row>
    <row r="27" spans="1:8" x14ac:dyDescent="0.25">
      <c r="A27" s="10">
        <v>3</v>
      </c>
      <c r="B27" s="58" t="s">
        <v>58</v>
      </c>
      <c r="C27" s="58"/>
      <c r="D27" s="58"/>
      <c r="E27" s="58"/>
      <c r="F27" s="58"/>
      <c r="G27" s="58"/>
      <c r="H27" s="10" t="s">
        <v>124</v>
      </c>
    </row>
    <row r="28" spans="1:8" x14ac:dyDescent="0.25">
      <c r="A28" s="24"/>
      <c r="B28" s="33"/>
      <c r="C28" s="33"/>
      <c r="D28" s="33"/>
      <c r="E28" s="33"/>
      <c r="F28" s="33"/>
      <c r="G28" s="33"/>
      <c r="H28" s="30"/>
    </row>
    <row r="29" spans="1:8" x14ac:dyDescent="0.25">
      <c r="B29" s="31" t="str">
        <f>B2</f>
        <v xml:space="preserve">    Grid No:  </v>
      </c>
      <c r="F29" s="23" t="s">
        <v>72</v>
      </c>
      <c r="G29" s="23"/>
    </row>
    <row r="30" spans="1:8" x14ac:dyDescent="0.25">
      <c r="A30" s="57" t="s">
        <v>46</v>
      </c>
      <c r="B30" s="57" t="s">
        <v>47</v>
      </c>
      <c r="C30" s="57" t="s">
        <v>48</v>
      </c>
      <c r="D30" s="55" t="s">
        <v>49</v>
      </c>
      <c r="E30" s="57" t="s">
        <v>50</v>
      </c>
      <c r="F30" s="57" t="s">
        <v>51</v>
      </c>
      <c r="G30" s="57"/>
      <c r="H30" s="57" t="s">
        <v>52</v>
      </c>
    </row>
    <row r="31" spans="1:8" ht="63" x14ac:dyDescent="0.25">
      <c r="A31" s="57"/>
      <c r="B31" s="57"/>
      <c r="C31" s="57"/>
      <c r="D31" s="56"/>
      <c r="E31" s="57"/>
      <c r="F31" s="16" t="s">
        <v>53</v>
      </c>
      <c r="G31" s="16" t="s">
        <v>54</v>
      </c>
      <c r="H31" s="57"/>
    </row>
    <row r="32" spans="1:8" s="22" customFormat="1" x14ac:dyDescent="0.25">
      <c r="A32" s="10">
        <v>1</v>
      </c>
      <c r="B32" s="34" t="s">
        <v>109</v>
      </c>
      <c r="C32" s="10"/>
      <c r="D32" s="10">
        <v>4</v>
      </c>
      <c r="E32" s="10">
        <v>3</v>
      </c>
      <c r="F32" s="10" t="s">
        <v>153</v>
      </c>
      <c r="G32" s="10">
        <v>12</v>
      </c>
      <c r="H32" s="10"/>
    </row>
    <row r="33" spans="1:8" s="22" customFormat="1" x14ac:dyDescent="0.25">
      <c r="A33" s="10">
        <v>2</v>
      </c>
      <c r="B33" s="34" t="s">
        <v>120</v>
      </c>
      <c r="C33" s="10"/>
      <c r="D33" s="10">
        <v>4</v>
      </c>
      <c r="E33" s="10">
        <v>4</v>
      </c>
      <c r="F33" s="10" t="s">
        <v>149</v>
      </c>
      <c r="G33" s="10">
        <v>18</v>
      </c>
      <c r="H33" s="10"/>
    </row>
    <row r="34" spans="1:8" s="22" customFormat="1" x14ac:dyDescent="0.25">
      <c r="A34" s="10">
        <v>3</v>
      </c>
      <c r="B34" s="34" t="s">
        <v>109</v>
      </c>
      <c r="C34" s="10"/>
      <c r="D34" s="10">
        <v>5</v>
      </c>
      <c r="E34" s="10">
        <v>3</v>
      </c>
      <c r="F34" s="10" t="s">
        <v>153</v>
      </c>
      <c r="G34" s="10">
        <v>16</v>
      </c>
      <c r="H34" s="10"/>
    </row>
    <row r="35" spans="1:8" x14ac:dyDescent="0.25">
      <c r="A35" s="24"/>
      <c r="B35" s="24"/>
      <c r="C35" s="24"/>
      <c r="D35" s="24"/>
      <c r="E35" s="24"/>
      <c r="F35" s="24"/>
      <c r="G35" s="24"/>
      <c r="H35" s="24"/>
    </row>
    <row r="36" spans="1:8" x14ac:dyDescent="0.25">
      <c r="B36" s="31" t="str">
        <f>B2</f>
        <v xml:space="preserve">    Grid No:  </v>
      </c>
      <c r="F36" s="59" t="s">
        <v>73</v>
      </c>
      <c r="G36" s="59"/>
      <c r="H36" s="59"/>
    </row>
    <row r="37" spans="1:8" x14ac:dyDescent="0.25">
      <c r="A37" s="55" t="s">
        <v>46</v>
      </c>
      <c r="B37" s="55" t="s">
        <v>47</v>
      </c>
      <c r="C37" s="55" t="s">
        <v>48</v>
      </c>
      <c r="D37" s="55" t="s">
        <v>49</v>
      </c>
      <c r="E37" s="55" t="s">
        <v>50</v>
      </c>
      <c r="F37" s="60" t="s">
        <v>51</v>
      </c>
      <c r="G37" s="61"/>
      <c r="H37" s="55" t="s">
        <v>52</v>
      </c>
    </row>
    <row r="38" spans="1:8" ht="63" x14ac:dyDescent="0.25">
      <c r="A38" s="56"/>
      <c r="B38" s="56"/>
      <c r="C38" s="56"/>
      <c r="D38" s="56"/>
      <c r="E38" s="56"/>
      <c r="F38" s="16" t="s">
        <v>53</v>
      </c>
      <c r="G38" s="16" t="s">
        <v>54</v>
      </c>
      <c r="H38" s="56"/>
    </row>
    <row r="39" spans="1:8" s="22" customFormat="1" x14ac:dyDescent="0.25">
      <c r="A39" s="35">
        <v>1</v>
      </c>
      <c r="B39" s="34" t="s">
        <v>116</v>
      </c>
      <c r="C39" s="10"/>
      <c r="D39" s="35">
        <v>6</v>
      </c>
      <c r="E39" s="36">
        <v>3</v>
      </c>
      <c r="F39" s="21" t="s">
        <v>152</v>
      </c>
      <c r="G39" s="21">
        <v>21</v>
      </c>
      <c r="H39" s="21"/>
    </row>
    <row r="40" spans="1:8" s="22" customFormat="1" x14ac:dyDescent="0.25">
      <c r="A40" s="35">
        <v>2</v>
      </c>
      <c r="B40" s="34" t="s">
        <v>105</v>
      </c>
      <c r="C40" s="10"/>
      <c r="D40" s="35">
        <v>5</v>
      </c>
      <c r="E40" s="36">
        <v>4</v>
      </c>
      <c r="F40" s="21" t="s">
        <v>154</v>
      </c>
      <c r="G40" s="21">
        <v>23</v>
      </c>
      <c r="H40" s="21"/>
    </row>
    <row r="41" spans="1:8" s="22" customFormat="1" x14ac:dyDescent="0.25">
      <c r="A41" s="35">
        <v>3</v>
      </c>
      <c r="B41" s="34" t="s">
        <v>125</v>
      </c>
      <c r="C41" s="10"/>
      <c r="D41" s="35">
        <v>4</v>
      </c>
      <c r="E41" s="36">
        <v>2</v>
      </c>
      <c r="F41" s="21" t="s">
        <v>152</v>
      </c>
      <c r="G41" s="21">
        <v>10</v>
      </c>
      <c r="H41" s="21"/>
    </row>
  </sheetData>
  <mergeCells count="39">
    <mergeCell ref="H30:H31"/>
    <mergeCell ref="F36:H36"/>
    <mergeCell ref="A37:A38"/>
    <mergeCell ref="B37:B38"/>
    <mergeCell ref="C37:C38"/>
    <mergeCell ref="D37:D38"/>
    <mergeCell ref="E37:E38"/>
    <mergeCell ref="F37:G37"/>
    <mergeCell ref="H37:H38"/>
    <mergeCell ref="A30:A31"/>
    <mergeCell ref="B30:B31"/>
    <mergeCell ref="C30:C31"/>
    <mergeCell ref="D30:D31"/>
    <mergeCell ref="E30:E31"/>
    <mergeCell ref="F30:G30"/>
    <mergeCell ref="H17:H18"/>
    <mergeCell ref="A24:H24"/>
    <mergeCell ref="B25:G25"/>
    <mergeCell ref="B26:G26"/>
    <mergeCell ref="B27:G27"/>
    <mergeCell ref="A17:A18"/>
    <mergeCell ref="B17:B18"/>
    <mergeCell ref="C17:C18"/>
    <mergeCell ref="D17:D18"/>
    <mergeCell ref="E17:E18"/>
    <mergeCell ref="F17:G17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1:H11"/>
    <mergeCell ref="B12:G12"/>
    <mergeCell ref="B13:G13"/>
    <mergeCell ref="B14:G14"/>
  </mergeCells>
  <printOptions horizontalCentered="1"/>
  <pageMargins left="0.15748031496062992" right="0.23622047244094491" top="0.39370078740157483" bottom="0.27559055118110237" header="0.15748031496062992" footer="0.15748031496062992"/>
  <pageSetup orientation="portrait" r:id="rId1"/>
  <rowBreaks count="1" manualBreakCount="1">
    <brk id="2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115" zoomScaleNormal="85" zoomScaleSheetLayoutView="115" workbookViewId="0">
      <selection activeCell="G17" sqref="G17"/>
    </sheetView>
  </sheetViews>
  <sheetFormatPr defaultColWidth="9.140625" defaultRowHeight="15.75" x14ac:dyDescent="0.25"/>
  <cols>
    <col min="1" max="1" width="7.140625" style="12" bestFit="1" customWidth="1"/>
    <col min="2" max="2" width="23.5703125" style="12" bestFit="1" customWidth="1"/>
    <col min="3" max="3" width="12.42578125" style="26" bestFit="1" customWidth="1"/>
    <col min="4" max="4" width="9.140625" style="12"/>
    <col min="5" max="6" width="10.28515625" style="12" customWidth="1"/>
    <col min="7" max="7" width="18.42578125" style="12" customWidth="1"/>
    <col min="8" max="16384" width="9.140625" style="12"/>
  </cols>
  <sheetData>
    <row r="1" spans="1:7" x14ac:dyDescent="0.25">
      <c r="A1" s="53" t="s">
        <v>192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60</v>
      </c>
      <c r="E3" s="57" t="s">
        <v>51</v>
      </c>
      <c r="F3" s="57"/>
      <c r="G3" s="57" t="s">
        <v>61</v>
      </c>
    </row>
    <row r="4" spans="1:7" ht="31.5" x14ac:dyDescent="0.25">
      <c r="A4" s="57"/>
      <c r="B4" s="57"/>
      <c r="C4" s="52"/>
      <c r="D4" s="57"/>
      <c r="E4" s="16" t="s">
        <v>62</v>
      </c>
      <c r="F4" s="16" t="s">
        <v>63</v>
      </c>
      <c r="G4" s="57"/>
    </row>
    <row r="5" spans="1:7" x14ac:dyDescent="0.25">
      <c r="A5" s="57"/>
      <c r="B5" s="57"/>
      <c r="C5" s="52"/>
      <c r="D5" s="57"/>
      <c r="E5" s="16" t="s">
        <v>64</v>
      </c>
      <c r="F5" s="16" t="s">
        <v>70</v>
      </c>
      <c r="G5" s="57"/>
    </row>
    <row r="6" spans="1:7" x14ac:dyDescent="0.25">
      <c r="A6" s="10">
        <v>1</v>
      </c>
      <c r="B6" s="16" t="s">
        <v>121</v>
      </c>
      <c r="C6" s="37" t="s">
        <v>145</v>
      </c>
      <c r="D6" s="16">
        <v>20</v>
      </c>
      <c r="E6" s="16" t="s">
        <v>149</v>
      </c>
      <c r="F6" s="16">
        <v>110</v>
      </c>
      <c r="G6" s="16"/>
    </row>
    <row r="7" spans="1:7" x14ac:dyDescent="0.25">
      <c r="A7" s="10">
        <v>2</v>
      </c>
      <c r="B7" s="16" t="s">
        <v>126</v>
      </c>
      <c r="C7" s="37" t="s">
        <v>147</v>
      </c>
      <c r="D7" s="16">
        <v>50</v>
      </c>
      <c r="E7" s="16" t="s">
        <v>150</v>
      </c>
      <c r="F7" s="16">
        <v>220</v>
      </c>
      <c r="G7" s="16"/>
    </row>
    <row r="8" spans="1:7" x14ac:dyDescent="0.25">
      <c r="A8" s="10">
        <v>3</v>
      </c>
      <c r="B8" s="16" t="s">
        <v>127</v>
      </c>
      <c r="C8" s="37" t="s">
        <v>146</v>
      </c>
      <c r="D8" s="16">
        <v>35</v>
      </c>
      <c r="E8" s="16" t="s">
        <v>150</v>
      </c>
      <c r="F8" s="16">
        <v>180</v>
      </c>
      <c r="G8" s="16"/>
    </row>
    <row r="9" spans="1:7" x14ac:dyDescent="0.25">
      <c r="A9" s="57" t="s">
        <v>55</v>
      </c>
      <c r="B9" s="57"/>
      <c r="C9" s="57"/>
      <c r="D9" s="57"/>
      <c r="E9" s="57"/>
      <c r="F9" s="57"/>
      <c r="G9" s="57"/>
    </row>
    <row r="10" spans="1:7" x14ac:dyDescent="0.25">
      <c r="A10" s="24"/>
      <c r="B10" s="30"/>
      <c r="C10" s="33"/>
      <c r="D10" s="24"/>
      <c r="E10" s="30"/>
      <c r="F10" s="30"/>
      <c r="G10" s="30"/>
    </row>
    <row r="11" spans="1:7" s="22" customFormat="1" x14ac:dyDescent="0.25">
      <c r="B11" s="38" t="s">
        <v>66</v>
      </c>
      <c r="C11" s="39"/>
      <c r="E11" s="53" t="s">
        <v>67</v>
      </c>
      <c r="F11" s="53"/>
      <c r="G11" s="53"/>
    </row>
    <row r="12" spans="1:7" x14ac:dyDescent="0.25">
      <c r="A12" s="57" t="s">
        <v>46</v>
      </c>
      <c r="B12" s="57" t="s">
        <v>47</v>
      </c>
      <c r="C12" s="62" t="s">
        <v>48</v>
      </c>
      <c r="D12" s="57" t="s">
        <v>60</v>
      </c>
      <c r="E12" s="57" t="s">
        <v>51</v>
      </c>
      <c r="F12" s="57"/>
      <c r="G12" s="57" t="s">
        <v>61</v>
      </c>
    </row>
    <row r="13" spans="1:7" ht="31.5" x14ac:dyDescent="0.25">
      <c r="A13" s="57"/>
      <c r="B13" s="57"/>
      <c r="C13" s="63"/>
      <c r="D13" s="57"/>
      <c r="E13" s="16" t="s">
        <v>62</v>
      </c>
      <c r="F13" s="16" t="s">
        <v>63</v>
      </c>
      <c r="G13" s="57"/>
    </row>
    <row r="14" spans="1:7" ht="31.5" x14ac:dyDescent="0.25">
      <c r="A14" s="57"/>
      <c r="B14" s="57"/>
      <c r="C14" s="64"/>
      <c r="D14" s="57"/>
      <c r="E14" s="16" t="s">
        <v>64</v>
      </c>
      <c r="F14" s="16" t="s">
        <v>65</v>
      </c>
      <c r="G14" s="57"/>
    </row>
    <row r="15" spans="1:7" s="22" customFormat="1" x14ac:dyDescent="0.25">
      <c r="A15" s="35">
        <v>1</v>
      </c>
      <c r="B15" s="21" t="s">
        <v>125</v>
      </c>
      <c r="C15" s="40"/>
      <c r="D15" s="35">
        <v>52</v>
      </c>
      <c r="E15" s="21" t="s">
        <v>151</v>
      </c>
      <c r="F15" s="21">
        <v>230</v>
      </c>
      <c r="G15" s="21"/>
    </row>
    <row r="16" spans="1:7" s="22" customFormat="1" x14ac:dyDescent="0.25">
      <c r="A16" s="35">
        <v>2</v>
      </c>
      <c r="B16" s="21" t="s">
        <v>128</v>
      </c>
      <c r="C16" s="40"/>
      <c r="D16" s="35">
        <v>45</v>
      </c>
      <c r="E16" s="21" t="s">
        <v>151</v>
      </c>
      <c r="F16" s="21">
        <v>200</v>
      </c>
      <c r="G16" s="21"/>
    </row>
    <row r="17" spans="1:7" s="22" customFormat="1" x14ac:dyDescent="0.25">
      <c r="A17" s="35">
        <v>3</v>
      </c>
      <c r="B17" s="21" t="s">
        <v>128</v>
      </c>
      <c r="C17" s="40"/>
      <c r="D17" s="35">
        <v>33</v>
      </c>
      <c r="E17" s="21" t="s">
        <v>151</v>
      </c>
      <c r="F17" s="21">
        <v>170</v>
      </c>
      <c r="G17" s="21"/>
    </row>
    <row r="18" spans="1:7" s="22" customFormat="1" x14ac:dyDescent="0.25">
      <c r="A18" s="35">
        <v>4</v>
      </c>
      <c r="B18" s="21" t="s">
        <v>128</v>
      </c>
      <c r="C18" s="40"/>
      <c r="D18" s="35">
        <v>39</v>
      </c>
      <c r="E18" s="21" t="s">
        <v>151</v>
      </c>
      <c r="F18" s="21">
        <v>185</v>
      </c>
      <c r="G18" s="21"/>
    </row>
    <row r="19" spans="1:7" s="22" customFormat="1" x14ac:dyDescent="0.25">
      <c r="A19" s="35">
        <v>5</v>
      </c>
      <c r="B19" s="21" t="s">
        <v>148</v>
      </c>
      <c r="C19" s="40" t="s">
        <v>129</v>
      </c>
      <c r="D19" s="35">
        <v>32</v>
      </c>
      <c r="E19" s="21" t="s">
        <v>149</v>
      </c>
      <c r="F19" s="21">
        <v>175</v>
      </c>
      <c r="G19" s="21"/>
    </row>
  </sheetData>
  <mergeCells count="16">
    <mergeCell ref="A9:G9"/>
    <mergeCell ref="E11:G11"/>
    <mergeCell ref="A12:A14"/>
    <mergeCell ref="B12:B14"/>
    <mergeCell ref="C12:C14"/>
    <mergeCell ref="D12:D14"/>
    <mergeCell ref="E12:F12"/>
    <mergeCell ref="G12:G14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2024-10-24T11:14:18Z</cp:lastPrinted>
  <dcterms:created xsi:type="dcterms:W3CDTF">2023-09-21T06:16:02Z</dcterms:created>
  <dcterms:modified xsi:type="dcterms:W3CDTF">2024-10-24T11:14:19Z</dcterms:modified>
</cp:coreProperties>
</file>