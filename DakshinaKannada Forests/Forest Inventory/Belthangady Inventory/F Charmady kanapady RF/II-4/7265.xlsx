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4\"/>
    </mc:Choice>
  </mc:AlternateContent>
  <xr:revisionPtr revIDLastSave="0" documentId="13_ncr:1_{D28EF835-98E6-4418-8530-A46F5E5FFD2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6" i="8"/>
  <c r="B27" i="8"/>
  <c r="B14" i="8"/>
</calcChain>
</file>

<file path=xl/sharedStrings.xml><?xml version="1.0" encoding="utf-8"?>
<sst xmlns="http://schemas.openxmlformats.org/spreadsheetml/2006/main" count="304" uniqueCount="182">
  <si>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</si>
  <si>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</si>
  <si>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</si>
  <si>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</si>
  <si>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</si>
  <si>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</si>
  <si>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</si>
  <si>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</si>
  <si>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</si>
  <si>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</si>
  <si>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</si>
  <si>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</si>
  <si>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</si>
  <si>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</si>
  <si>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</si>
  <si>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</si>
  <si>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</si>
  <si>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</si>
  <si>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</si>
  <si>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</si>
  <si>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</si>
  <si>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</si>
  <si>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</si>
  <si>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</si>
  <si>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</si>
  <si>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</si>
  <si>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</si>
  <si>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</si>
  <si>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</si>
  <si>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</si>
  <si>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</si>
  <si>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</si>
  <si>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</si>
  <si>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</si>
  <si>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</si>
  <si>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</si>
  <si>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</si>
  <si>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</si>
  <si>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</si>
  <si>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</si>
  <si>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</si>
  <si>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</si>
  <si>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</si>
  <si>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</si>
  <si>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</si>
  <si>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</si>
  <si>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</si>
  <si>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</si>
  <si>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</si>
  <si>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</si>
  <si>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</si>
  <si>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</si>
  <si>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</si>
  <si>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</si>
  <si>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</si>
  <si>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</si>
  <si>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</si>
  <si>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</si>
  <si>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</si>
  <si>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</si>
  <si>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</si>
  <si>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</si>
  <si>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</si>
  <si>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</si>
  <si>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</si>
  <si>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</si>
  <si>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</si>
  <si>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</si>
  <si>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</si>
  <si>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</si>
  <si>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</si>
  <si>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</si>
  <si>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</si>
  <si>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</si>
  <si>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</si>
  <si>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</si>
  <si>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upyo Ujire to Charmadi upto Thrish waterfalls upto N.13.073745 E.75.437795 in the bearing of 47 degree for 1.05km to reach the grid</t>
  </si>
  <si>
    <t xml:space="preserve">Mangifera indica , Veteria indica , Artocarpus hirusts , Careya arborea </t>
  </si>
  <si>
    <t>Tract -Hilly undulating</t>
  </si>
  <si>
    <t xml:space="preserve">Aspect -No fixed </t>
  </si>
  <si>
    <t>Canopy Dencity -0.8</t>
  </si>
  <si>
    <t>Soil - humus rich loamy</t>
  </si>
  <si>
    <t xml:space="preserve">Grasses - Digiteria sp </t>
  </si>
  <si>
    <t xml:space="preserve">Weeds -Urena lobata, Chromolaena odorata </t>
  </si>
  <si>
    <t xml:space="preserve">Bamboos - Ochlandra sp </t>
  </si>
  <si>
    <t xml:space="preserve">Herbs - Clerodendrum infortunatum , Psychotria flavida </t>
  </si>
  <si>
    <t xml:space="preserve">Shrubs - Heliscteres isora , Psychotria flavida ,Aporosa lindleyana </t>
  </si>
  <si>
    <t xml:space="preserve">Underwood species – Aporosa lindleyana , Leea indica , Terminalia paniculata </t>
  </si>
  <si>
    <t xml:space="preserve">Climbers - Pothos scandens , Piper nigrum </t>
  </si>
  <si>
    <t xml:space="preserve">Rattans – Calamus rotung , Calamus thwiitesii </t>
  </si>
  <si>
    <t xml:space="preserve">NTFP yieding sps – Mangifera indica , Veteria indica </t>
  </si>
  <si>
    <t>NIL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</si>
  <si>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</si>
  <si>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</si>
  <si>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 xml:space="preserve">Hilly </t>
    </r>
    <r>
      <rPr>
        <sz val="12"/>
        <rFont val="Times New Roman"/>
        <family val="1"/>
      </rPr>
      <t>/Very Hilly</t>
    </r>
  </si>
  <si>
    <r>
      <t xml:space="preserve">Upto 3° /4°-15°/ </t>
    </r>
    <r>
      <rPr>
        <b/>
        <sz val="12"/>
        <rFont val="Times New Roman"/>
        <family val="1"/>
      </rPr>
      <t>16°-40°</t>
    </r>
    <r>
      <rPr>
        <sz val="12"/>
        <rFont val="Times New Roman"/>
        <family val="1"/>
      </rPr>
      <t xml:space="preserve">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</si>
  <si>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</si>
  <si>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</si>
  <si>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</si>
  <si>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Veteria indica , Holigarna arnattiana , Aporosa lindleyana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</si>
  <si>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</si>
  <si>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</si>
  <si>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Insects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</si>
  <si>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</si>
  <si>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</si>
  <si>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</si>
  <si>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</si>
  <si>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Veteria indica </t>
  </si>
  <si>
    <t xml:space="preserve">Holigarna arnattiana </t>
  </si>
  <si>
    <t xml:space="preserve">Hopea ponga </t>
  </si>
  <si>
    <t xml:space="preserve">Kingiyodendron pinnatum </t>
  </si>
  <si>
    <t xml:space="preserve">Myristica malabarica </t>
  </si>
  <si>
    <t>Chemeo costus sp</t>
  </si>
  <si>
    <t>Caryota urens</t>
  </si>
  <si>
    <t>Veteria indica</t>
  </si>
  <si>
    <t xml:space="preserve">Ventilago sp </t>
  </si>
  <si>
    <t xml:space="preserve">Derris sp </t>
  </si>
  <si>
    <t>Myristica malabarica</t>
  </si>
  <si>
    <t>Ixora brachiata</t>
  </si>
  <si>
    <t>1.2kg</t>
  </si>
  <si>
    <t xml:space="preserve">Goniothalamus cardiopetalus </t>
  </si>
  <si>
    <t>Hopea ponga</t>
  </si>
  <si>
    <t>Dichepetalum apetalum</t>
  </si>
  <si>
    <t>Belthangady</t>
  </si>
  <si>
    <t xml:space="preserve">Charmady kanapady RF </t>
  </si>
  <si>
    <t>II-4</t>
  </si>
  <si>
    <t>Texture- Loamy</t>
  </si>
  <si>
    <t>Depth- Deep</t>
  </si>
  <si>
    <t>879 ft</t>
  </si>
  <si>
    <t>190g</t>
  </si>
  <si>
    <t>88g</t>
  </si>
  <si>
    <t>800g</t>
  </si>
  <si>
    <t>Mangalore Division</t>
  </si>
  <si>
    <t>Ramapatre</t>
  </si>
  <si>
    <t>Gorbale</t>
  </si>
  <si>
    <t>Chau paini</t>
  </si>
  <si>
    <t>Haiga</t>
  </si>
  <si>
    <t>Dhoopa</t>
  </si>
  <si>
    <t>Baine</t>
  </si>
  <si>
    <t>Insulin Plant</t>
  </si>
  <si>
    <t>Haruge</t>
  </si>
  <si>
    <t>Neruhalasu</t>
  </si>
  <si>
    <t>Stem</t>
  </si>
  <si>
    <t>Fruit</t>
  </si>
  <si>
    <t>Resin</t>
  </si>
  <si>
    <t>Leaves</t>
  </si>
  <si>
    <t>Flower</t>
  </si>
  <si>
    <t xml:space="preserve">Fruit </t>
  </si>
  <si>
    <t>FORM – A1</t>
  </si>
  <si>
    <t>PLOT ENUMERATION (31.62mX 31.62m Central Plot/lateral plot)</t>
  </si>
  <si>
    <t xml:space="preserve">Beat: </t>
  </si>
  <si>
    <t xml:space="preserve">ALT: </t>
  </si>
  <si>
    <t>Remarks, if any, about the tree condition</t>
  </si>
  <si>
    <t>Part of the tree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</si>
  <si>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</si>
  <si>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</si>
  <si>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</si>
  <si>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</si>
  <si>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</si>
  <si>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</si>
  <si>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</si>
  <si>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</si>
  <si>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</si>
  <si>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</si>
  <si>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</si>
  <si>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</si>
  <si>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</si>
  <si>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</si>
  <si>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</si>
  <si>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</si>
  <si>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</si>
  <si>
    <t>GBH 
(cm)</t>
  </si>
  <si>
    <t>Height of selected dominant trees (m)</t>
  </si>
  <si>
    <t>GBH (OB) (cm)</t>
  </si>
  <si>
    <t>Compartment No: II-5</t>
  </si>
  <si>
    <t xml:space="preserve">Block /Village: Charmady kanapady RF </t>
  </si>
  <si>
    <t>Range: Belthangady</t>
  </si>
  <si>
    <t>Division: Mangalore</t>
  </si>
  <si>
    <t>LAT: 13.060221</t>
  </si>
  <si>
    <t>LONG: 75.409946</t>
  </si>
  <si>
    <t>Grid No:7160</t>
  </si>
  <si>
    <t xml:space="preserve">FORM A-2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</si>
</sst>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view="pageBreakPreview" zoomScaleSheetLayoutView="100" workbookViewId="0">
      <selection activeCell="C11" sqref="C11"/>
    </sheetView>
  </sheetViews>
  <sheetFormatPr defaultColWidth="9.140625" defaultRowHeight="24.75" customHeight="1" x14ac:dyDescent="0.25"/>
  <cols>
    <col min="1" max="1" width="6.5703125" style="1" bestFit="1" customWidth="1"/>
    <col min="2" max="2" width="34.42578125" style="1" bestFit="1" customWidth="1"/>
    <col min="3" max="3" width="51.85546875" style="1" customWidth="1"/>
    <col min="4" max="16384" width="9.140625" style="1"/>
  </cols>
  <sheetData>
    <row r="1" spans="1:3" ht="24.75" customHeight="1" x14ac:dyDescent="0.25">
      <c r="A1" s="51" t="s">
        <v>0</v>
      </c>
      <c r="B1" s="51"/>
      <c r="C1" s="51"/>
    </row>
    <row r="2" spans="1:3" ht="24.75" customHeight="1" x14ac:dyDescent="0.25">
      <c r="A2" s="51" t="s">
        <v>1</v>
      </c>
      <c r="B2" s="51"/>
      <c r="C2" s="51"/>
    </row>
    <row r="3" spans="1:3" s="2" customFormat="1" ht="24.75" customHeight="1" x14ac:dyDescent="0.25">
      <c r="A3" s="51" t="s">
        <v>2</v>
      </c>
      <c r="B3" s="51"/>
      <c r="C3" s="41" t="s">
        <v>132</v>
      </c>
    </row>
    <row r="4" spans="1:3" s="4" customFormat="1" ht="24.75" customHeight="1" x14ac:dyDescent="0.25">
      <c r="A4" s="3" t="s">
        <v>3</v>
      </c>
      <c r="B4" s="3" t="s">
        <v>4</v>
      </c>
      <c r="C4" s="3" t="s">
        <v>5</v>
      </c>
    </row>
    <row r="5" spans="1:3" ht="27.75" customHeight="1" x14ac:dyDescent="0.25">
      <c r="A5" s="3">
        <v>1</v>
      </c>
      <c r="B5" s="38" t="s">
        <v>6</v>
      </c>
      <c r="C5" s="6" t="s">
        <v>123</v>
      </c>
    </row>
    <row r="6" spans="1:3" ht="27.75" customHeight="1" x14ac:dyDescent="0.25">
      <c r="A6" s="3">
        <v>2</v>
      </c>
      <c r="B6" s="38" t="s">
        <v>7</v>
      </c>
      <c r="C6" s="7" t="s">
        <v>124</v>
      </c>
    </row>
    <row r="7" spans="1:3" ht="27.75" customHeight="1" x14ac:dyDescent="0.25">
      <c r="A7" s="3">
        <v>3</v>
      </c>
      <c r="B7" s="38" t="s">
        <v>8</v>
      </c>
      <c r="C7" s="7" t="s">
        <v>125</v>
      </c>
    </row>
    <row r="8" spans="1:3" ht="27.75" customHeight="1" x14ac:dyDescent="0.25">
      <c r="A8" s="3">
        <v>4</v>
      </c>
      <c r="B8" s="38" t="s">
        <v>9</v>
      </c>
      <c r="C8" s="7">
        <v>7265</v>
      </c>
    </row>
    <row r="9" spans="1:3" ht="27.75" customHeight="1" x14ac:dyDescent="0.25">
      <c r="A9" s="3">
        <v>5</v>
      </c>
      <c r="B9" s="38" t="s">
        <v>10</v>
      </c>
      <c r="C9" s="40">
        <v>13.080508999999999</v>
      </c>
    </row>
    <row r="10" spans="1:3" ht="27.75" customHeight="1" x14ac:dyDescent="0.25">
      <c r="A10" s="3">
        <v>6</v>
      </c>
      <c r="B10" s="38" t="s">
        <v>11</v>
      </c>
      <c r="C10" s="8">
        <v>75.444570999999996</v>
      </c>
    </row>
    <row r="11" spans="1:3" ht="47.25" x14ac:dyDescent="0.25">
      <c r="A11" s="3">
        <v>7</v>
      </c>
      <c r="B11" s="38" t="s">
        <v>12</v>
      </c>
      <c r="C11" s="8" t="s">
        <v>76</v>
      </c>
    </row>
    <row r="12" spans="1:3" ht="31.5" x14ac:dyDescent="0.25">
      <c r="A12" s="3">
        <v>8</v>
      </c>
      <c r="B12" s="38" t="s">
        <v>13</v>
      </c>
      <c r="C12" s="8" t="s">
        <v>77</v>
      </c>
    </row>
    <row r="13" spans="1:3" ht="27.75" customHeight="1" x14ac:dyDescent="0.25">
      <c r="A13" s="52">
        <v>9</v>
      </c>
      <c r="B13" s="53" t="s">
        <v>14</v>
      </c>
      <c r="C13" s="5" t="s">
        <v>78</v>
      </c>
    </row>
    <row r="14" spans="1:3" ht="27.75" customHeight="1" x14ac:dyDescent="0.25">
      <c r="A14" s="52"/>
      <c r="B14" s="53"/>
      <c r="C14" s="5" t="s">
        <v>79</v>
      </c>
    </row>
    <row r="15" spans="1:3" ht="27.75" customHeight="1" x14ac:dyDescent="0.25">
      <c r="A15" s="52"/>
      <c r="B15" s="53"/>
      <c r="C15" s="5" t="s">
        <v>80</v>
      </c>
    </row>
    <row r="16" spans="1:3" ht="27.75" customHeight="1" x14ac:dyDescent="0.25">
      <c r="A16" s="52"/>
      <c r="B16" s="53"/>
      <c r="C16" s="5" t="s">
        <v>81</v>
      </c>
    </row>
    <row r="17" spans="1:3" ht="27.75" customHeight="1" x14ac:dyDescent="0.25">
      <c r="A17" s="52"/>
      <c r="B17" s="53"/>
      <c r="C17" s="5" t="s">
        <v>82</v>
      </c>
    </row>
    <row r="18" spans="1:3" ht="27.75" customHeight="1" x14ac:dyDescent="0.25">
      <c r="A18" s="52"/>
      <c r="B18" s="53"/>
      <c r="C18" s="5" t="s">
        <v>83</v>
      </c>
    </row>
    <row r="19" spans="1:3" ht="27.75" customHeight="1" x14ac:dyDescent="0.25">
      <c r="A19" s="52"/>
      <c r="B19" s="53"/>
      <c r="C19" s="5" t="s">
        <v>84</v>
      </c>
    </row>
    <row r="20" spans="1:3" ht="27.75" customHeight="1" x14ac:dyDescent="0.25">
      <c r="A20" s="52"/>
      <c r="B20" s="53"/>
      <c r="C20" s="5" t="s">
        <v>85</v>
      </c>
    </row>
    <row r="21" spans="1:3" ht="31.5" x14ac:dyDescent="0.25">
      <c r="A21" s="52"/>
      <c r="B21" s="53"/>
      <c r="C21" s="5" t="s">
        <v>86</v>
      </c>
    </row>
    <row r="22" spans="1:3" ht="31.5" x14ac:dyDescent="0.25">
      <c r="A22" s="52"/>
      <c r="B22" s="53"/>
      <c r="C22" s="5" t="s">
        <v>87</v>
      </c>
    </row>
    <row r="23" spans="1:3" ht="27.75" customHeight="1" x14ac:dyDescent="0.25">
      <c r="A23" s="52"/>
      <c r="B23" s="53"/>
      <c r="C23" s="5" t="s">
        <v>88</v>
      </c>
    </row>
    <row r="24" spans="1:3" ht="27.75" customHeight="1" x14ac:dyDescent="0.25">
      <c r="A24" s="52"/>
      <c r="B24" s="53"/>
      <c r="C24" s="5" t="s">
        <v>89</v>
      </c>
    </row>
    <row r="25" spans="1:3" ht="27.75" customHeight="1" x14ac:dyDescent="0.25">
      <c r="A25" s="52"/>
      <c r="B25" s="53"/>
      <c r="C25" s="5" t="s">
        <v>90</v>
      </c>
    </row>
    <row r="26" spans="1:3" ht="27.75" customHeight="1" x14ac:dyDescent="0.25">
      <c r="A26" s="3">
        <v>10</v>
      </c>
      <c r="B26" s="38" t="s">
        <v>15</v>
      </c>
      <c r="C26" s="5" t="s">
        <v>91</v>
      </c>
    </row>
    <row r="27" spans="1:3" ht="27.75" customHeight="1" x14ac:dyDescent="0.25">
      <c r="A27" s="3">
        <v>11</v>
      </c>
      <c r="B27" s="38" t="s">
        <v>16</v>
      </c>
      <c r="C27" s="7" t="s">
        <v>91</v>
      </c>
    </row>
    <row r="28" spans="1:3" ht="24.75" customHeight="1" x14ac:dyDescent="0.25">
      <c r="A28" s="14"/>
    </row>
    <row r="29" spans="1:3" ht="24.75" customHeight="1" x14ac:dyDescent="0.25">
      <c r="A29" s="14"/>
    </row>
    <row r="30" spans="1:3" ht="24.75" customHeight="1" x14ac:dyDescent="0.25">
      <c r="A30" s="14"/>
    </row>
    <row r="31" spans="1:3" ht="24.75" customHeight="1" x14ac:dyDescent="0.25">
      <c r="A31" s="14"/>
    </row>
    <row r="32" spans="1:3" ht="24.75" customHeight="1" x14ac:dyDescent="0.25">
      <c r="A32" s="14"/>
    </row>
    <row r="33" spans="1:1" ht="24.75" customHeight="1" x14ac:dyDescent="0.25">
      <c r="A33" s="14"/>
    </row>
    <row r="44" spans="1:1" ht="24.75" customHeight="1" x14ac:dyDescent="0.25">
      <c r="A44" s="14"/>
    </row>
    <row r="45" spans="1:1" ht="24.75" customHeight="1" x14ac:dyDescent="0.25">
      <c r="A45" s="14"/>
    </row>
    <row r="46" spans="1:1" ht="24.75" customHeight="1" x14ac:dyDescent="0.25">
      <c r="A46" s="14"/>
    </row>
    <row r="47" spans="1:1" ht="24.75" customHeight="1" x14ac:dyDescent="0.25">
      <c r="A47" s="14"/>
    </row>
    <row r="48" spans="1:1" ht="24.75" customHeight="1" x14ac:dyDescent="0.25">
      <c r="A48" s="14"/>
    </row>
    <row r="49" spans="1:1" ht="24.75" customHeight="1" x14ac:dyDescent="0.25">
      <c r="A49" s="14"/>
    </row>
    <row r="50" spans="1:1" ht="24.75" customHeight="1" x14ac:dyDescent="0.25">
      <c r="A50" s="14"/>
    </row>
    <row r="51" spans="1:1" ht="24.75" customHeight="1" x14ac:dyDescent="0.25">
      <c r="A51" s="14"/>
    </row>
    <row r="52" spans="1:1" ht="24.75" customHeight="1" x14ac:dyDescent="0.25">
      <c r="A52" s="14"/>
    </row>
    <row r="53" spans="1:1" ht="24.75" customHeight="1" x14ac:dyDescent="0.25">
      <c r="A53" s="13"/>
    </row>
    <row r="61" spans="1:1" ht="24.75" customHeight="1" x14ac:dyDescent="0.25">
      <c r="A61" s="14"/>
    </row>
    <row r="69" spans="1:1" ht="24.75" customHeight="1" x14ac:dyDescent="0.25">
      <c r="A69" s="12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3" sqref="C3"/>
    </sheetView>
  </sheetViews>
  <sheetFormatPr defaultColWidth="9.140625" defaultRowHeight="25.5" customHeight="1" x14ac:dyDescent="0.25"/>
  <cols>
    <col min="1" max="1" width="6.5703125" style="12" bestFit="1" customWidth="1"/>
    <col min="2" max="2" width="41.5703125" style="12" bestFit="1" customWidth="1"/>
    <col min="3" max="3" width="48.42578125" style="12" customWidth="1"/>
    <col min="4" max="16384" width="9.140625" style="12"/>
  </cols>
  <sheetData>
    <row r="1" spans="1:3" ht="25.5" customHeight="1" x14ac:dyDescent="0.25">
      <c r="A1" s="54" t="s">
        <v>17</v>
      </c>
      <c r="B1" s="54"/>
      <c r="C1" s="54"/>
    </row>
    <row r="2" spans="1:3" ht="25.5" customHeight="1" x14ac:dyDescent="0.25">
      <c r="A2" s="54" t="s">
        <v>18</v>
      </c>
      <c r="B2" s="54"/>
      <c r="C2" s="54"/>
    </row>
    <row r="3" spans="1:3" s="13" customFormat="1" ht="25.5" customHeight="1" x14ac:dyDescent="0.25">
      <c r="A3" s="54" t="s">
        <v>2</v>
      </c>
      <c r="B3" s="54"/>
      <c r="C3" s="41" t="s">
        <v>132</v>
      </c>
    </row>
    <row r="4" spans="1:3" s="16" customFormat="1" ht="25.5" customHeight="1" x14ac:dyDescent="0.25">
      <c r="A4" s="15" t="s">
        <v>3</v>
      </c>
      <c r="B4" s="15" t="s">
        <v>5</v>
      </c>
      <c r="C4" s="15" t="s">
        <v>19</v>
      </c>
    </row>
    <row r="5" spans="1:3" ht="27" customHeight="1" x14ac:dyDescent="0.25">
      <c r="A5" s="9">
        <v>1</v>
      </c>
      <c r="B5" s="39" t="s">
        <v>6</v>
      </c>
      <c r="C5" s="17" t="str">
        <f>'Form 1'!C5</f>
        <v>Belthangady</v>
      </c>
    </row>
    <row r="6" spans="1:3" ht="27" customHeight="1" x14ac:dyDescent="0.25">
      <c r="A6" s="9">
        <v>2</v>
      </c>
      <c r="B6" s="39" t="s">
        <v>72</v>
      </c>
      <c r="C6" s="17"/>
    </row>
    <row r="7" spans="1:3" ht="27" customHeight="1" x14ac:dyDescent="0.25">
      <c r="A7" s="9">
        <v>3</v>
      </c>
      <c r="B7" s="39" t="s">
        <v>69</v>
      </c>
      <c r="C7" s="17" t="str">
        <f>'Form 1'!C6</f>
        <v xml:space="preserve">Charmady kanapady RF </v>
      </c>
    </row>
    <row r="8" spans="1:3" ht="27" customHeight="1" x14ac:dyDescent="0.25">
      <c r="A8" s="9">
        <v>4</v>
      </c>
      <c r="B8" s="39" t="s">
        <v>9</v>
      </c>
      <c r="C8" s="17">
        <f>'Form 1'!C8</f>
        <v>7265</v>
      </c>
    </row>
    <row r="9" spans="1:3" ht="27" customHeight="1" x14ac:dyDescent="0.25">
      <c r="A9" s="9">
        <v>5</v>
      </c>
      <c r="B9" s="39" t="s">
        <v>20</v>
      </c>
      <c r="C9" s="18">
        <f>'Form 1'!C9</f>
        <v>13.080508999999999</v>
      </c>
    </row>
    <row r="10" spans="1:3" ht="27" customHeight="1" x14ac:dyDescent="0.25">
      <c r="A10" s="9">
        <v>6</v>
      </c>
      <c r="B10" s="39" t="s">
        <v>21</v>
      </c>
      <c r="C10" s="18">
        <f>'Form 1'!C10</f>
        <v>75.444570999999996</v>
      </c>
    </row>
    <row r="11" spans="1:3" ht="27" customHeight="1" x14ac:dyDescent="0.25">
      <c r="A11" s="9">
        <v>7</v>
      </c>
      <c r="B11" s="39" t="s">
        <v>22</v>
      </c>
      <c r="C11" s="17" t="s">
        <v>128</v>
      </c>
    </row>
    <row r="12" spans="1:3" ht="31.5" x14ac:dyDescent="0.25">
      <c r="A12" s="9">
        <v>8</v>
      </c>
      <c r="B12" s="39" t="s">
        <v>23</v>
      </c>
      <c r="C12" s="17" t="s">
        <v>92</v>
      </c>
    </row>
    <row r="13" spans="1:3" ht="27" customHeight="1" x14ac:dyDescent="0.25">
      <c r="A13" s="9">
        <v>9</v>
      </c>
      <c r="B13" s="39" t="s">
        <v>24</v>
      </c>
      <c r="C13" s="17" t="s">
        <v>93</v>
      </c>
    </row>
    <row r="14" spans="1:3" ht="31.5" x14ac:dyDescent="0.25">
      <c r="A14" s="9">
        <v>10</v>
      </c>
      <c r="B14" s="39" t="s">
        <v>25</v>
      </c>
      <c r="C14" s="17" t="s">
        <v>94</v>
      </c>
    </row>
    <row r="15" spans="1:3" ht="27" customHeight="1" x14ac:dyDescent="0.25">
      <c r="A15" s="9">
        <v>11</v>
      </c>
      <c r="B15" s="39" t="s">
        <v>26</v>
      </c>
      <c r="C15" s="19" t="s">
        <v>95</v>
      </c>
    </row>
    <row r="16" spans="1:3" ht="31.5" x14ac:dyDescent="0.25">
      <c r="A16" s="9">
        <v>12</v>
      </c>
      <c r="B16" s="39" t="s">
        <v>27</v>
      </c>
      <c r="C16" s="19" t="s">
        <v>96</v>
      </c>
    </row>
    <row r="17" spans="1:3" ht="31.5" x14ac:dyDescent="0.25">
      <c r="A17" s="9">
        <v>13</v>
      </c>
      <c r="B17" s="39" t="s">
        <v>28</v>
      </c>
      <c r="C17" s="19" t="s">
        <v>29</v>
      </c>
    </row>
    <row r="18" spans="1:3" ht="27" customHeight="1" x14ac:dyDescent="0.25">
      <c r="A18" s="55">
        <v>14</v>
      </c>
      <c r="B18" s="56" t="s">
        <v>30</v>
      </c>
      <c r="C18" s="19" t="s">
        <v>126</v>
      </c>
    </row>
    <row r="19" spans="1:3" ht="27" customHeight="1" x14ac:dyDescent="0.25">
      <c r="A19" s="55"/>
      <c r="B19" s="56"/>
      <c r="C19" s="19" t="s">
        <v>127</v>
      </c>
    </row>
    <row r="20" spans="1:3" ht="27" customHeight="1" x14ac:dyDescent="0.25">
      <c r="A20" s="55"/>
      <c r="B20" s="56"/>
      <c r="C20" s="20" t="s">
        <v>97</v>
      </c>
    </row>
    <row r="21" spans="1:3" ht="27" customHeight="1" x14ac:dyDescent="0.25">
      <c r="A21" s="9">
        <v>15</v>
      </c>
      <c r="B21" s="39" t="s">
        <v>31</v>
      </c>
      <c r="C21" s="19" t="s">
        <v>98</v>
      </c>
    </row>
    <row r="22" spans="1:3" ht="31.5" x14ac:dyDescent="0.25">
      <c r="A22" s="9">
        <v>16</v>
      </c>
      <c r="B22" s="39" t="s">
        <v>32</v>
      </c>
      <c r="C22" s="19" t="s">
        <v>99</v>
      </c>
    </row>
    <row r="23" spans="1:3" ht="27" customHeight="1" x14ac:dyDescent="0.25">
      <c r="A23" s="9">
        <v>17</v>
      </c>
      <c r="B23" s="39" t="s">
        <v>70</v>
      </c>
      <c r="C23" s="19" t="s">
        <v>100</v>
      </c>
    </row>
    <row r="24" spans="1:3" ht="31.5" x14ac:dyDescent="0.25">
      <c r="A24" s="9">
        <v>18</v>
      </c>
      <c r="B24" s="39" t="s">
        <v>33</v>
      </c>
      <c r="C24" s="19" t="s">
        <v>101</v>
      </c>
    </row>
    <row r="25" spans="1:3" ht="27" customHeight="1" x14ac:dyDescent="0.25">
      <c r="A25" s="9">
        <v>19</v>
      </c>
      <c r="B25" s="39" t="s">
        <v>34</v>
      </c>
      <c r="C25" s="19" t="s">
        <v>102</v>
      </c>
    </row>
    <row r="26" spans="1:3" ht="27" customHeight="1" x14ac:dyDescent="0.25">
      <c r="A26" s="9">
        <v>20</v>
      </c>
      <c r="B26" s="39" t="s">
        <v>35</v>
      </c>
      <c r="C26" s="20" t="s">
        <v>103</v>
      </c>
    </row>
    <row r="27" spans="1:3" ht="27" customHeight="1" x14ac:dyDescent="0.25">
      <c r="A27" s="9">
        <v>21</v>
      </c>
      <c r="B27" s="39" t="s">
        <v>36</v>
      </c>
      <c r="C27" s="19" t="s">
        <v>104</v>
      </c>
    </row>
    <row r="28" spans="1:3" ht="27" customHeight="1" x14ac:dyDescent="0.25">
      <c r="A28" s="9">
        <v>22</v>
      </c>
      <c r="B28" s="39" t="s">
        <v>37</v>
      </c>
      <c r="C28" s="19" t="s">
        <v>105</v>
      </c>
    </row>
    <row r="29" spans="1:3" ht="27" customHeight="1" x14ac:dyDescent="0.25">
      <c r="A29" s="9">
        <v>23</v>
      </c>
      <c r="B29" s="39" t="s">
        <v>38</v>
      </c>
      <c r="C29" s="19" t="s">
        <v>105</v>
      </c>
    </row>
    <row r="30" spans="1:3" ht="27" customHeight="1" x14ac:dyDescent="0.25">
      <c r="A30" s="9">
        <v>24</v>
      </c>
      <c r="B30" s="39" t="s">
        <v>39</v>
      </c>
      <c r="C30" s="19" t="s">
        <v>91</v>
      </c>
    </row>
    <row r="31" spans="1:3" ht="27" customHeight="1" x14ac:dyDescent="0.25">
      <c r="A31" s="9">
        <v>25</v>
      </c>
      <c r="B31" s="39" t="s">
        <v>40</v>
      </c>
      <c r="C31" s="19" t="s">
        <v>91</v>
      </c>
    </row>
    <row r="32" spans="1:3" ht="27" customHeight="1" x14ac:dyDescent="0.25">
      <c r="A32" s="9">
        <v>26</v>
      </c>
      <c r="B32" s="39" t="s">
        <v>41</v>
      </c>
      <c r="C32" s="19" t="s">
        <v>91</v>
      </c>
    </row>
    <row r="33" spans="1:3" ht="27" customHeight="1" x14ac:dyDescent="0.25">
      <c r="A33" s="9">
        <v>27</v>
      </c>
      <c r="B33" s="39" t="s">
        <v>42</v>
      </c>
      <c r="C33" s="17" t="s">
        <v>106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paperSize="9"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CB28-91BD-4FAD-B4D7-1C61C64050AD}">
  <dimension ref="A1:I25"/>
  <sheetViews>
    <sheetView workbookViewId="0">
      <selection sqref="A1:XFD10"/>
    </sheetView>
  </sheetViews>
  <sheetFormatPr defaultRowHeight="15" x14ac:dyDescent="0.25"/>
  <cols>
    <col min="1" max="1" width="6.85546875" style="44" bestFit="1" customWidth="1"/>
    <col min="2" max="2" width="24.140625" style="44" bestFit="1" customWidth="1"/>
    <col min="3" max="3" width="9.140625" style="44" customWidth="1"/>
    <col min="4" max="4" width="9.7109375" style="44" customWidth="1"/>
    <col min="5" max="5" width="5.85546875" style="44" customWidth="1"/>
    <col min="6" max="6" width="9.140625" style="44"/>
    <col min="7" max="7" width="8.7109375" style="44" bestFit="1" customWidth="1"/>
    <col min="8" max="8" width="9.140625" style="44"/>
    <col min="9" max="9" width="11.140625" style="44" customWidth="1"/>
    <col min="10" max="16384" width="9.140625" style="44"/>
  </cols>
  <sheetData>
    <row r="1" spans="1:9" ht="15.6" customHeight="1" x14ac:dyDescent="0.25">
      <c r="A1" s="62" t="s">
        <v>73</v>
      </c>
      <c r="B1" s="62"/>
      <c r="C1" s="62"/>
      <c r="D1" s="62"/>
      <c r="E1" s="62"/>
      <c r="F1" s="62"/>
      <c r="G1" s="62"/>
      <c r="H1" s="62"/>
      <c r="I1" s="62"/>
    </row>
    <row r="2" spans="1:9" ht="15.6" customHeight="1" x14ac:dyDescent="0.25">
      <c r="A2" s="62" t="s">
        <v>148</v>
      </c>
      <c r="B2" s="62"/>
      <c r="C2" s="62"/>
      <c r="D2" s="62"/>
      <c r="E2" s="62"/>
      <c r="F2" s="62"/>
      <c r="G2" s="62"/>
      <c r="H2" s="62"/>
      <c r="I2" s="62"/>
    </row>
    <row r="3" spans="1:9" ht="15.6" customHeight="1" x14ac:dyDescent="0.25">
      <c r="A3" s="62" t="s">
        <v>149</v>
      </c>
      <c r="B3" s="62"/>
      <c r="C3" s="62"/>
      <c r="D3" s="62"/>
      <c r="E3" s="62"/>
      <c r="F3" s="62"/>
      <c r="G3" s="62"/>
      <c r="H3" s="62"/>
      <c r="I3" s="62"/>
    </row>
    <row r="4" spans="1:9" ht="15.6" customHeight="1" x14ac:dyDescent="0.25">
      <c r="A4" s="63"/>
      <c r="B4" s="63"/>
      <c r="C4" s="63"/>
      <c r="D4" s="63"/>
      <c r="E4" s="63"/>
      <c r="F4" s="63"/>
      <c r="G4" s="63"/>
      <c r="H4" s="63"/>
      <c r="I4" s="63"/>
    </row>
    <row r="5" spans="1:9" s="50" customFormat="1" ht="33" customHeight="1" x14ac:dyDescent="0.25">
      <c r="A5" s="57" t="s">
        <v>174</v>
      </c>
      <c r="B5" s="58"/>
      <c r="C5" s="59"/>
      <c r="D5" s="57" t="s">
        <v>175</v>
      </c>
      <c r="E5" s="58"/>
      <c r="F5" s="58"/>
      <c r="G5" s="59"/>
      <c r="H5" s="57" t="s">
        <v>150</v>
      </c>
      <c r="I5" s="59"/>
    </row>
    <row r="6" spans="1:9" s="50" customFormat="1" ht="33" customHeight="1" x14ac:dyDescent="0.25">
      <c r="A6" s="57" t="s">
        <v>176</v>
      </c>
      <c r="B6" s="58"/>
      <c r="C6" s="59"/>
      <c r="D6" s="57" t="s">
        <v>177</v>
      </c>
      <c r="E6" s="58"/>
      <c r="F6" s="58"/>
      <c r="G6" s="59"/>
      <c r="H6" s="57" t="s">
        <v>151</v>
      </c>
      <c r="I6" s="59"/>
    </row>
    <row r="7" spans="1:9" s="50" customFormat="1" ht="33" customHeight="1" x14ac:dyDescent="0.25">
      <c r="A7" s="57" t="s">
        <v>178</v>
      </c>
      <c r="B7" s="58"/>
      <c r="C7" s="59"/>
      <c r="D7" s="57" t="s">
        <v>179</v>
      </c>
      <c r="E7" s="58"/>
      <c r="F7" s="58"/>
      <c r="G7" s="59"/>
      <c r="H7" s="57" t="s">
        <v>180</v>
      </c>
      <c r="I7" s="59"/>
    </row>
    <row r="8" spans="1:9" ht="15.6" customHeight="1" x14ac:dyDescent="0.25">
      <c r="A8" s="16"/>
      <c r="B8" s="46"/>
      <c r="C8" s="16"/>
      <c r="D8" s="16"/>
      <c r="E8" s="16"/>
      <c r="F8" s="16"/>
      <c r="G8" s="16"/>
      <c r="H8" s="16"/>
      <c r="I8" s="16"/>
    </row>
    <row r="9" spans="1:9" ht="15.75" x14ac:dyDescent="0.25">
      <c r="A9" s="52" t="s">
        <v>46</v>
      </c>
      <c r="B9" s="52" t="s">
        <v>47</v>
      </c>
      <c r="C9" s="52" t="s">
        <v>48</v>
      </c>
      <c r="D9" s="52" t="s">
        <v>171</v>
      </c>
      <c r="E9" s="60" t="s">
        <v>173</v>
      </c>
      <c r="F9" s="52" t="s">
        <v>172</v>
      </c>
      <c r="G9" s="52" t="s">
        <v>51</v>
      </c>
      <c r="H9" s="52"/>
      <c r="I9" s="52" t="s">
        <v>152</v>
      </c>
    </row>
    <row r="10" spans="1:9" ht="63" x14ac:dyDescent="0.25">
      <c r="A10" s="52"/>
      <c r="B10" s="52"/>
      <c r="C10" s="52"/>
      <c r="D10" s="52"/>
      <c r="E10" s="61"/>
      <c r="F10" s="52"/>
      <c r="G10" s="43" t="s">
        <v>153</v>
      </c>
      <c r="H10" s="43" t="s">
        <v>54</v>
      </c>
      <c r="I10" s="52"/>
    </row>
    <row r="11" spans="1:9" ht="15.75" x14ac:dyDescent="0.25">
      <c r="A11" s="45">
        <v>1</v>
      </c>
      <c r="B11" s="42" t="s">
        <v>107</v>
      </c>
      <c r="C11" s="45"/>
      <c r="D11" s="42">
        <v>160</v>
      </c>
      <c r="E11" s="45"/>
      <c r="F11" s="45">
        <v>21</v>
      </c>
      <c r="G11" s="45"/>
      <c r="H11" s="45"/>
      <c r="I11" s="45"/>
    </row>
    <row r="12" spans="1:9" ht="15.75" x14ac:dyDescent="0.25">
      <c r="A12" s="45">
        <v>2</v>
      </c>
      <c r="B12" s="42" t="s">
        <v>108</v>
      </c>
      <c r="C12" s="45"/>
      <c r="D12" s="42">
        <v>78</v>
      </c>
      <c r="E12" s="45"/>
      <c r="F12" s="45">
        <v>18</v>
      </c>
      <c r="G12" s="45"/>
      <c r="H12" s="45"/>
      <c r="I12" s="45"/>
    </row>
    <row r="13" spans="1:9" ht="15.75" x14ac:dyDescent="0.25">
      <c r="A13" s="45">
        <v>3</v>
      </c>
      <c r="B13" s="42" t="s">
        <v>108</v>
      </c>
      <c r="C13" s="45"/>
      <c r="D13" s="42">
        <v>96</v>
      </c>
      <c r="E13" s="45"/>
      <c r="F13" s="45">
        <v>18</v>
      </c>
      <c r="G13" s="45"/>
      <c r="H13" s="45"/>
      <c r="I13" s="45"/>
    </row>
    <row r="14" spans="1:9" ht="15.75" x14ac:dyDescent="0.25">
      <c r="A14" s="45">
        <v>4</v>
      </c>
      <c r="B14" s="42" t="s">
        <v>107</v>
      </c>
      <c r="C14" s="45"/>
      <c r="D14" s="42">
        <v>210</v>
      </c>
      <c r="E14" s="45"/>
      <c r="F14" s="45">
        <v>24</v>
      </c>
      <c r="G14" s="45"/>
      <c r="H14" s="45"/>
      <c r="I14" s="45"/>
    </row>
    <row r="15" spans="1:9" ht="15.75" x14ac:dyDescent="0.25">
      <c r="A15" s="45">
        <v>5</v>
      </c>
      <c r="B15" s="42" t="s">
        <v>107</v>
      </c>
      <c r="C15" s="45"/>
      <c r="D15" s="42">
        <v>96</v>
      </c>
      <c r="E15" s="45"/>
      <c r="F15" s="45">
        <v>19</v>
      </c>
      <c r="G15" s="45"/>
      <c r="H15" s="45"/>
      <c r="I15" s="45"/>
    </row>
    <row r="16" spans="1:9" ht="15.75" x14ac:dyDescent="0.25">
      <c r="A16" s="45">
        <v>6</v>
      </c>
      <c r="B16" s="42" t="s">
        <v>107</v>
      </c>
      <c r="C16" s="45"/>
      <c r="D16" s="42">
        <v>171</v>
      </c>
      <c r="E16" s="45"/>
      <c r="F16" s="45">
        <v>22</v>
      </c>
      <c r="G16" s="45"/>
      <c r="H16" s="45"/>
      <c r="I16" s="45"/>
    </row>
    <row r="17" spans="1:9" ht="15.75" x14ac:dyDescent="0.25">
      <c r="A17" s="45">
        <v>7</v>
      </c>
      <c r="B17" s="42" t="s">
        <v>109</v>
      </c>
      <c r="C17" s="45"/>
      <c r="D17" s="42">
        <v>73</v>
      </c>
      <c r="E17" s="45"/>
      <c r="F17" s="45">
        <v>19</v>
      </c>
      <c r="G17" s="45"/>
      <c r="H17" s="45"/>
      <c r="I17" s="45"/>
    </row>
    <row r="18" spans="1:9" ht="15.75" x14ac:dyDescent="0.25">
      <c r="A18" s="45">
        <v>8</v>
      </c>
      <c r="B18" s="42" t="s">
        <v>109</v>
      </c>
      <c r="C18" s="45"/>
      <c r="D18" s="42">
        <v>78</v>
      </c>
      <c r="E18" s="45"/>
      <c r="F18" s="45">
        <v>14</v>
      </c>
      <c r="G18" s="45"/>
      <c r="H18" s="45"/>
      <c r="I18" s="45"/>
    </row>
    <row r="19" spans="1:9" ht="15.75" x14ac:dyDescent="0.25">
      <c r="A19" s="45">
        <v>9</v>
      </c>
      <c r="B19" s="42" t="s">
        <v>110</v>
      </c>
      <c r="C19" s="45"/>
      <c r="D19" s="42">
        <v>71</v>
      </c>
      <c r="E19" s="45"/>
      <c r="F19" s="45">
        <v>20</v>
      </c>
      <c r="G19" s="45"/>
      <c r="H19" s="45"/>
      <c r="I19" s="45"/>
    </row>
    <row r="20" spans="1:9" ht="15.75" x14ac:dyDescent="0.25">
      <c r="A20" s="45">
        <v>10</v>
      </c>
      <c r="B20" s="42" t="s">
        <v>107</v>
      </c>
      <c r="C20" s="45"/>
      <c r="D20" s="42">
        <v>135</v>
      </c>
      <c r="E20" s="45"/>
      <c r="F20" s="45">
        <v>21</v>
      </c>
      <c r="G20" s="45"/>
      <c r="H20" s="45"/>
      <c r="I20" s="45"/>
    </row>
    <row r="21" spans="1:9" ht="15.75" x14ac:dyDescent="0.25">
      <c r="A21" s="45">
        <v>11</v>
      </c>
      <c r="B21" s="42" t="s">
        <v>107</v>
      </c>
      <c r="C21" s="45"/>
      <c r="D21" s="42">
        <v>46</v>
      </c>
      <c r="E21" s="45"/>
      <c r="F21" s="45">
        <v>17</v>
      </c>
      <c r="G21" s="45"/>
      <c r="H21" s="45"/>
      <c r="I21" s="45"/>
    </row>
    <row r="22" spans="1:9" ht="15.75" x14ac:dyDescent="0.25">
      <c r="A22" s="45">
        <v>12</v>
      </c>
      <c r="B22" s="42" t="s">
        <v>108</v>
      </c>
      <c r="C22" s="45"/>
      <c r="D22" s="42">
        <v>93</v>
      </c>
      <c r="E22" s="45"/>
      <c r="F22" s="45">
        <v>22</v>
      </c>
      <c r="G22" s="45"/>
      <c r="H22" s="45"/>
      <c r="I22" s="45"/>
    </row>
    <row r="23" spans="1:9" ht="15.75" x14ac:dyDescent="0.25">
      <c r="A23" s="45">
        <v>13</v>
      </c>
      <c r="B23" s="42" t="s">
        <v>107</v>
      </c>
      <c r="C23" s="45"/>
      <c r="D23" s="42">
        <v>108</v>
      </c>
      <c r="E23" s="45"/>
      <c r="F23" s="45">
        <v>20</v>
      </c>
      <c r="G23" s="45"/>
      <c r="H23" s="45"/>
      <c r="I23" s="45"/>
    </row>
    <row r="24" spans="1:9" ht="15.75" x14ac:dyDescent="0.25">
      <c r="A24" s="45">
        <v>14</v>
      </c>
      <c r="B24" s="42" t="s">
        <v>107</v>
      </c>
      <c r="C24" s="45"/>
      <c r="D24" s="42">
        <v>98</v>
      </c>
      <c r="E24" s="45"/>
      <c r="F24" s="45">
        <v>20</v>
      </c>
      <c r="G24" s="45"/>
      <c r="H24" s="45"/>
      <c r="I24" s="45"/>
    </row>
    <row r="25" spans="1:9" ht="15.75" x14ac:dyDescent="0.25">
      <c r="A25" s="45">
        <v>15</v>
      </c>
      <c r="B25" s="42" t="s">
        <v>111</v>
      </c>
      <c r="C25" s="45"/>
      <c r="D25" s="42">
        <v>38</v>
      </c>
      <c r="E25" s="45"/>
      <c r="F25" s="45">
        <v>10</v>
      </c>
      <c r="G25" s="45"/>
      <c r="H25" s="45"/>
      <c r="I25" s="45"/>
    </row>
  </sheetData>
  <mergeCells count="21">
    <mergeCell ref="A1:I1"/>
    <mergeCell ref="A2:I2"/>
    <mergeCell ref="A3:I3"/>
    <mergeCell ref="A4:I4"/>
    <mergeCell ref="H5:I5"/>
    <mergeCell ref="D7:G7"/>
    <mergeCell ref="D6:G6"/>
    <mergeCell ref="D5:G5"/>
    <mergeCell ref="H6:I6"/>
    <mergeCell ref="B9:B10"/>
    <mergeCell ref="C9:C10"/>
    <mergeCell ref="F9:F10"/>
    <mergeCell ref="G9:H9"/>
    <mergeCell ref="A6:C6"/>
    <mergeCell ref="A5:C5"/>
    <mergeCell ref="A7:C7"/>
    <mergeCell ref="A9:A10"/>
    <mergeCell ref="D9:D10"/>
    <mergeCell ref="E9:E10"/>
    <mergeCell ref="H7:I7"/>
    <mergeCell ref="I9:I10"/>
  </mergeCells>
  <printOptions horizontalCentered="1"/>
  <pageMargins left="0.35433070866141736" right="0.43307086614173229" top="0.74803149606299213" bottom="0.74803149606299213" header="0.31496062992125984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727-C59B-4B2B-B4D6-CA8CC8C246A5}">
  <dimension ref="A1:Q9"/>
  <sheetViews>
    <sheetView tabSelected="1" workbookViewId="0">
      <selection sqref="A1:XFD9"/>
    </sheetView>
  </sheetViews>
  <sheetFormatPr defaultRowHeight="15" x14ac:dyDescent="0.25"/>
  <cols>
    <col min="1" max="1" width="5.7109375" style="47" customWidth="1"/>
    <col min="2" max="2" width="7.85546875" style="47" customWidth="1"/>
    <col min="3" max="4" width="9.140625" style="47"/>
    <col min="5" max="13" width="4.5703125" style="47" customWidth="1"/>
    <col min="14" max="16" width="9.140625" style="47"/>
    <col min="17" max="17" width="14" style="47" customWidth="1"/>
    <col min="18" max="16384" width="9.140625" style="47"/>
  </cols>
  <sheetData>
    <row r="1" spans="1:17" ht="20.25" x14ac:dyDescent="0.25">
      <c r="A1" s="67" t="s">
        <v>181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20.25" x14ac:dyDescent="0.25">
      <c r="A2" s="67" t="s">
        <v>154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3" spans="1:17" x14ac:dyDescent="0.25">
      <c r="A3" s="48"/>
    </row>
    <row r="4" spans="1:17" ht="15.75" thickBot="1" x14ac:dyDescent="0.3">
      <c r="A4" s="48"/>
    </row>
    <row r="5" spans="1:17" ht="16.5" thickBot="1" x14ac:dyDescent="0.3">
      <c r="A5" s="68" t="s">
        <v>46</v>
      </c>
      <c r="B5" s="68" t="s">
        <v>47</v>
      </c>
      <c r="C5" s="68" t="s">
        <v>48</v>
      </c>
      <c r="D5" s="68" t="s">
        <v>155</v>
      </c>
      <c r="E5" s="72" t="s">
        <v>156</v>
      </c>
      <c r="F5" s="73"/>
      <c r="G5" s="73"/>
      <c r="H5" s="73"/>
      <c r="I5" s="73"/>
      <c r="J5" s="73"/>
      <c r="K5" s="73"/>
      <c r="L5" s="73"/>
      <c r="M5" s="74"/>
      <c r="N5" s="68" t="s">
        <v>157</v>
      </c>
      <c r="O5" s="72" t="s">
        <v>158</v>
      </c>
      <c r="P5" s="74"/>
      <c r="Q5" s="68" t="s">
        <v>159</v>
      </c>
    </row>
    <row r="6" spans="1:17" ht="15.75" x14ac:dyDescent="0.25">
      <c r="A6" s="69"/>
      <c r="B6" s="69"/>
      <c r="C6" s="69"/>
      <c r="D6" s="69"/>
      <c r="E6" s="75" t="s">
        <v>160</v>
      </c>
      <c r="F6" s="76"/>
      <c r="G6" s="77"/>
      <c r="H6" s="75" t="s">
        <v>161</v>
      </c>
      <c r="I6" s="76"/>
      <c r="J6" s="77"/>
      <c r="K6" s="75" t="s">
        <v>162</v>
      </c>
      <c r="L6" s="76"/>
      <c r="M6" s="77"/>
      <c r="N6" s="69"/>
      <c r="O6" s="68" t="s">
        <v>163</v>
      </c>
      <c r="P6" s="68" t="s">
        <v>164</v>
      </c>
      <c r="Q6" s="69"/>
    </row>
    <row r="7" spans="1:17" ht="16.5" thickBot="1" x14ac:dyDescent="0.3">
      <c r="A7" s="69"/>
      <c r="B7" s="69"/>
      <c r="C7" s="71"/>
      <c r="D7" s="69"/>
      <c r="E7" s="78" t="s">
        <v>165</v>
      </c>
      <c r="F7" s="79"/>
      <c r="G7" s="80"/>
      <c r="H7" s="78" t="s">
        <v>166</v>
      </c>
      <c r="I7" s="79"/>
      <c r="J7" s="80"/>
      <c r="K7" s="78" t="s">
        <v>165</v>
      </c>
      <c r="L7" s="79"/>
      <c r="M7" s="80"/>
      <c r="N7" s="69"/>
      <c r="O7" s="69"/>
      <c r="P7" s="69"/>
      <c r="Q7" s="69"/>
    </row>
    <row r="8" spans="1:17" ht="16.5" thickBot="1" x14ac:dyDescent="0.3">
      <c r="A8" s="70"/>
      <c r="B8" s="70"/>
      <c r="C8" s="70"/>
      <c r="D8" s="70"/>
      <c r="E8" s="49" t="s">
        <v>167</v>
      </c>
      <c r="F8" s="49" t="s">
        <v>168</v>
      </c>
      <c r="G8" s="49" t="s">
        <v>169</v>
      </c>
      <c r="H8" s="49" t="s">
        <v>167</v>
      </c>
      <c r="I8" s="49" t="s">
        <v>168</v>
      </c>
      <c r="J8" s="49" t="s">
        <v>169</v>
      </c>
      <c r="K8" s="49" t="s">
        <v>167</v>
      </c>
      <c r="L8" s="49" t="s">
        <v>168</v>
      </c>
      <c r="M8" s="49" t="s">
        <v>169</v>
      </c>
      <c r="N8" s="70"/>
      <c r="O8" s="70"/>
      <c r="P8" s="70"/>
      <c r="Q8" s="70"/>
    </row>
    <row r="9" spans="1:17" ht="15.75" x14ac:dyDescent="0.25">
      <c r="A9" s="43">
        <v>1</v>
      </c>
      <c r="B9" s="64" t="s">
        <v>170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6"/>
    </row>
  </sheetData>
  <mergeCells count="19">
    <mergeCell ref="E7:G7"/>
    <mergeCell ref="H7:J7"/>
    <mergeCell ref="K7:M7"/>
    <mergeCell ref="B9:Q9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  <mergeCell ref="E6:G6"/>
    <mergeCell ref="H6:J6"/>
    <mergeCell ref="K6:M6"/>
    <mergeCell ref="O6:O8"/>
    <mergeCell ref="P6:P8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view="pageBreakPreview" zoomScaleSheetLayoutView="100" workbookViewId="0">
      <selection activeCell="D28" sqref="D28:D29"/>
    </sheetView>
  </sheetViews>
  <sheetFormatPr defaultColWidth="9.140625" defaultRowHeight="15.75" x14ac:dyDescent="0.25"/>
  <cols>
    <col min="1" max="1" width="6.85546875" style="11" bestFit="1" customWidth="1"/>
    <col min="2" max="2" width="26" style="11" bestFit="1" customWidth="1"/>
    <col min="3" max="3" width="12" style="11" bestFit="1" customWidth="1"/>
    <col min="4" max="4" width="9.28515625" style="11" customWidth="1"/>
    <col min="5" max="5" width="7.7109375" style="11" customWidth="1"/>
    <col min="6" max="7" width="9.140625" style="11"/>
    <col min="8" max="8" width="20.5703125" style="11" customWidth="1"/>
    <col min="9" max="10" width="9.140625" style="11"/>
    <col min="11" max="11" width="10.28515625" style="11" bestFit="1" customWidth="1"/>
    <col min="12" max="16384" width="9.140625" style="11"/>
  </cols>
  <sheetData>
    <row r="1" spans="1:8" ht="24.75" customHeight="1" x14ac:dyDescent="0.25">
      <c r="A1" s="88" t="s">
        <v>43</v>
      </c>
      <c r="B1" s="88"/>
      <c r="C1" s="88"/>
      <c r="D1" s="88"/>
      <c r="E1" s="88"/>
      <c r="F1" s="88"/>
      <c r="G1" s="88"/>
      <c r="H1" s="88"/>
    </row>
    <row r="2" spans="1:8" s="21" customFormat="1" ht="24.75" customHeight="1" x14ac:dyDescent="0.25">
      <c r="B2" s="22" t="s">
        <v>44</v>
      </c>
      <c r="F2" s="89" t="s">
        <v>45</v>
      </c>
      <c r="G2" s="89"/>
      <c r="H2" s="89"/>
    </row>
    <row r="3" spans="1:8" ht="24" customHeight="1" x14ac:dyDescent="0.25">
      <c r="A3" s="83" t="s">
        <v>46</v>
      </c>
      <c r="B3" s="83" t="s">
        <v>47</v>
      </c>
      <c r="C3" s="83" t="s">
        <v>48</v>
      </c>
      <c r="D3" s="83" t="s">
        <v>49</v>
      </c>
      <c r="E3" s="83" t="s">
        <v>50</v>
      </c>
      <c r="F3" s="81" t="s">
        <v>51</v>
      </c>
      <c r="G3" s="81"/>
      <c r="H3" s="83" t="s">
        <v>52</v>
      </c>
    </row>
    <row r="4" spans="1:8" ht="64.5" customHeight="1" x14ac:dyDescent="0.25">
      <c r="A4" s="84"/>
      <c r="B4" s="84"/>
      <c r="C4" s="84"/>
      <c r="D4" s="84"/>
      <c r="E4" s="84"/>
      <c r="F4" s="15" t="s">
        <v>53</v>
      </c>
      <c r="G4" s="15" t="s">
        <v>54</v>
      </c>
      <c r="H4" s="84"/>
    </row>
    <row r="5" spans="1:8" ht="29.25" customHeight="1" x14ac:dyDescent="0.25">
      <c r="A5" s="9">
        <v>1</v>
      </c>
      <c r="B5" s="10" t="s">
        <v>117</v>
      </c>
      <c r="C5" s="10" t="s">
        <v>133</v>
      </c>
      <c r="D5" s="10">
        <v>4</v>
      </c>
      <c r="E5" s="10">
        <v>4.5</v>
      </c>
      <c r="F5" s="10" t="s">
        <v>143</v>
      </c>
      <c r="G5" s="10">
        <v>17</v>
      </c>
      <c r="H5" s="10"/>
    </row>
    <row r="6" spans="1:8" ht="29.25" customHeight="1" x14ac:dyDescent="0.25">
      <c r="A6" s="9">
        <v>2</v>
      </c>
      <c r="B6" s="10" t="s">
        <v>118</v>
      </c>
      <c r="C6" s="10" t="s">
        <v>134</v>
      </c>
      <c r="D6" s="10">
        <v>3.5</v>
      </c>
      <c r="E6" s="10">
        <v>4</v>
      </c>
      <c r="F6" s="10" t="s">
        <v>146</v>
      </c>
      <c r="G6" s="10">
        <v>13</v>
      </c>
      <c r="H6" s="10"/>
    </row>
    <row r="7" spans="1:8" ht="29.25" customHeight="1" x14ac:dyDescent="0.25">
      <c r="A7" s="9">
        <v>3</v>
      </c>
      <c r="B7" s="10" t="s">
        <v>117</v>
      </c>
      <c r="C7" s="10" t="s">
        <v>133</v>
      </c>
      <c r="D7" s="10">
        <v>2.8</v>
      </c>
      <c r="E7" s="10">
        <v>4</v>
      </c>
      <c r="F7" s="10" t="s">
        <v>143</v>
      </c>
      <c r="G7" s="10">
        <v>9</v>
      </c>
      <c r="H7" s="10"/>
    </row>
    <row r="8" spans="1:8" ht="15" customHeight="1" x14ac:dyDescent="0.25">
      <c r="A8" s="23"/>
      <c r="B8" s="24"/>
      <c r="C8" s="25"/>
      <c r="D8" s="26"/>
      <c r="E8" s="27"/>
    </row>
    <row r="9" spans="1:8" ht="24.75" customHeight="1" x14ac:dyDescent="0.25">
      <c r="A9" s="81" t="s">
        <v>55</v>
      </c>
      <c r="B9" s="81"/>
      <c r="C9" s="81"/>
      <c r="D9" s="81"/>
      <c r="E9" s="81"/>
      <c r="F9" s="81"/>
      <c r="G9" s="81"/>
      <c r="H9" s="81"/>
    </row>
    <row r="10" spans="1:8" ht="36" customHeight="1" x14ac:dyDescent="0.25">
      <c r="A10" s="9">
        <v>1</v>
      </c>
      <c r="B10" s="87" t="s">
        <v>56</v>
      </c>
      <c r="C10" s="87"/>
      <c r="D10" s="87"/>
      <c r="E10" s="87"/>
      <c r="F10" s="87"/>
      <c r="G10" s="87"/>
      <c r="H10" s="28" t="s">
        <v>130</v>
      </c>
    </row>
    <row r="11" spans="1:8" ht="31.5" customHeight="1" x14ac:dyDescent="0.25">
      <c r="A11" s="9">
        <v>2</v>
      </c>
      <c r="B11" s="87" t="s">
        <v>57</v>
      </c>
      <c r="C11" s="87"/>
      <c r="D11" s="87"/>
      <c r="E11" s="87"/>
      <c r="F11" s="87"/>
      <c r="G11" s="87"/>
      <c r="H11" s="28" t="s">
        <v>131</v>
      </c>
    </row>
    <row r="12" spans="1:8" ht="24.75" customHeight="1" x14ac:dyDescent="0.25">
      <c r="A12" s="9">
        <v>3</v>
      </c>
      <c r="B12" s="87" t="s">
        <v>58</v>
      </c>
      <c r="C12" s="87"/>
      <c r="D12" s="87"/>
      <c r="E12" s="87"/>
      <c r="F12" s="87"/>
      <c r="G12" s="87"/>
      <c r="H12" s="28" t="s">
        <v>119</v>
      </c>
    </row>
    <row r="13" spans="1:8" ht="22.15" customHeight="1" x14ac:dyDescent="0.25">
      <c r="A13" s="23"/>
      <c r="B13" s="23"/>
      <c r="C13" s="23"/>
      <c r="D13" s="23"/>
      <c r="E13" s="23"/>
      <c r="F13" s="23"/>
      <c r="G13" s="23"/>
      <c r="H13" s="29"/>
    </row>
    <row r="14" spans="1:8" ht="24" customHeight="1" x14ac:dyDescent="0.25">
      <c r="B14" s="30" t="str">
        <f>B2</f>
        <v xml:space="preserve">    Grid No:  </v>
      </c>
      <c r="F14" s="30" t="s">
        <v>59</v>
      </c>
      <c r="G14" s="30"/>
    </row>
    <row r="15" spans="1:8" ht="27.6" customHeight="1" x14ac:dyDescent="0.25">
      <c r="A15" s="81" t="s">
        <v>46</v>
      </c>
      <c r="B15" s="81" t="s">
        <v>47</v>
      </c>
      <c r="C15" s="81" t="s">
        <v>48</v>
      </c>
      <c r="D15" s="83" t="s">
        <v>49</v>
      </c>
      <c r="E15" s="81" t="s">
        <v>50</v>
      </c>
      <c r="F15" s="81" t="s">
        <v>51</v>
      </c>
      <c r="G15" s="81"/>
      <c r="H15" s="81" t="s">
        <v>52</v>
      </c>
    </row>
    <row r="16" spans="1:8" ht="67.150000000000006" customHeight="1" x14ac:dyDescent="0.25">
      <c r="A16" s="81"/>
      <c r="B16" s="81"/>
      <c r="C16" s="81"/>
      <c r="D16" s="84"/>
      <c r="E16" s="81"/>
      <c r="F16" s="15" t="s">
        <v>53</v>
      </c>
      <c r="G16" s="15" t="s">
        <v>54</v>
      </c>
      <c r="H16" s="81"/>
    </row>
    <row r="17" spans="1:8" ht="36" customHeight="1" x14ac:dyDescent="0.25">
      <c r="A17" s="9">
        <v>1</v>
      </c>
      <c r="B17" s="15" t="s">
        <v>120</v>
      </c>
      <c r="C17" s="15"/>
      <c r="D17" s="15">
        <v>3.5</v>
      </c>
      <c r="E17" s="15">
        <v>4.5</v>
      </c>
      <c r="F17" s="15" t="s">
        <v>147</v>
      </c>
      <c r="G17" s="15">
        <v>13</v>
      </c>
      <c r="H17" s="15"/>
    </row>
    <row r="18" spans="1:8" ht="36" customHeight="1" x14ac:dyDescent="0.25">
      <c r="A18" s="9">
        <v>2</v>
      </c>
      <c r="B18" s="15" t="s">
        <v>120</v>
      </c>
      <c r="C18" s="15"/>
      <c r="D18" s="15">
        <v>4</v>
      </c>
      <c r="E18" s="15">
        <v>4</v>
      </c>
      <c r="F18" s="15" t="s">
        <v>147</v>
      </c>
      <c r="G18" s="15">
        <v>17</v>
      </c>
      <c r="H18" s="15"/>
    </row>
    <row r="19" spans="1:8" ht="36" customHeight="1" x14ac:dyDescent="0.25">
      <c r="A19" s="9">
        <v>3</v>
      </c>
      <c r="B19" s="15" t="s">
        <v>120</v>
      </c>
      <c r="C19" s="15"/>
      <c r="D19" s="15">
        <v>2.5</v>
      </c>
      <c r="E19" s="15">
        <v>3.5</v>
      </c>
      <c r="F19" s="15" t="s">
        <v>147</v>
      </c>
      <c r="G19" s="15">
        <v>7</v>
      </c>
      <c r="H19" s="15"/>
    </row>
    <row r="20" spans="1:8" ht="36" customHeight="1" x14ac:dyDescent="0.25">
      <c r="A20" s="9">
        <v>4</v>
      </c>
      <c r="B20" s="15" t="s">
        <v>110</v>
      </c>
      <c r="C20" s="15" t="s">
        <v>135</v>
      </c>
      <c r="D20" s="15">
        <v>3.5</v>
      </c>
      <c r="E20" s="15">
        <v>4</v>
      </c>
      <c r="F20" s="15" t="s">
        <v>142</v>
      </c>
      <c r="G20" s="15">
        <v>13</v>
      </c>
      <c r="H20" s="15"/>
    </row>
    <row r="21" spans="1:8" ht="20.45" customHeight="1" x14ac:dyDescent="0.25">
      <c r="A21" s="23"/>
      <c r="B21" s="31"/>
      <c r="C21" s="32"/>
      <c r="D21" s="23"/>
      <c r="E21" s="23"/>
      <c r="F21" s="23"/>
      <c r="G21" s="23"/>
      <c r="H21" s="23"/>
    </row>
    <row r="22" spans="1:8" ht="24.75" customHeight="1" x14ac:dyDescent="0.25">
      <c r="A22" s="81" t="s">
        <v>55</v>
      </c>
      <c r="B22" s="81"/>
      <c r="C22" s="81"/>
      <c r="D22" s="81"/>
      <c r="E22" s="81"/>
      <c r="F22" s="81"/>
      <c r="G22" s="81"/>
      <c r="H22" s="81"/>
    </row>
    <row r="23" spans="1:8" ht="38.25" customHeight="1" x14ac:dyDescent="0.25">
      <c r="A23" s="9">
        <v>1</v>
      </c>
      <c r="B23" s="87" t="s">
        <v>56</v>
      </c>
      <c r="C23" s="87"/>
      <c r="D23" s="87"/>
      <c r="E23" s="87"/>
      <c r="F23" s="87"/>
      <c r="G23" s="87"/>
      <c r="H23" s="9" t="s">
        <v>129</v>
      </c>
    </row>
    <row r="24" spans="1:8" ht="38.25" customHeight="1" x14ac:dyDescent="0.25">
      <c r="A24" s="9">
        <v>2</v>
      </c>
      <c r="B24" s="87" t="s">
        <v>57</v>
      </c>
      <c r="C24" s="87"/>
      <c r="D24" s="87"/>
      <c r="E24" s="87"/>
      <c r="F24" s="87"/>
      <c r="G24" s="87"/>
      <c r="H24" s="9" t="s">
        <v>129</v>
      </c>
    </row>
    <row r="25" spans="1:8" ht="25.5" customHeight="1" x14ac:dyDescent="0.25">
      <c r="A25" s="9">
        <v>3</v>
      </c>
      <c r="B25" s="87" t="s">
        <v>58</v>
      </c>
      <c r="C25" s="87"/>
      <c r="D25" s="87"/>
      <c r="E25" s="87"/>
      <c r="F25" s="87"/>
      <c r="G25" s="87"/>
      <c r="H25" s="9">
        <v>0</v>
      </c>
    </row>
    <row r="26" spans="1:8" ht="20.45" customHeight="1" x14ac:dyDescent="0.25">
      <c r="A26" s="23"/>
      <c r="B26" s="32"/>
      <c r="C26" s="32"/>
      <c r="D26" s="32"/>
      <c r="E26" s="32"/>
      <c r="F26" s="32"/>
      <c r="G26" s="32"/>
      <c r="H26" s="29"/>
    </row>
    <row r="27" spans="1:8" ht="26.25" customHeight="1" x14ac:dyDescent="0.25">
      <c r="B27" s="30" t="str">
        <f>B2</f>
        <v xml:space="preserve">    Grid No:  </v>
      </c>
      <c r="F27" s="22" t="s">
        <v>74</v>
      </c>
      <c r="G27" s="22"/>
    </row>
    <row r="28" spans="1:8" ht="29.45" customHeight="1" x14ac:dyDescent="0.25">
      <c r="A28" s="81" t="s">
        <v>46</v>
      </c>
      <c r="B28" s="81" t="s">
        <v>47</v>
      </c>
      <c r="C28" s="81" t="s">
        <v>48</v>
      </c>
      <c r="D28" s="83" t="s">
        <v>49</v>
      </c>
      <c r="E28" s="81" t="s">
        <v>50</v>
      </c>
      <c r="F28" s="81" t="s">
        <v>51</v>
      </c>
      <c r="G28" s="81"/>
      <c r="H28" s="81" t="s">
        <v>52</v>
      </c>
    </row>
    <row r="29" spans="1:8" ht="63" x14ac:dyDescent="0.25">
      <c r="A29" s="81"/>
      <c r="B29" s="81"/>
      <c r="C29" s="81"/>
      <c r="D29" s="84"/>
      <c r="E29" s="81"/>
      <c r="F29" s="15" t="s">
        <v>53</v>
      </c>
      <c r="G29" s="15" t="s">
        <v>54</v>
      </c>
      <c r="H29" s="81"/>
    </row>
    <row r="30" spans="1:8" s="21" customFormat="1" ht="24.75" customHeight="1" x14ac:dyDescent="0.25">
      <c r="A30" s="9">
        <v>1</v>
      </c>
      <c r="B30" s="33" t="s">
        <v>118</v>
      </c>
      <c r="C30" s="9" t="s">
        <v>134</v>
      </c>
      <c r="D30" s="9">
        <v>3.5</v>
      </c>
      <c r="E30" s="9">
        <v>3.5</v>
      </c>
      <c r="F30" s="9" t="s">
        <v>146</v>
      </c>
      <c r="G30" s="9">
        <v>10</v>
      </c>
      <c r="H30" s="9"/>
    </row>
    <row r="31" spans="1:8" s="21" customFormat="1" ht="24.75" customHeight="1" x14ac:dyDescent="0.25">
      <c r="A31" s="9">
        <v>2</v>
      </c>
      <c r="B31" s="33" t="s">
        <v>118</v>
      </c>
      <c r="C31" s="9" t="s">
        <v>134</v>
      </c>
      <c r="D31" s="9">
        <v>6.5</v>
      </c>
      <c r="E31" s="9">
        <v>4</v>
      </c>
      <c r="F31" s="9" t="s">
        <v>146</v>
      </c>
      <c r="G31" s="9">
        <v>29</v>
      </c>
      <c r="H31" s="9"/>
    </row>
    <row r="32" spans="1:8" s="21" customFormat="1" ht="24.75" customHeight="1" x14ac:dyDescent="0.25">
      <c r="A32" s="9">
        <v>3</v>
      </c>
      <c r="B32" s="33" t="s">
        <v>121</v>
      </c>
      <c r="C32" s="9" t="s">
        <v>136</v>
      </c>
      <c r="D32" s="9">
        <v>4.5</v>
      </c>
      <c r="E32" s="9">
        <v>6</v>
      </c>
      <c r="F32" s="9" t="s">
        <v>146</v>
      </c>
      <c r="G32" s="9">
        <v>25</v>
      </c>
      <c r="H32" s="9"/>
    </row>
    <row r="33" spans="1:8" s="21" customFormat="1" ht="24.75" customHeight="1" x14ac:dyDescent="0.25">
      <c r="A33" s="9">
        <v>4</v>
      </c>
      <c r="B33" s="33" t="s">
        <v>121</v>
      </c>
      <c r="C33" s="9" t="s">
        <v>136</v>
      </c>
      <c r="D33" s="9">
        <v>6</v>
      </c>
      <c r="E33" s="9">
        <v>6</v>
      </c>
      <c r="F33" s="9" t="s">
        <v>146</v>
      </c>
      <c r="G33" s="9">
        <v>37</v>
      </c>
      <c r="H33" s="9"/>
    </row>
    <row r="34" spans="1:8" s="21" customFormat="1" ht="24.75" customHeight="1" x14ac:dyDescent="0.25">
      <c r="A34" s="9">
        <v>5</v>
      </c>
      <c r="B34" s="33" t="s">
        <v>121</v>
      </c>
      <c r="C34" s="9" t="s">
        <v>136</v>
      </c>
      <c r="D34" s="9">
        <v>7</v>
      </c>
      <c r="E34" s="9">
        <v>6.5</v>
      </c>
      <c r="F34" s="9" t="s">
        <v>146</v>
      </c>
      <c r="G34" s="9">
        <v>42</v>
      </c>
      <c r="H34" s="9"/>
    </row>
    <row r="35" spans="1:8" x14ac:dyDescent="0.25">
      <c r="A35" s="23"/>
      <c r="B35" s="23"/>
      <c r="C35" s="23"/>
      <c r="D35" s="23"/>
      <c r="E35" s="23"/>
      <c r="F35" s="23"/>
      <c r="G35" s="23"/>
      <c r="H35" s="23"/>
    </row>
    <row r="36" spans="1:8" ht="22.9" customHeight="1" x14ac:dyDescent="0.25">
      <c r="B36" s="30" t="str">
        <f>B2</f>
        <v xml:space="preserve">    Grid No:  </v>
      </c>
      <c r="F36" s="82" t="s">
        <v>75</v>
      </c>
      <c r="G36" s="82"/>
      <c r="H36" s="82"/>
    </row>
    <row r="37" spans="1:8" ht="24" customHeight="1" x14ac:dyDescent="0.25">
      <c r="A37" s="83" t="s">
        <v>46</v>
      </c>
      <c r="B37" s="83" t="s">
        <v>47</v>
      </c>
      <c r="C37" s="83" t="s">
        <v>48</v>
      </c>
      <c r="D37" s="83" t="s">
        <v>49</v>
      </c>
      <c r="E37" s="83" t="s">
        <v>50</v>
      </c>
      <c r="F37" s="85" t="s">
        <v>51</v>
      </c>
      <c r="G37" s="86"/>
      <c r="H37" s="83" t="s">
        <v>52</v>
      </c>
    </row>
    <row r="38" spans="1:8" ht="69.599999999999994" customHeight="1" x14ac:dyDescent="0.25">
      <c r="A38" s="84"/>
      <c r="B38" s="84"/>
      <c r="C38" s="84"/>
      <c r="D38" s="84"/>
      <c r="E38" s="84"/>
      <c r="F38" s="15" t="s">
        <v>53</v>
      </c>
      <c r="G38" s="15" t="s">
        <v>54</v>
      </c>
      <c r="H38" s="84"/>
    </row>
    <row r="39" spans="1:8" s="21" customFormat="1" ht="24.75" customHeight="1" x14ac:dyDescent="0.25">
      <c r="A39" s="34">
        <v>1</v>
      </c>
      <c r="B39" s="33" t="s">
        <v>122</v>
      </c>
      <c r="C39" s="9"/>
      <c r="D39" s="34">
        <v>3.5</v>
      </c>
      <c r="E39" s="35">
        <v>4</v>
      </c>
      <c r="F39" s="20" t="s">
        <v>147</v>
      </c>
      <c r="G39" s="20">
        <v>13</v>
      </c>
      <c r="H39" s="20"/>
    </row>
    <row r="40" spans="1:8" s="21" customFormat="1" ht="24.75" customHeight="1" x14ac:dyDescent="0.25">
      <c r="A40" s="34">
        <v>2</v>
      </c>
      <c r="B40" s="33" t="s">
        <v>122</v>
      </c>
      <c r="C40" s="9"/>
      <c r="D40" s="34">
        <v>4.5</v>
      </c>
      <c r="E40" s="35">
        <v>5</v>
      </c>
      <c r="F40" s="20" t="s">
        <v>147</v>
      </c>
      <c r="G40" s="20">
        <v>22</v>
      </c>
      <c r="H40" s="20"/>
    </row>
  </sheetData>
  <mergeCells count="39">
    <mergeCell ref="A9:H9"/>
    <mergeCell ref="B10:G10"/>
    <mergeCell ref="B11:G11"/>
    <mergeCell ref="B12:G12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H15:H16"/>
    <mergeCell ref="A22:H22"/>
    <mergeCell ref="B23:G23"/>
    <mergeCell ref="B24:G24"/>
    <mergeCell ref="B25:G25"/>
    <mergeCell ref="A15:A16"/>
    <mergeCell ref="B15:B16"/>
    <mergeCell ref="C15:C16"/>
    <mergeCell ref="D15:D16"/>
    <mergeCell ref="E15:E16"/>
    <mergeCell ref="F15:G15"/>
    <mergeCell ref="H28:H29"/>
    <mergeCell ref="F36:H36"/>
    <mergeCell ref="A37:A38"/>
    <mergeCell ref="B37:B38"/>
    <mergeCell ref="C37:C38"/>
    <mergeCell ref="D37:D38"/>
    <mergeCell ref="E37:E38"/>
    <mergeCell ref="F37:G37"/>
    <mergeCell ref="H37:H38"/>
    <mergeCell ref="A28:A29"/>
    <mergeCell ref="B28:B29"/>
    <mergeCell ref="C28:C29"/>
    <mergeCell ref="D28:D29"/>
    <mergeCell ref="E28:E29"/>
    <mergeCell ref="F28:G28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  <rowBreaks count="1" manualBreakCount="1">
    <brk id="2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view="pageBreakPreview" zoomScale="85" zoomScaleNormal="85" zoomScaleSheetLayoutView="85" workbookViewId="0">
      <selection sqref="A1:G2"/>
    </sheetView>
  </sheetViews>
  <sheetFormatPr defaultColWidth="9.140625" defaultRowHeight="45.6" customHeight="1" x14ac:dyDescent="0.25"/>
  <cols>
    <col min="1" max="1" width="6.5703125" style="11" customWidth="1"/>
    <col min="2" max="2" width="20" style="11" bestFit="1" customWidth="1"/>
    <col min="3" max="3" width="14.7109375" style="25" customWidth="1"/>
    <col min="4" max="4" width="9.140625" style="11"/>
    <col min="5" max="6" width="10.28515625" style="11" customWidth="1"/>
    <col min="7" max="7" width="22.140625" style="11" customWidth="1"/>
    <col min="8" max="16384" width="9.140625" style="11"/>
  </cols>
  <sheetData>
    <row r="1" spans="1:7" ht="33" customHeight="1" x14ac:dyDescent="0.25">
      <c r="A1" s="88" t="s">
        <v>60</v>
      </c>
      <c r="B1" s="88"/>
      <c r="C1" s="88"/>
      <c r="D1" s="88"/>
      <c r="E1" s="88"/>
      <c r="F1" s="88"/>
      <c r="G1" s="88"/>
    </row>
    <row r="2" spans="1:7" ht="33" customHeight="1" x14ac:dyDescent="0.25">
      <c r="E2" s="89" t="s">
        <v>45</v>
      </c>
      <c r="F2" s="89"/>
      <c r="G2" s="89"/>
    </row>
    <row r="3" spans="1:7" ht="15.75" x14ac:dyDescent="0.25">
      <c r="A3" s="81" t="s">
        <v>46</v>
      </c>
      <c r="B3" s="81" t="s">
        <v>47</v>
      </c>
      <c r="C3" s="56" t="s">
        <v>48</v>
      </c>
      <c r="D3" s="81" t="s">
        <v>61</v>
      </c>
      <c r="E3" s="81" t="s">
        <v>51</v>
      </c>
      <c r="F3" s="81"/>
      <c r="G3" s="81" t="s">
        <v>62</v>
      </c>
    </row>
    <row r="4" spans="1:7" ht="31.5" x14ac:dyDescent="0.25">
      <c r="A4" s="81"/>
      <c r="B4" s="81"/>
      <c r="C4" s="56"/>
      <c r="D4" s="81"/>
      <c r="E4" s="15" t="s">
        <v>63</v>
      </c>
      <c r="F4" s="15" t="s">
        <v>64</v>
      </c>
      <c r="G4" s="81"/>
    </row>
    <row r="5" spans="1:7" ht="15.75" x14ac:dyDescent="0.25">
      <c r="A5" s="81"/>
      <c r="B5" s="81"/>
      <c r="C5" s="56"/>
      <c r="D5" s="81"/>
      <c r="E5" s="15" t="s">
        <v>65</v>
      </c>
      <c r="F5" s="15" t="s">
        <v>71</v>
      </c>
      <c r="G5" s="81"/>
    </row>
    <row r="6" spans="1:7" ht="30.75" customHeight="1" x14ac:dyDescent="0.25">
      <c r="A6" s="9">
        <v>1</v>
      </c>
      <c r="B6" s="15" t="s">
        <v>112</v>
      </c>
      <c r="C6" s="15" t="s">
        <v>139</v>
      </c>
      <c r="D6" s="15">
        <v>25</v>
      </c>
      <c r="E6" s="15" t="s">
        <v>142</v>
      </c>
      <c r="F6" s="15">
        <v>150</v>
      </c>
      <c r="G6" s="15"/>
    </row>
    <row r="7" spans="1:7" ht="30.75" customHeight="1" x14ac:dyDescent="0.25">
      <c r="A7" s="9">
        <v>2</v>
      </c>
      <c r="B7" s="15" t="s">
        <v>113</v>
      </c>
      <c r="C7" s="15" t="s">
        <v>138</v>
      </c>
      <c r="D7" s="15">
        <v>30</v>
      </c>
      <c r="E7" s="15" t="s">
        <v>143</v>
      </c>
      <c r="F7" s="15">
        <v>170</v>
      </c>
      <c r="G7" s="15"/>
    </row>
    <row r="8" spans="1:7" ht="30.75" customHeight="1" x14ac:dyDescent="0.25">
      <c r="A8" s="9">
        <v>3</v>
      </c>
      <c r="B8" s="15" t="s">
        <v>114</v>
      </c>
      <c r="C8" s="15" t="s">
        <v>137</v>
      </c>
      <c r="D8" s="15">
        <v>42</v>
      </c>
      <c r="E8" s="15" t="s">
        <v>144</v>
      </c>
      <c r="F8" s="15">
        <v>200</v>
      </c>
      <c r="G8" s="15"/>
    </row>
    <row r="9" spans="1:7" ht="30.75" customHeight="1" x14ac:dyDescent="0.25">
      <c r="A9" s="9">
        <v>4</v>
      </c>
      <c r="B9" s="15" t="s">
        <v>114</v>
      </c>
      <c r="C9" s="15" t="s">
        <v>137</v>
      </c>
      <c r="D9" s="15">
        <v>47</v>
      </c>
      <c r="E9" s="15" t="s">
        <v>144</v>
      </c>
      <c r="F9" s="15">
        <v>208</v>
      </c>
      <c r="G9" s="15"/>
    </row>
    <row r="10" spans="1:7" ht="30.75" customHeight="1" x14ac:dyDescent="0.25">
      <c r="A10" s="9">
        <v>5</v>
      </c>
      <c r="B10" s="15" t="s">
        <v>114</v>
      </c>
      <c r="C10" s="15" t="s">
        <v>137</v>
      </c>
      <c r="D10" s="15">
        <v>61</v>
      </c>
      <c r="E10" s="15" t="s">
        <v>144</v>
      </c>
      <c r="F10" s="15">
        <v>220</v>
      </c>
      <c r="G10" s="15"/>
    </row>
    <row r="11" spans="1:7" ht="26.25" customHeight="1" x14ac:dyDescent="0.25">
      <c r="A11" s="81" t="s">
        <v>55</v>
      </c>
      <c r="B11" s="81"/>
      <c r="C11" s="81"/>
      <c r="D11" s="81"/>
      <c r="E11" s="81"/>
      <c r="F11" s="81"/>
      <c r="G11" s="81"/>
    </row>
    <row r="12" spans="1:7" ht="26.25" customHeight="1" x14ac:dyDescent="0.25">
      <c r="A12" s="23"/>
      <c r="B12" s="29"/>
      <c r="C12" s="32"/>
      <c r="D12" s="23"/>
      <c r="E12" s="29"/>
      <c r="F12" s="29"/>
      <c r="G12" s="29"/>
    </row>
    <row r="13" spans="1:7" s="21" customFormat="1" ht="26.25" customHeight="1" x14ac:dyDescent="0.25">
      <c r="B13" s="36" t="s">
        <v>67</v>
      </c>
      <c r="C13" s="37"/>
      <c r="E13" s="88" t="s">
        <v>68</v>
      </c>
      <c r="F13" s="88"/>
      <c r="G13" s="88"/>
    </row>
    <row r="14" spans="1:7" ht="15.75" x14ac:dyDescent="0.25">
      <c r="A14" s="81" t="s">
        <v>46</v>
      </c>
      <c r="B14" s="81" t="s">
        <v>47</v>
      </c>
      <c r="C14" s="90" t="s">
        <v>48</v>
      </c>
      <c r="D14" s="81" t="s">
        <v>61</v>
      </c>
      <c r="E14" s="81" t="s">
        <v>51</v>
      </c>
      <c r="F14" s="81"/>
      <c r="G14" s="81" t="s">
        <v>62</v>
      </c>
    </row>
    <row r="15" spans="1:7" ht="31.5" x14ac:dyDescent="0.25">
      <c r="A15" s="81"/>
      <c r="B15" s="81"/>
      <c r="C15" s="91"/>
      <c r="D15" s="81"/>
      <c r="E15" s="15" t="s">
        <v>63</v>
      </c>
      <c r="F15" s="15" t="s">
        <v>64</v>
      </c>
      <c r="G15" s="81"/>
    </row>
    <row r="16" spans="1:7" ht="31.5" x14ac:dyDescent="0.25">
      <c r="A16" s="81"/>
      <c r="B16" s="81"/>
      <c r="C16" s="92"/>
      <c r="D16" s="81"/>
      <c r="E16" s="15" t="s">
        <v>65</v>
      </c>
      <c r="F16" s="15" t="s">
        <v>66</v>
      </c>
      <c r="G16" s="81"/>
    </row>
    <row r="17" spans="1:7" s="21" customFormat="1" ht="27" customHeight="1" x14ac:dyDescent="0.25">
      <c r="A17" s="34">
        <v>1</v>
      </c>
      <c r="B17" s="20" t="s">
        <v>115</v>
      </c>
      <c r="C17" s="20" t="s">
        <v>140</v>
      </c>
      <c r="D17" s="34">
        <v>16</v>
      </c>
      <c r="E17" s="20" t="s">
        <v>145</v>
      </c>
      <c r="F17" s="20">
        <v>90</v>
      </c>
      <c r="G17" s="20"/>
    </row>
    <row r="18" spans="1:7" s="21" customFormat="1" ht="27" customHeight="1" x14ac:dyDescent="0.25">
      <c r="A18" s="34">
        <v>2</v>
      </c>
      <c r="B18" s="20" t="s">
        <v>116</v>
      </c>
      <c r="C18" s="20" t="s">
        <v>141</v>
      </c>
      <c r="D18" s="34">
        <v>31</v>
      </c>
      <c r="E18" s="20" t="s">
        <v>145</v>
      </c>
      <c r="F18" s="20">
        <v>170</v>
      </c>
      <c r="G18" s="20"/>
    </row>
    <row r="19" spans="1:7" s="21" customFormat="1" ht="27" customHeight="1" x14ac:dyDescent="0.25">
      <c r="A19" s="34">
        <v>3</v>
      </c>
      <c r="B19" s="20" t="s">
        <v>116</v>
      </c>
      <c r="C19" s="20" t="s">
        <v>141</v>
      </c>
      <c r="D19" s="34">
        <v>22</v>
      </c>
      <c r="E19" s="20" t="s">
        <v>145</v>
      </c>
      <c r="F19" s="20">
        <v>110</v>
      </c>
      <c r="G19" s="20"/>
    </row>
    <row r="20" spans="1:7" s="21" customFormat="1" ht="27" customHeight="1" x14ac:dyDescent="0.25">
      <c r="A20" s="34">
        <v>4</v>
      </c>
      <c r="B20" s="20" t="s">
        <v>116</v>
      </c>
      <c r="C20" s="20" t="s">
        <v>141</v>
      </c>
      <c r="D20" s="34">
        <v>12</v>
      </c>
      <c r="E20" s="20" t="s">
        <v>145</v>
      </c>
      <c r="F20" s="20">
        <v>111</v>
      </c>
      <c r="G20" s="20"/>
    </row>
  </sheetData>
  <mergeCells count="16">
    <mergeCell ref="A1:G1"/>
    <mergeCell ref="E2:G2"/>
    <mergeCell ref="A3:A5"/>
    <mergeCell ref="B3:B5"/>
    <mergeCell ref="C3:C5"/>
    <mergeCell ref="D3:D5"/>
    <mergeCell ref="E3:F3"/>
    <mergeCell ref="G3:G5"/>
    <mergeCell ref="A11:G11"/>
    <mergeCell ref="E13:G13"/>
    <mergeCell ref="A14:A16"/>
    <mergeCell ref="B14:B16"/>
    <mergeCell ref="C14:C16"/>
    <mergeCell ref="D14:D16"/>
    <mergeCell ref="E14:F14"/>
    <mergeCell ref="G14:G16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2024-10-24T10:59:00Z</cp:lastPrinted>
  <dcterms:created xsi:type="dcterms:W3CDTF">2023-09-21T06:16:02Z</dcterms:created>
  <dcterms:modified xsi:type="dcterms:W3CDTF">2024-10-25T11:58:32Z</dcterms:modified>
</cp:coreProperties>
</file>