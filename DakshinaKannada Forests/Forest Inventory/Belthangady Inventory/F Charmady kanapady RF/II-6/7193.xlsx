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6\"/>
    </mc:Choice>
  </mc:AlternateContent>
  <xr:revisionPtr revIDLastSave="0" documentId="13_ncr:1_{D3C0AC13-15F9-4E1E-AD44-95E4ABA84DF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1" i="8"/>
  <c r="B25" i="8"/>
  <c r="B13" i="8"/>
</calcChain>
</file>

<file path=xl/sharedStrings.xml><?xml version="1.0" encoding="utf-8"?>
<sst xmlns="http://schemas.openxmlformats.org/spreadsheetml/2006/main" count="297" uniqueCount="191">
  <si>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</si>
  <si>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</si>
  <si>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</si>
  <si>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</si>
  <si>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</si>
  <si>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</si>
  <si>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</si>
  <si>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</si>
  <si>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</si>
  <si>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</si>
  <si>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</si>
  <si>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</si>
  <si>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</si>
  <si>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</si>
  <si>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</si>
  <si>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</si>
  <si>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</si>
  <si>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</si>
  <si>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</si>
  <si>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</si>
  <si>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</si>
  <si>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</si>
  <si>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</si>
  <si>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</si>
  <si>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</si>
  <si>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</si>
  <si>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</si>
  <si>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</si>
  <si>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</si>
  <si>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</si>
  <si>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</si>
  <si>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</si>
  <si>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</si>
  <si>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</si>
  <si>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</si>
  <si>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</si>
  <si>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</si>
  <si>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</si>
  <si>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</si>
  <si>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</si>
  <si>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</si>
  <si>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</si>
  <si>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</si>
  <si>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</si>
  <si>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</si>
  <si>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</si>
  <si>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</si>
  <si>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</si>
  <si>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</si>
  <si>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</si>
  <si>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</si>
  <si>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</si>
  <si>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</si>
  <si>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</si>
  <si>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</si>
  <si>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</si>
  <si>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</si>
  <si>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</si>
  <si>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</si>
  <si>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</si>
  <si>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</si>
  <si>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</si>
  <si>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</si>
  <si>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</si>
  <si>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</si>
  <si>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</si>
  <si>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</si>
  <si>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</si>
  <si>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</si>
  <si>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</si>
  <si>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</si>
  <si>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</si>
  <si>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</si>
  <si>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</si>
  <si>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</si>
  <si>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>Travel from Ujire towards Charmadi upto N.13.074036 E.75.384879 and walk in SE direction for 850m</t>
  </si>
  <si>
    <t xml:space="preserve">Madhalsu, Kingiyodendron pinnatum , Miusops eleongi </t>
  </si>
  <si>
    <t>Tract - Hilly</t>
  </si>
  <si>
    <t>Aspect - No fixed</t>
  </si>
  <si>
    <t>Canopy Dencity - 0.81</t>
  </si>
  <si>
    <t>Soil - Humus rich soil</t>
  </si>
  <si>
    <t>Grasses - Opplessima sp , Themeda spp</t>
  </si>
  <si>
    <t xml:space="preserve">Bamboos -Ochlandra sp </t>
  </si>
  <si>
    <t xml:space="preserve">Herbs -Litsia ghatica </t>
  </si>
  <si>
    <t xml:space="preserve">Shrubs - Garcinia morella </t>
  </si>
  <si>
    <t xml:space="preserve">Underwood species – Holigarna arnattiana , Aporosa lindleyana </t>
  </si>
  <si>
    <t xml:space="preserve">Climbers - Spatholobus sp , Piper nigrum </t>
  </si>
  <si>
    <t xml:space="preserve">Rattans- Calamus rotung , Calamus thwiitesii </t>
  </si>
  <si>
    <t xml:space="preserve">NTFP yieding sps –Cinnamomum malabarica </t>
  </si>
  <si>
    <t>NIL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</si>
  <si>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</si>
  <si>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</si>
  <si>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</si>
  <si>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</t>
    </r>
    <r>
      <rPr>
        <b/>
        <sz val="12"/>
        <rFont val="Times New Roman"/>
        <family val="1"/>
      </rPr>
      <t xml:space="preserve"> 16°-40° </t>
    </r>
    <r>
      <rPr>
        <sz val="12"/>
        <rFont val="Times New Roman"/>
        <family val="1"/>
      </rPr>
      <t>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</si>
  <si>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</si>
  <si>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Texture- Smooth</t>
  </si>
  <si>
    <t>Depth-  Moderate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</si>
  <si>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</si>
  <si>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</si>
  <si>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Knema attenuata , Miusops eleongi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</si>
  <si>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</si>
  <si>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</si>
  <si>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 xml:space="preserve">wild animals 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</si>
  <si>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</si>
  <si>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</si>
  <si>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</si>
  <si>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Maddhalsu</t>
  </si>
  <si>
    <t xml:space="preserve">Gnetum ula </t>
  </si>
  <si>
    <t xml:space="preserve">Miusops eleongi </t>
  </si>
  <si>
    <t xml:space="preserve">Ixora brachiata </t>
  </si>
  <si>
    <t xml:space="preserve">Dillenia pentagyna </t>
  </si>
  <si>
    <t xml:space="preserve">Spatholobus sp </t>
  </si>
  <si>
    <t xml:space="preserve">Garcinia morella </t>
  </si>
  <si>
    <t xml:space="preserve">Manoon fragrans </t>
  </si>
  <si>
    <t xml:space="preserve">Sterospermum nerifolium </t>
  </si>
  <si>
    <t xml:space="preserve">Artocarpus hirusts </t>
  </si>
  <si>
    <t xml:space="preserve">Veteria indica </t>
  </si>
  <si>
    <t xml:space="preserve">Tabernamontana heyneana </t>
  </si>
  <si>
    <t xml:space="preserve">Holigarna arnattiana </t>
  </si>
  <si>
    <t xml:space="preserve">Psychotria flavida </t>
  </si>
  <si>
    <t xml:space="preserve">Aporosa lindleyana </t>
  </si>
  <si>
    <t xml:space="preserve">Cyclea peltata </t>
  </si>
  <si>
    <t xml:space="preserve">Derris sp </t>
  </si>
  <si>
    <t>95g</t>
  </si>
  <si>
    <t>600g</t>
  </si>
  <si>
    <t>4kg</t>
  </si>
  <si>
    <t>85g</t>
  </si>
  <si>
    <t>300g</t>
  </si>
  <si>
    <t>Belthangady</t>
  </si>
  <si>
    <t xml:space="preserve">Charmady kanapady RF </t>
  </si>
  <si>
    <t>II-6</t>
  </si>
  <si>
    <t>Weeds -NIL</t>
  </si>
  <si>
    <t>Maddlasu</t>
  </si>
  <si>
    <t>Mangalore Division</t>
  </si>
  <si>
    <t>837 ft</t>
  </si>
  <si>
    <t>Acronychia pedunculata</t>
  </si>
  <si>
    <t>Maddalasu</t>
  </si>
  <si>
    <t>Maddarasa</t>
  </si>
  <si>
    <t xml:space="preserve">Mimousops eleongi </t>
  </si>
  <si>
    <t>Ranjalu</t>
  </si>
  <si>
    <t>Hebbalasu</t>
  </si>
  <si>
    <t>Kaadu coffee</t>
  </si>
  <si>
    <t>Holegeru</t>
  </si>
  <si>
    <t>Gorbale</t>
  </si>
  <si>
    <t>Salle</t>
  </si>
  <si>
    <t>Kakechapaya</t>
  </si>
  <si>
    <t>Neruhalasu</t>
  </si>
  <si>
    <t>Aadeballi</t>
  </si>
  <si>
    <t xml:space="preserve">Fruit </t>
  </si>
  <si>
    <t>Latex</t>
  </si>
  <si>
    <t>Leaves</t>
  </si>
  <si>
    <t>Resin</t>
  </si>
  <si>
    <t xml:space="preserve">Flower </t>
  </si>
  <si>
    <t>Bark</t>
  </si>
  <si>
    <t>Stem</t>
  </si>
  <si>
    <r>
      <t>Heavily / Moderately / Mildly /</t>
    </r>
    <r>
      <rPr>
        <b/>
        <sz val="12"/>
        <rFont val="Times New Roman"/>
        <family val="1"/>
      </rPr>
      <t>Not degrated</t>
    </r>
  </si>
  <si>
    <t>Form III</t>
  </si>
  <si>
    <t>FORM – A1</t>
  </si>
  <si>
    <t>PLOT ENUMERATION (31.62mX 31.62m Central Plot/lateral plot)</t>
  </si>
  <si>
    <t>Compartment No: II-5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</si>
  <si>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</si>
  <si>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</si>
  <si>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</si>
  <si>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</si>
  <si>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</si>
  <si>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</si>
  <si>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</si>
  <si>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</si>
  <si>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</si>
  <si>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LAT: 13.067034</t>
  </si>
  <si>
    <t>LONG: 75.3892204</t>
  </si>
  <si>
    <t>Grid No:7193</t>
  </si>
  <si>
    <t>ALT: 837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</si>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</sst>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43" fontId="4" fillId="0" borderId="1" xfId="2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8" sqref="C8"/>
    </sheetView>
  </sheetViews>
  <sheetFormatPr defaultColWidth="9.140625" defaultRowHeight="24.75" customHeight="1" x14ac:dyDescent="0.25"/>
  <cols>
    <col min="1" max="1" width="6.5703125" style="1" bestFit="1" customWidth="1"/>
    <col min="2" max="2" width="34.42578125" style="1" bestFit="1" customWidth="1"/>
    <col min="3" max="3" width="51.570312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2" customFormat="1" ht="24.75" customHeight="1" x14ac:dyDescent="0.25">
      <c r="A3" s="46" t="s">
        <v>2</v>
      </c>
      <c r="B3" s="46"/>
      <c r="C3" s="42" t="s">
        <v>133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4" customHeight="1" x14ac:dyDescent="0.25">
      <c r="A5" s="3">
        <v>1</v>
      </c>
      <c r="B5" s="40" t="s">
        <v>6</v>
      </c>
      <c r="C5" s="6" t="s">
        <v>128</v>
      </c>
    </row>
    <row r="6" spans="1:3" ht="24" customHeight="1" x14ac:dyDescent="0.25">
      <c r="A6" s="3">
        <v>2</v>
      </c>
      <c r="B6" s="40" t="s">
        <v>7</v>
      </c>
      <c r="C6" s="7" t="s">
        <v>129</v>
      </c>
    </row>
    <row r="7" spans="1:3" ht="24" customHeight="1" x14ac:dyDescent="0.25">
      <c r="A7" s="3">
        <v>3</v>
      </c>
      <c r="B7" s="40" t="s">
        <v>8</v>
      </c>
      <c r="C7" s="7" t="s">
        <v>130</v>
      </c>
    </row>
    <row r="8" spans="1:3" ht="24" customHeight="1" x14ac:dyDescent="0.25">
      <c r="A8" s="3">
        <v>4</v>
      </c>
      <c r="B8" s="40" t="s">
        <v>9</v>
      </c>
      <c r="C8" s="7">
        <v>7193</v>
      </c>
    </row>
    <row r="9" spans="1:3" ht="24" customHeight="1" x14ac:dyDescent="0.25">
      <c r="A9" s="3">
        <v>5</v>
      </c>
      <c r="B9" s="40" t="s">
        <v>10</v>
      </c>
      <c r="C9" s="8">
        <v>13.067034</v>
      </c>
    </row>
    <row r="10" spans="1:3" ht="24" customHeight="1" x14ac:dyDescent="0.25">
      <c r="A10" s="3">
        <v>6</v>
      </c>
      <c r="B10" s="40" t="s">
        <v>11</v>
      </c>
      <c r="C10" s="8">
        <v>75.389220399999999</v>
      </c>
    </row>
    <row r="11" spans="1:3" ht="31.5" x14ac:dyDescent="0.25">
      <c r="A11" s="3">
        <v>7</v>
      </c>
      <c r="B11" s="40" t="s">
        <v>12</v>
      </c>
      <c r="C11" s="8" t="s">
        <v>75</v>
      </c>
    </row>
    <row r="12" spans="1:3" ht="26.25" customHeight="1" x14ac:dyDescent="0.25">
      <c r="A12" s="3">
        <v>8</v>
      </c>
      <c r="B12" s="40" t="s">
        <v>13</v>
      </c>
      <c r="C12" s="9" t="s">
        <v>76</v>
      </c>
    </row>
    <row r="13" spans="1:3" ht="24" customHeight="1" x14ac:dyDescent="0.25">
      <c r="A13" s="47">
        <v>9</v>
      </c>
      <c r="B13" s="48" t="s">
        <v>14</v>
      </c>
      <c r="C13" s="5" t="s">
        <v>77</v>
      </c>
    </row>
    <row r="14" spans="1:3" ht="24" customHeight="1" x14ac:dyDescent="0.25">
      <c r="A14" s="47"/>
      <c r="B14" s="48"/>
      <c r="C14" s="5" t="s">
        <v>78</v>
      </c>
    </row>
    <row r="15" spans="1:3" ht="24" customHeight="1" x14ac:dyDescent="0.25">
      <c r="A15" s="47"/>
      <c r="B15" s="48"/>
      <c r="C15" s="5" t="s">
        <v>79</v>
      </c>
    </row>
    <row r="16" spans="1:3" ht="24" customHeight="1" x14ac:dyDescent="0.25">
      <c r="A16" s="47"/>
      <c r="B16" s="48"/>
      <c r="C16" s="5" t="s">
        <v>80</v>
      </c>
    </row>
    <row r="17" spans="1:3" ht="24" customHeight="1" x14ac:dyDescent="0.25">
      <c r="A17" s="47"/>
      <c r="B17" s="48"/>
      <c r="C17" s="5" t="s">
        <v>81</v>
      </c>
    </row>
    <row r="18" spans="1:3" ht="24" customHeight="1" x14ac:dyDescent="0.25">
      <c r="A18" s="47"/>
      <c r="B18" s="48"/>
      <c r="C18" s="5" t="s">
        <v>131</v>
      </c>
    </row>
    <row r="19" spans="1:3" ht="24" customHeight="1" x14ac:dyDescent="0.25">
      <c r="A19" s="47"/>
      <c r="B19" s="48"/>
      <c r="C19" s="5" t="s">
        <v>82</v>
      </c>
    </row>
    <row r="20" spans="1:3" ht="24" customHeight="1" x14ac:dyDescent="0.25">
      <c r="A20" s="47"/>
      <c r="B20" s="48"/>
      <c r="C20" s="5" t="s">
        <v>83</v>
      </c>
    </row>
    <row r="21" spans="1:3" ht="24" customHeight="1" x14ac:dyDescent="0.25">
      <c r="A21" s="47"/>
      <c r="B21" s="48"/>
      <c r="C21" s="5" t="s">
        <v>84</v>
      </c>
    </row>
    <row r="22" spans="1:3" ht="31.5" x14ac:dyDescent="0.25">
      <c r="A22" s="47"/>
      <c r="B22" s="48"/>
      <c r="C22" s="5" t="s">
        <v>85</v>
      </c>
    </row>
    <row r="23" spans="1:3" ht="24" customHeight="1" x14ac:dyDescent="0.25">
      <c r="A23" s="47"/>
      <c r="B23" s="48"/>
      <c r="C23" s="5" t="s">
        <v>86</v>
      </c>
    </row>
    <row r="24" spans="1:3" ht="24" customHeight="1" x14ac:dyDescent="0.25">
      <c r="A24" s="47"/>
      <c r="B24" s="48"/>
      <c r="C24" s="5" t="s">
        <v>87</v>
      </c>
    </row>
    <row r="25" spans="1:3" ht="24" customHeight="1" x14ac:dyDescent="0.25">
      <c r="A25" s="47"/>
      <c r="B25" s="48"/>
      <c r="C25" s="5" t="s">
        <v>88</v>
      </c>
    </row>
    <row r="26" spans="1:3" ht="24" customHeight="1" x14ac:dyDescent="0.25">
      <c r="A26" s="3">
        <v>10</v>
      </c>
      <c r="B26" s="40" t="s">
        <v>15</v>
      </c>
      <c r="C26" s="5" t="s">
        <v>89</v>
      </c>
    </row>
    <row r="27" spans="1:3" ht="24" customHeight="1" x14ac:dyDescent="0.25">
      <c r="A27" s="3">
        <v>11</v>
      </c>
      <c r="B27" s="40" t="s">
        <v>16</v>
      </c>
      <c r="C27" s="5" t="s">
        <v>89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2.85546875" style="13" bestFit="1" customWidth="1"/>
    <col min="3" max="3" width="48.710937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42" t="s">
        <v>133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24" customHeight="1" x14ac:dyDescent="0.25">
      <c r="A5" s="10">
        <v>1</v>
      </c>
      <c r="B5" s="41" t="s">
        <v>6</v>
      </c>
      <c r="C5" s="18" t="str">
        <f>'Form 1'!C5</f>
        <v>Belthangady</v>
      </c>
    </row>
    <row r="6" spans="1:3" ht="24" customHeight="1" x14ac:dyDescent="0.25">
      <c r="A6" s="10">
        <v>2</v>
      </c>
      <c r="B6" s="41" t="s">
        <v>72</v>
      </c>
      <c r="C6" s="18"/>
    </row>
    <row r="7" spans="1:3" ht="24" customHeight="1" x14ac:dyDescent="0.25">
      <c r="A7" s="10">
        <v>3</v>
      </c>
      <c r="B7" s="41" t="s">
        <v>69</v>
      </c>
      <c r="C7" s="18" t="str">
        <f>'Form 1'!C6</f>
        <v xml:space="preserve">Charmady kanapady RF </v>
      </c>
    </row>
    <row r="8" spans="1:3" ht="24" customHeight="1" x14ac:dyDescent="0.25">
      <c r="A8" s="10">
        <v>4</v>
      </c>
      <c r="B8" s="41" t="s">
        <v>9</v>
      </c>
      <c r="C8" s="18">
        <f>'Form 1'!C8</f>
        <v>7193</v>
      </c>
    </row>
    <row r="9" spans="1:3" ht="24" customHeight="1" x14ac:dyDescent="0.25">
      <c r="A9" s="10">
        <v>5</v>
      </c>
      <c r="B9" s="41" t="s">
        <v>20</v>
      </c>
      <c r="C9" s="19">
        <f>'Form 1'!C9</f>
        <v>13.067034</v>
      </c>
    </row>
    <row r="10" spans="1:3" ht="24" customHeight="1" x14ac:dyDescent="0.25">
      <c r="A10" s="10">
        <v>6</v>
      </c>
      <c r="B10" s="41" t="s">
        <v>21</v>
      </c>
      <c r="C10" s="19">
        <f>'Form 1'!C10</f>
        <v>75.389220399999999</v>
      </c>
    </row>
    <row r="11" spans="1:3" ht="24" customHeight="1" x14ac:dyDescent="0.25">
      <c r="A11" s="10">
        <v>7</v>
      </c>
      <c r="B11" s="41" t="s">
        <v>22</v>
      </c>
      <c r="C11" s="18" t="s">
        <v>134</v>
      </c>
    </row>
    <row r="12" spans="1:3" ht="31.5" x14ac:dyDescent="0.25">
      <c r="A12" s="10">
        <v>8</v>
      </c>
      <c r="B12" s="41" t="s">
        <v>23</v>
      </c>
      <c r="C12" s="18" t="s">
        <v>90</v>
      </c>
    </row>
    <row r="13" spans="1:3" ht="24" customHeight="1" x14ac:dyDescent="0.25">
      <c r="A13" s="10">
        <v>9</v>
      </c>
      <c r="B13" s="41" t="s">
        <v>24</v>
      </c>
      <c r="C13" s="18" t="s">
        <v>91</v>
      </c>
    </row>
    <row r="14" spans="1:3" ht="31.5" x14ac:dyDescent="0.25">
      <c r="A14" s="10">
        <v>10</v>
      </c>
      <c r="B14" s="41" t="s">
        <v>25</v>
      </c>
      <c r="C14" s="18" t="s">
        <v>92</v>
      </c>
    </row>
    <row r="15" spans="1:3" ht="24" customHeight="1" x14ac:dyDescent="0.25">
      <c r="A15" s="10">
        <v>11</v>
      </c>
      <c r="B15" s="41" t="s">
        <v>26</v>
      </c>
      <c r="C15" s="20" t="s">
        <v>93</v>
      </c>
    </row>
    <row r="16" spans="1:3" ht="31.5" x14ac:dyDescent="0.25">
      <c r="A16" s="10">
        <v>12</v>
      </c>
      <c r="B16" s="41" t="s">
        <v>27</v>
      </c>
      <c r="C16" s="20" t="s">
        <v>94</v>
      </c>
    </row>
    <row r="17" spans="1:3" ht="31.5" x14ac:dyDescent="0.25">
      <c r="A17" s="10">
        <v>13</v>
      </c>
      <c r="B17" s="41" t="s">
        <v>28</v>
      </c>
      <c r="C17" s="20" t="s">
        <v>29</v>
      </c>
    </row>
    <row r="18" spans="1:3" ht="24" customHeight="1" x14ac:dyDescent="0.25">
      <c r="A18" s="50">
        <v>14</v>
      </c>
      <c r="B18" s="51" t="s">
        <v>30</v>
      </c>
      <c r="C18" s="20" t="s">
        <v>95</v>
      </c>
    </row>
    <row r="19" spans="1:3" ht="24" customHeight="1" x14ac:dyDescent="0.25">
      <c r="A19" s="50"/>
      <c r="B19" s="51"/>
      <c r="C19" s="20" t="s">
        <v>96</v>
      </c>
    </row>
    <row r="20" spans="1:3" ht="24" customHeight="1" x14ac:dyDescent="0.25">
      <c r="A20" s="50"/>
      <c r="B20" s="51"/>
      <c r="C20" s="21" t="s">
        <v>97</v>
      </c>
    </row>
    <row r="21" spans="1:3" ht="24" customHeight="1" x14ac:dyDescent="0.25">
      <c r="A21" s="10">
        <v>15</v>
      </c>
      <c r="B21" s="41" t="s">
        <v>31</v>
      </c>
      <c r="C21" s="20" t="s">
        <v>98</v>
      </c>
    </row>
    <row r="22" spans="1:3" ht="24" customHeight="1" x14ac:dyDescent="0.25">
      <c r="A22" s="10">
        <v>16</v>
      </c>
      <c r="B22" s="41" t="s">
        <v>32</v>
      </c>
      <c r="C22" s="20" t="s">
        <v>99</v>
      </c>
    </row>
    <row r="23" spans="1:3" ht="24" customHeight="1" x14ac:dyDescent="0.25">
      <c r="A23" s="10">
        <v>17</v>
      </c>
      <c r="B23" s="41" t="s">
        <v>70</v>
      </c>
      <c r="C23" s="20" t="s">
        <v>100</v>
      </c>
    </row>
    <row r="24" spans="1:3" ht="31.5" x14ac:dyDescent="0.25">
      <c r="A24" s="10">
        <v>18</v>
      </c>
      <c r="B24" s="41" t="s">
        <v>33</v>
      </c>
      <c r="C24" s="20" t="s">
        <v>101</v>
      </c>
    </row>
    <row r="25" spans="1:3" ht="24" customHeight="1" x14ac:dyDescent="0.25">
      <c r="A25" s="10">
        <v>19</v>
      </c>
      <c r="B25" s="41" t="s">
        <v>34</v>
      </c>
      <c r="C25" s="20" t="s">
        <v>102</v>
      </c>
    </row>
    <row r="26" spans="1:3" ht="24" customHeight="1" x14ac:dyDescent="0.25">
      <c r="A26" s="10">
        <v>20</v>
      </c>
      <c r="B26" s="41" t="s">
        <v>35</v>
      </c>
      <c r="C26" s="21" t="s">
        <v>103</v>
      </c>
    </row>
    <row r="27" spans="1:3" ht="24" customHeight="1" x14ac:dyDescent="0.25">
      <c r="A27" s="10">
        <v>21</v>
      </c>
      <c r="B27" s="41" t="s">
        <v>36</v>
      </c>
      <c r="C27" s="20" t="s">
        <v>104</v>
      </c>
    </row>
    <row r="28" spans="1:3" ht="24" customHeight="1" x14ac:dyDescent="0.25">
      <c r="A28" s="10">
        <v>22</v>
      </c>
      <c r="B28" s="41" t="s">
        <v>37</v>
      </c>
      <c r="C28" s="20" t="s">
        <v>105</v>
      </c>
    </row>
    <row r="29" spans="1:3" ht="24" customHeight="1" x14ac:dyDescent="0.25">
      <c r="A29" s="10">
        <v>23</v>
      </c>
      <c r="B29" s="41" t="s">
        <v>38</v>
      </c>
      <c r="C29" s="20" t="s">
        <v>105</v>
      </c>
    </row>
    <row r="30" spans="1:3" ht="24" customHeight="1" x14ac:dyDescent="0.25">
      <c r="A30" s="10">
        <v>24</v>
      </c>
      <c r="B30" s="41" t="s">
        <v>39</v>
      </c>
      <c r="C30" s="20" t="s">
        <v>89</v>
      </c>
    </row>
    <row r="31" spans="1:3" ht="24" customHeight="1" x14ac:dyDescent="0.25">
      <c r="A31" s="10">
        <v>25</v>
      </c>
      <c r="B31" s="41" t="s">
        <v>40</v>
      </c>
      <c r="C31" s="20" t="s">
        <v>89</v>
      </c>
    </row>
    <row r="32" spans="1:3" ht="24" customHeight="1" x14ac:dyDescent="0.25">
      <c r="A32" s="10">
        <v>26</v>
      </c>
      <c r="B32" s="41" t="s">
        <v>41</v>
      </c>
      <c r="C32" s="20" t="s">
        <v>89</v>
      </c>
    </row>
    <row r="33" spans="1:3" ht="24" customHeight="1" x14ac:dyDescent="0.25">
      <c r="A33" s="10">
        <v>27</v>
      </c>
      <c r="B33" s="41" t="s">
        <v>42</v>
      </c>
      <c r="C33" s="18" t="s">
        <v>155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A1EC-0949-4006-82BE-06CA466A0CAF}">
  <dimension ref="A1:I34"/>
  <sheetViews>
    <sheetView workbookViewId="0">
      <selection activeCell="N14" sqref="N14"/>
    </sheetView>
  </sheetViews>
  <sheetFormatPr defaultRowHeight="15" x14ac:dyDescent="0.25"/>
  <cols>
    <col min="2" max="2" width="25" bestFit="1" customWidth="1"/>
    <col min="9" max="9" width="10" customWidth="1"/>
  </cols>
  <sheetData>
    <row r="1" spans="1:9" s="65" customFormat="1" ht="15.6" customHeight="1" x14ac:dyDescent="0.25">
      <c r="A1" s="64" t="s">
        <v>156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157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158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159</v>
      </c>
      <c r="B5" s="68"/>
      <c r="C5" s="69"/>
      <c r="D5" s="67" t="s">
        <v>160</v>
      </c>
      <c r="E5" s="68"/>
      <c r="F5" s="68"/>
      <c r="G5" s="69"/>
      <c r="H5" s="67" t="s">
        <v>161</v>
      </c>
      <c r="I5" s="69"/>
    </row>
    <row r="6" spans="1:9" s="70" customFormat="1" ht="33" customHeight="1" x14ac:dyDescent="0.25">
      <c r="A6" s="67" t="s">
        <v>162</v>
      </c>
      <c r="B6" s="68"/>
      <c r="C6" s="69"/>
      <c r="D6" s="67" t="s">
        <v>163</v>
      </c>
      <c r="E6" s="68"/>
      <c r="F6" s="68"/>
      <c r="G6" s="69"/>
      <c r="H6" s="67" t="s">
        <v>172</v>
      </c>
      <c r="I6" s="69"/>
    </row>
    <row r="7" spans="1:9" s="70" customFormat="1" ht="33" customHeight="1" x14ac:dyDescent="0.25">
      <c r="A7" s="67" t="s">
        <v>169</v>
      </c>
      <c r="B7" s="68"/>
      <c r="C7" s="69"/>
      <c r="D7" s="67" t="s">
        <v>170</v>
      </c>
      <c r="E7" s="68"/>
      <c r="F7" s="68"/>
      <c r="G7" s="69"/>
      <c r="H7" s="67" t="s">
        <v>171</v>
      </c>
      <c r="I7" s="69"/>
    </row>
    <row r="8" spans="1:9" s="65" customFormat="1" ht="15.6" customHeight="1" x14ac:dyDescent="0.25">
      <c r="A8" s="17"/>
      <c r="B8" s="71"/>
      <c r="C8" s="17"/>
      <c r="D8" s="17"/>
      <c r="E8" s="17"/>
      <c r="F8" s="17"/>
      <c r="G8" s="17"/>
      <c r="H8" s="17"/>
      <c r="I8" s="17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164</v>
      </c>
      <c r="E9" s="47" t="s">
        <v>165</v>
      </c>
      <c r="F9" s="47" t="s">
        <v>166</v>
      </c>
      <c r="G9" s="47" t="s">
        <v>51</v>
      </c>
      <c r="H9" s="47"/>
      <c r="I9" s="47" t="s">
        <v>167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4" t="s">
        <v>168</v>
      </c>
      <c r="H10" s="44" t="s">
        <v>54</v>
      </c>
      <c r="I10" s="47"/>
    </row>
    <row r="11" spans="1:9" ht="15.75" x14ac:dyDescent="0.25">
      <c r="A11" s="72">
        <v>1</v>
      </c>
      <c r="B11" s="45" t="s">
        <v>106</v>
      </c>
      <c r="C11" s="72"/>
      <c r="D11" s="45">
        <v>98</v>
      </c>
      <c r="E11" s="72"/>
      <c r="F11" s="72">
        <v>14.5</v>
      </c>
      <c r="G11" s="72"/>
      <c r="H11" s="72"/>
      <c r="I11" s="72"/>
    </row>
    <row r="12" spans="1:9" ht="15.75" x14ac:dyDescent="0.25">
      <c r="A12" s="72">
        <v>2</v>
      </c>
      <c r="B12" s="45" t="s">
        <v>106</v>
      </c>
      <c r="C12" s="72"/>
      <c r="D12" s="45">
        <v>10</v>
      </c>
      <c r="E12" s="72"/>
      <c r="F12" s="72">
        <v>14</v>
      </c>
      <c r="G12" s="72"/>
      <c r="H12" s="72"/>
      <c r="I12" s="72"/>
    </row>
    <row r="13" spans="1:9" ht="15.75" x14ac:dyDescent="0.25">
      <c r="A13" s="72">
        <v>3</v>
      </c>
      <c r="B13" s="45" t="s">
        <v>107</v>
      </c>
      <c r="C13" s="72"/>
      <c r="D13" s="45">
        <v>42</v>
      </c>
      <c r="E13" s="72"/>
      <c r="F13" s="72">
        <v>0</v>
      </c>
      <c r="G13" s="72"/>
      <c r="H13" s="72"/>
      <c r="I13" s="72"/>
    </row>
    <row r="14" spans="1:9" ht="15.75" x14ac:dyDescent="0.25">
      <c r="A14" s="72">
        <v>4</v>
      </c>
      <c r="B14" s="45" t="s">
        <v>108</v>
      </c>
      <c r="C14" s="72"/>
      <c r="D14" s="45">
        <v>96</v>
      </c>
      <c r="E14" s="72"/>
      <c r="F14" s="72">
        <v>15</v>
      </c>
      <c r="G14" s="72"/>
      <c r="H14" s="72"/>
      <c r="I14" s="72"/>
    </row>
    <row r="15" spans="1:9" ht="15.75" x14ac:dyDescent="0.25">
      <c r="A15" s="72">
        <v>5</v>
      </c>
      <c r="B15" s="45" t="s">
        <v>132</v>
      </c>
      <c r="C15" s="72"/>
      <c r="D15" s="45">
        <v>113</v>
      </c>
      <c r="E15" s="72"/>
      <c r="F15" s="72">
        <v>16</v>
      </c>
      <c r="G15" s="72"/>
      <c r="H15" s="72"/>
      <c r="I15" s="72"/>
    </row>
    <row r="16" spans="1:9" ht="15.75" x14ac:dyDescent="0.25">
      <c r="A16" s="72">
        <v>6</v>
      </c>
      <c r="B16" s="45" t="s">
        <v>109</v>
      </c>
      <c r="C16" s="72"/>
      <c r="D16" s="45">
        <v>43</v>
      </c>
      <c r="E16" s="72"/>
      <c r="F16" s="72">
        <v>5.5</v>
      </c>
      <c r="G16" s="72"/>
      <c r="H16" s="72"/>
      <c r="I16" s="72"/>
    </row>
    <row r="17" spans="1:9" ht="15.75" x14ac:dyDescent="0.25">
      <c r="A17" s="72">
        <v>7</v>
      </c>
      <c r="B17" s="45" t="s">
        <v>110</v>
      </c>
      <c r="C17" s="72"/>
      <c r="D17" s="45">
        <v>45</v>
      </c>
      <c r="E17" s="72"/>
      <c r="F17" s="72">
        <v>4</v>
      </c>
      <c r="G17" s="72"/>
      <c r="H17" s="72"/>
      <c r="I17" s="72"/>
    </row>
    <row r="18" spans="1:9" ht="15.75" x14ac:dyDescent="0.25">
      <c r="A18" s="72">
        <v>8</v>
      </c>
      <c r="B18" s="45" t="s">
        <v>111</v>
      </c>
      <c r="C18" s="72"/>
      <c r="D18" s="45">
        <v>111</v>
      </c>
      <c r="E18" s="72"/>
      <c r="F18" s="72">
        <v>12</v>
      </c>
      <c r="G18" s="72"/>
      <c r="H18" s="72"/>
      <c r="I18" s="72"/>
    </row>
    <row r="19" spans="1:9" ht="15.75" x14ac:dyDescent="0.25">
      <c r="A19" s="72">
        <v>9</v>
      </c>
      <c r="B19" s="45" t="s">
        <v>112</v>
      </c>
      <c r="C19" s="72"/>
      <c r="D19" s="45">
        <v>36</v>
      </c>
      <c r="E19" s="72"/>
      <c r="F19" s="72">
        <v>0</v>
      </c>
      <c r="G19" s="72"/>
      <c r="H19" s="72"/>
      <c r="I19" s="72"/>
    </row>
    <row r="20" spans="1:9" ht="15.75" x14ac:dyDescent="0.25">
      <c r="A20" s="72">
        <v>10</v>
      </c>
      <c r="B20" s="45" t="s">
        <v>106</v>
      </c>
      <c r="C20" s="72"/>
      <c r="D20" s="45">
        <v>46</v>
      </c>
      <c r="E20" s="72"/>
      <c r="F20" s="72">
        <v>9</v>
      </c>
      <c r="G20" s="72"/>
      <c r="H20" s="72"/>
      <c r="I20" s="72"/>
    </row>
    <row r="21" spans="1:9" ht="15.75" x14ac:dyDescent="0.25">
      <c r="A21" s="72">
        <v>11</v>
      </c>
      <c r="B21" s="45" t="s">
        <v>113</v>
      </c>
      <c r="C21" s="72"/>
      <c r="D21" s="45">
        <v>91</v>
      </c>
      <c r="E21" s="72"/>
      <c r="F21" s="72">
        <v>12</v>
      </c>
      <c r="G21" s="72"/>
      <c r="H21" s="72"/>
      <c r="I21" s="72"/>
    </row>
    <row r="22" spans="1:9" ht="15.75" x14ac:dyDescent="0.25">
      <c r="A22" s="72">
        <v>12</v>
      </c>
      <c r="B22" s="45" t="s">
        <v>113</v>
      </c>
      <c r="C22" s="72"/>
      <c r="D22" s="45">
        <v>48</v>
      </c>
      <c r="E22" s="72"/>
      <c r="F22" s="72">
        <v>10</v>
      </c>
      <c r="G22" s="72"/>
      <c r="H22" s="72"/>
      <c r="I22" s="72"/>
    </row>
    <row r="23" spans="1:9" ht="15.75" x14ac:dyDescent="0.25">
      <c r="A23" s="72">
        <v>13</v>
      </c>
      <c r="B23" s="45" t="s">
        <v>114</v>
      </c>
      <c r="C23" s="72"/>
      <c r="D23" s="45">
        <v>53</v>
      </c>
      <c r="E23" s="72"/>
      <c r="F23" s="72">
        <v>11</v>
      </c>
      <c r="G23" s="72"/>
      <c r="H23" s="72"/>
      <c r="I23" s="72"/>
    </row>
    <row r="24" spans="1:9" ht="15.75" x14ac:dyDescent="0.25">
      <c r="A24" s="72">
        <v>14</v>
      </c>
      <c r="B24" s="45" t="s">
        <v>114</v>
      </c>
      <c r="C24" s="72"/>
      <c r="D24" s="45">
        <v>46</v>
      </c>
      <c r="E24" s="72"/>
      <c r="F24" s="72">
        <v>13.5</v>
      </c>
      <c r="G24" s="72"/>
      <c r="H24" s="72"/>
      <c r="I24" s="72"/>
    </row>
    <row r="25" spans="1:9" ht="15.75" x14ac:dyDescent="0.25">
      <c r="A25" s="72">
        <v>15</v>
      </c>
      <c r="B25" s="45" t="s">
        <v>114</v>
      </c>
      <c r="C25" s="72"/>
      <c r="D25" s="45">
        <v>61</v>
      </c>
      <c r="E25" s="72"/>
      <c r="F25" s="72">
        <v>16</v>
      </c>
      <c r="G25" s="72"/>
      <c r="H25" s="72"/>
      <c r="I25" s="72"/>
    </row>
    <row r="26" spans="1:9" ht="15.75" x14ac:dyDescent="0.25">
      <c r="A26" s="72">
        <v>16</v>
      </c>
      <c r="B26" s="45" t="s">
        <v>115</v>
      </c>
      <c r="C26" s="72"/>
      <c r="D26" s="45">
        <v>73</v>
      </c>
      <c r="E26" s="72"/>
      <c r="F26" s="72">
        <v>15</v>
      </c>
      <c r="G26" s="72"/>
      <c r="H26" s="72"/>
      <c r="I26" s="72"/>
    </row>
    <row r="27" spans="1:9" ht="15.75" x14ac:dyDescent="0.25">
      <c r="A27" s="72">
        <v>17</v>
      </c>
      <c r="B27" s="45" t="s">
        <v>115</v>
      </c>
      <c r="C27" s="72"/>
      <c r="D27" s="45">
        <v>121</v>
      </c>
      <c r="E27" s="72"/>
      <c r="F27" s="72">
        <v>16</v>
      </c>
      <c r="G27" s="72"/>
      <c r="H27" s="72"/>
      <c r="I27" s="72"/>
    </row>
    <row r="28" spans="1:9" ht="15.75" x14ac:dyDescent="0.25">
      <c r="A28" s="72">
        <v>18</v>
      </c>
      <c r="B28" s="45" t="s">
        <v>116</v>
      </c>
      <c r="C28" s="72"/>
      <c r="D28" s="45">
        <v>173</v>
      </c>
      <c r="E28" s="72"/>
      <c r="F28" s="72">
        <v>19</v>
      </c>
      <c r="G28" s="72"/>
      <c r="H28" s="72"/>
      <c r="I28" s="72"/>
    </row>
    <row r="29" spans="1:9" ht="15.75" x14ac:dyDescent="0.25">
      <c r="A29" s="72">
        <v>19</v>
      </c>
      <c r="B29" s="45" t="s">
        <v>116</v>
      </c>
      <c r="C29" s="72"/>
      <c r="D29" s="45">
        <v>136</v>
      </c>
      <c r="E29" s="72"/>
      <c r="F29" s="72">
        <v>16</v>
      </c>
      <c r="G29" s="72"/>
      <c r="H29" s="72"/>
      <c r="I29" s="72"/>
    </row>
    <row r="30" spans="1:9" ht="15.75" x14ac:dyDescent="0.25">
      <c r="A30" s="72">
        <v>20</v>
      </c>
      <c r="B30" s="45" t="s">
        <v>116</v>
      </c>
      <c r="C30" s="72"/>
      <c r="D30" s="45">
        <v>93</v>
      </c>
      <c r="E30" s="72"/>
      <c r="F30" s="72">
        <v>13</v>
      </c>
      <c r="G30" s="72"/>
      <c r="H30" s="72"/>
      <c r="I30" s="72"/>
    </row>
    <row r="31" spans="1:9" ht="15.75" x14ac:dyDescent="0.25">
      <c r="A31" s="72">
        <v>21</v>
      </c>
      <c r="B31" s="45" t="s">
        <v>115</v>
      </c>
      <c r="C31" s="72"/>
      <c r="D31" s="45">
        <v>108</v>
      </c>
      <c r="E31" s="72"/>
      <c r="F31" s="72">
        <v>16</v>
      </c>
      <c r="G31" s="72"/>
      <c r="H31" s="72"/>
      <c r="I31" s="72"/>
    </row>
    <row r="32" spans="1:9" ht="15.75" x14ac:dyDescent="0.25">
      <c r="A32" s="72">
        <v>22</v>
      </c>
      <c r="B32" s="45" t="s">
        <v>117</v>
      </c>
      <c r="C32" s="72"/>
      <c r="D32" s="45">
        <v>36</v>
      </c>
      <c r="E32" s="72"/>
      <c r="F32" s="72">
        <v>8</v>
      </c>
      <c r="G32" s="72"/>
      <c r="H32" s="72"/>
      <c r="I32" s="72"/>
    </row>
    <row r="33" spans="1:9" ht="15.75" x14ac:dyDescent="0.25">
      <c r="A33" s="72">
        <v>23</v>
      </c>
      <c r="B33" s="45" t="s">
        <v>117</v>
      </c>
      <c r="C33" s="72"/>
      <c r="D33" s="45">
        <v>41</v>
      </c>
      <c r="E33" s="72"/>
      <c r="F33" s="72">
        <v>6.5</v>
      </c>
      <c r="G33" s="72"/>
      <c r="H33" s="72"/>
      <c r="I33" s="72"/>
    </row>
    <row r="34" spans="1:9" ht="15.75" x14ac:dyDescent="0.25">
      <c r="A34" s="72">
        <v>24</v>
      </c>
      <c r="B34" s="45" t="s">
        <v>116</v>
      </c>
      <c r="C34" s="72"/>
      <c r="D34" s="45">
        <v>66</v>
      </c>
      <c r="E34" s="72"/>
      <c r="F34" s="72">
        <v>12</v>
      </c>
      <c r="G34" s="72"/>
      <c r="H34" s="72"/>
      <c r="I34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27" right="0.26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F04D-9C4A-4343-90FD-C16E886DF7BF}">
  <dimension ref="A1:Q9"/>
  <sheetViews>
    <sheetView workbookViewId="0">
      <selection activeCell="E25" sqref="E25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4" customFormat="1" ht="20.25" x14ac:dyDescent="0.25">
      <c r="A1" s="73" t="s">
        <v>173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174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46</v>
      </c>
      <c r="B5" s="76" t="s">
        <v>47</v>
      </c>
      <c r="C5" s="76" t="s">
        <v>48</v>
      </c>
      <c r="D5" s="76" t="s">
        <v>175</v>
      </c>
      <c r="E5" s="77" t="s">
        <v>176</v>
      </c>
      <c r="F5" s="78"/>
      <c r="G5" s="78"/>
      <c r="H5" s="78"/>
      <c r="I5" s="78"/>
      <c r="J5" s="78"/>
      <c r="K5" s="78"/>
      <c r="L5" s="78"/>
      <c r="M5" s="79"/>
      <c r="N5" s="76" t="s">
        <v>177</v>
      </c>
      <c r="O5" s="77" t="s">
        <v>178</v>
      </c>
      <c r="P5" s="79"/>
      <c r="Q5" s="76" t="s">
        <v>179</v>
      </c>
    </row>
    <row r="6" spans="1:17" s="74" customFormat="1" ht="15.75" x14ac:dyDescent="0.25">
      <c r="A6" s="80"/>
      <c r="B6" s="80"/>
      <c r="C6" s="80"/>
      <c r="D6" s="80"/>
      <c r="E6" s="81" t="s">
        <v>180</v>
      </c>
      <c r="F6" s="82"/>
      <c r="G6" s="83"/>
      <c r="H6" s="81" t="s">
        <v>181</v>
      </c>
      <c r="I6" s="82"/>
      <c r="J6" s="83"/>
      <c r="K6" s="81" t="s">
        <v>182</v>
      </c>
      <c r="L6" s="82"/>
      <c r="M6" s="83"/>
      <c r="N6" s="80"/>
      <c r="O6" s="76" t="s">
        <v>183</v>
      </c>
      <c r="P6" s="76" t="s">
        <v>184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185</v>
      </c>
      <c r="F7" s="86"/>
      <c r="G7" s="87"/>
      <c r="H7" s="85" t="s">
        <v>186</v>
      </c>
      <c r="I7" s="86"/>
      <c r="J7" s="87"/>
      <c r="K7" s="85" t="s">
        <v>185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187</v>
      </c>
      <c r="F8" s="89" t="s">
        <v>188</v>
      </c>
      <c r="G8" s="89" t="s">
        <v>189</v>
      </c>
      <c r="H8" s="89" t="s">
        <v>187</v>
      </c>
      <c r="I8" s="89" t="s">
        <v>188</v>
      </c>
      <c r="J8" s="89" t="s">
        <v>189</v>
      </c>
      <c r="K8" s="89" t="s">
        <v>187</v>
      </c>
      <c r="L8" s="89" t="s">
        <v>188</v>
      </c>
      <c r="M8" s="89" t="s">
        <v>189</v>
      </c>
      <c r="N8" s="88"/>
      <c r="O8" s="88"/>
      <c r="P8" s="88"/>
      <c r="Q8" s="88"/>
    </row>
    <row r="9" spans="1:17" s="74" customFormat="1" ht="15.75" x14ac:dyDescent="0.25">
      <c r="A9" s="44">
        <v>1</v>
      </c>
      <c r="B9" s="90" t="s">
        <v>190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view="pageBreakPreview" zoomScaleSheetLayoutView="100" workbookViewId="0">
      <selection activeCell="B14" sqref="B14:B15"/>
    </sheetView>
  </sheetViews>
  <sheetFormatPr defaultColWidth="9.140625" defaultRowHeight="15.75" x14ac:dyDescent="0.25"/>
  <cols>
    <col min="1" max="1" width="6.85546875" style="12" bestFit="1" customWidth="1"/>
    <col min="2" max="2" width="24.42578125" style="12" bestFit="1" customWidth="1"/>
    <col min="3" max="3" width="13.85546875" style="12" bestFit="1" customWidth="1"/>
    <col min="4" max="4" width="9.28515625" style="12" customWidth="1"/>
    <col min="5" max="5" width="7.7109375" style="12" customWidth="1"/>
    <col min="6" max="7" width="9.140625" style="12"/>
    <col min="8" max="8" width="14.710937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9" t="s">
        <v>43</v>
      </c>
      <c r="B1" s="59"/>
      <c r="C1" s="59"/>
      <c r="D1" s="59"/>
      <c r="E1" s="59"/>
      <c r="F1" s="59"/>
      <c r="G1" s="59"/>
      <c r="H1" s="59"/>
    </row>
    <row r="2" spans="1:8" s="22" customFormat="1" x14ac:dyDescent="0.25">
      <c r="B2" s="23" t="s">
        <v>44</v>
      </c>
      <c r="F2" s="60" t="s">
        <v>45</v>
      </c>
      <c r="G2" s="60"/>
      <c r="H2" s="60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2" t="s">
        <v>51</v>
      </c>
      <c r="G3" s="52"/>
      <c r="H3" s="54" t="s">
        <v>52</v>
      </c>
    </row>
    <row r="4" spans="1:8" ht="63" x14ac:dyDescent="0.25">
      <c r="A4" s="55"/>
      <c r="B4" s="55"/>
      <c r="C4" s="55"/>
      <c r="D4" s="55"/>
      <c r="E4" s="55"/>
      <c r="F4" s="16" t="s">
        <v>53</v>
      </c>
      <c r="G4" s="16" t="s">
        <v>54</v>
      </c>
      <c r="H4" s="55"/>
    </row>
    <row r="5" spans="1:8" x14ac:dyDescent="0.25">
      <c r="A5" s="10">
        <v>1</v>
      </c>
      <c r="B5" s="11" t="s">
        <v>135</v>
      </c>
      <c r="C5" s="43" t="s">
        <v>136</v>
      </c>
      <c r="D5" s="11">
        <v>5</v>
      </c>
      <c r="E5" s="11">
        <v>6</v>
      </c>
      <c r="F5" s="11" t="s">
        <v>148</v>
      </c>
      <c r="G5" s="11">
        <v>32</v>
      </c>
      <c r="H5" s="11"/>
    </row>
    <row r="6" spans="1:8" x14ac:dyDescent="0.25">
      <c r="A6" s="10">
        <v>2</v>
      </c>
      <c r="B6" s="11" t="s">
        <v>117</v>
      </c>
      <c r="C6" s="43" t="s">
        <v>137</v>
      </c>
      <c r="D6" s="11">
        <v>4</v>
      </c>
      <c r="E6" s="11">
        <v>3</v>
      </c>
      <c r="F6" s="11" t="s">
        <v>149</v>
      </c>
      <c r="G6" s="11">
        <v>15</v>
      </c>
      <c r="H6" s="11"/>
    </row>
    <row r="7" spans="1:8" x14ac:dyDescent="0.25">
      <c r="A7" s="24"/>
      <c r="B7" s="25"/>
      <c r="C7" s="26"/>
      <c r="D7" s="27"/>
      <c r="E7" s="28"/>
    </row>
    <row r="8" spans="1:8" x14ac:dyDescent="0.25">
      <c r="A8" s="52" t="s">
        <v>55</v>
      </c>
      <c r="B8" s="52"/>
      <c r="C8" s="52"/>
      <c r="D8" s="52"/>
      <c r="E8" s="52"/>
      <c r="F8" s="52"/>
      <c r="G8" s="52"/>
      <c r="H8" s="52"/>
    </row>
    <row r="9" spans="1:8" ht="34.5" customHeight="1" x14ac:dyDescent="0.25">
      <c r="A9" s="10">
        <v>1</v>
      </c>
      <c r="B9" s="58" t="s">
        <v>56</v>
      </c>
      <c r="C9" s="58"/>
      <c r="D9" s="58"/>
      <c r="E9" s="58"/>
      <c r="F9" s="58"/>
      <c r="G9" s="58"/>
      <c r="H9" s="29" t="s">
        <v>123</v>
      </c>
    </row>
    <row r="10" spans="1:8" x14ac:dyDescent="0.25">
      <c r="A10" s="10">
        <v>2</v>
      </c>
      <c r="B10" s="58" t="s">
        <v>57</v>
      </c>
      <c r="C10" s="58"/>
      <c r="D10" s="58"/>
      <c r="E10" s="58"/>
      <c r="F10" s="58"/>
      <c r="G10" s="58"/>
      <c r="H10" s="29" t="s">
        <v>124</v>
      </c>
    </row>
    <row r="11" spans="1:8" x14ac:dyDescent="0.25">
      <c r="A11" s="10">
        <v>3</v>
      </c>
      <c r="B11" s="58" t="s">
        <v>58</v>
      </c>
      <c r="C11" s="58"/>
      <c r="D11" s="58"/>
      <c r="E11" s="58"/>
      <c r="F11" s="58"/>
      <c r="G11" s="58"/>
      <c r="H11" s="29" t="s">
        <v>125</v>
      </c>
    </row>
    <row r="12" spans="1:8" x14ac:dyDescent="0.25">
      <c r="A12" s="24"/>
      <c r="B12" s="24"/>
      <c r="C12" s="24"/>
      <c r="D12" s="24"/>
      <c r="E12" s="24"/>
      <c r="F12" s="24"/>
      <c r="G12" s="24"/>
      <c r="H12" s="30"/>
    </row>
    <row r="13" spans="1:8" x14ac:dyDescent="0.25">
      <c r="B13" s="31" t="str">
        <f>B2</f>
        <v xml:space="preserve">    Grid No:  </v>
      </c>
      <c r="F13" s="31" t="s">
        <v>59</v>
      </c>
      <c r="G13" s="31"/>
    </row>
    <row r="14" spans="1:8" x14ac:dyDescent="0.25">
      <c r="A14" s="52" t="s">
        <v>46</v>
      </c>
      <c r="B14" s="52" t="s">
        <v>47</v>
      </c>
      <c r="C14" s="52" t="s">
        <v>48</v>
      </c>
      <c r="D14" s="54" t="s">
        <v>49</v>
      </c>
      <c r="E14" s="52" t="s">
        <v>50</v>
      </c>
      <c r="F14" s="52" t="s">
        <v>51</v>
      </c>
      <c r="G14" s="52"/>
      <c r="H14" s="52" t="s">
        <v>52</v>
      </c>
    </row>
    <row r="15" spans="1:8" ht="63" x14ac:dyDescent="0.25">
      <c r="A15" s="52"/>
      <c r="B15" s="52"/>
      <c r="C15" s="52"/>
      <c r="D15" s="55"/>
      <c r="E15" s="52"/>
      <c r="F15" s="16" t="s">
        <v>53</v>
      </c>
      <c r="G15" s="16" t="s">
        <v>54</v>
      </c>
      <c r="H15" s="52"/>
    </row>
    <row r="16" spans="1:8" x14ac:dyDescent="0.25">
      <c r="A16" s="10">
        <v>1</v>
      </c>
      <c r="B16" s="16" t="s">
        <v>138</v>
      </c>
      <c r="C16" s="16" t="s">
        <v>139</v>
      </c>
      <c r="D16" s="16">
        <v>5</v>
      </c>
      <c r="E16" s="16">
        <v>6</v>
      </c>
      <c r="F16" s="11" t="s">
        <v>148</v>
      </c>
      <c r="G16" s="16">
        <v>32</v>
      </c>
      <c r="H16" s="16"/>
    </row>
    <row r="17" spans="1:8" x14ac:dyDescent="0.25">
      <c r="A17" s="10">
        <v>2</v>
      </c>
      <c r="B17" s="16" t="s">
        <v>115</v>
      </c>
      <c r="C17" s="16" t="s">
        <v>140</v>
      </c>
      <c r="D17" s="16">
        <v>6</v>
      </c>
      <c r="E17" s="16">
        <v>4.5</v>
      </c>
      <c r="F17" s="16" t="s">
        <v>148</v>
      </c>
      <c r="G17" s="16">
        <v>26</v>
      </c>
      <c r="H17" s="16"/>
    </row>
    <row r="18" spans="1:8" x14ac:dyDescent="0.25">
      <c r="A18" s="10">
        <v>3</v>
      </c>
      <c r="B18" s="16" t="s">
        <v>119</v>
      </c>
      <c r="C18" s="16" t="s">
        <v>141</v>
      </c>
      <c r="D18" s="16">
        <v>3</v>
      </c>
      <c r="E18" s="16">
        <v>3</v>
      </c>
      <c r="F18" s="16" t="s">
        <v>150</v>
      </c>
      <c r="G18" s="16">
        <v>10</v>
      </c>
      <c r="H18" s="16"/>
    </row>
    <row r="19" spans="1:8" x14ac:dyDescent="0.25">
      <c r="A19" s="24"/>
      <c r="B19" s="32"/>
      <c r="C19" s="33"/>
      <c r="D19" s="24"/>
      <c r="E19" s="24"/>
      <c r="F19" s="24"/>
      <c r="G19" s="24"/>
      <c r="H19" s="24"/>
    </row>
    <row r="20" spans="1:8" x14ac:dyDescent="0.25">
      <c r="A20" s="52" t="s">
        <v>55</v>
      </c>
      <c r="B20" s="52"/>
      <c r="C20" s="52"/>
      <c r="D20" s="52"/>
      <c r="E20" s="52"/>
      <c r="F20" s="52"/>
      <c r="G20" s="52"/>
      <c r="H20" s="52"/>
    </row>
    <row r="21" spans="1:8" ht="36" customHeight="1" x14ac:dyDescent="0.25">
      <c r="A21" s="10">
        <v>1</v>
      </c>
      <c r="B21" s="58" t="s">
        <v>56</v>
      </c>
      <c r="C21" s="58"/>
      <c r="D21" s="58"/>
      <c r="E21" s="58"/>
      <c r="F21" s="58"/>
      <c r="G21" s="58"/>
      <c r="H21" s="10" t="s">
        <v>126</v>
      </c>
    </row>
    <row r="22" spans="1:8" x14ac:dyDescent="0.25">
      <c r="A22" s="10">
        <v>2</v>
      </c>
      <c r="B22" s="58" t="s">
        <v>57</v>
      </c>
      <c r="C22" s="58"/>
      <c r="D22" s="58"/>
      <c r="E22" s="58"/>
      <c r="F22" s="58"/>
      <c r="G22" s="58"/>
      <c r="H22" s="10" t="s">
        <v>127</v>
      </c>
    </row>
    <row r="23" spans="1:8" x14ac:dyDescent="0.25">
      <c r="A23" s="10">
        <v>3</v>
      </c>
      <c r="B23" s="58" t="s">
        <v>58</v>
      </c>
      <c r="C23" s="58"/>
      <c r="D23" s="58"/>
      <c r="E23" s="58"/>
      <c r="F23" s="58"/>
      <c r="G23" s="58"/>
      <c r="H23" s="10">
        <v>0</v>
      </c>
    </row>
    <row r="24" spans="1:8" x14ac:dyDescent="0.25">
      <c r="A24" s="24"/>
      <c r="B24" s="33"/>
      <c r="C24" s="33"/>
      <c r="D24" s="33"/>
      <c r="E24" s="33"/>
      <c r="F24" s="33"/>
      <c r="G24" s="33"/>
      <c r="H24" s="30"/>
    </row>
    <row r="25" spans="1:8" x14ac:dyDescent="0.25">
      <c r="B25" s="31" t="str">
        <f>B2</f>
        <v xml:space="preserve">    Grid No:  </v>
      </c>
      <c r="F25" s="23" t="s">
        <v>73</v>
      </c>
      <c r="G25" s="23"/>
    </row>
    <row r="26" spans="1:8" x14ac:dyDescent="0.25">
      <c r="A26" s="52" t="s">
        <v>46</v>
      </c>
      <c r="B26" s="52" t="s">
        <v>47</v>
      </c>
      <c r="C26" s="52" t="s">
        <v>48</v>
      </c>
      <c r="D26" s="54" t="s">
        <v>49</v>
      </c>
      <c r="E26" s="52" t="s">
        <v>50</v>
      </c>
      <c r="F26" s="52" t="s">
        <v>51</v>
      </c>
      <c r="G26" s="52"/>
      <c r="H26" s="52" t="s">
        <v>52</v>
      </c>
    </row>
    <row r="27" spans="1:8" ht="63" x14ac:dyDescent="0.25">
      <c r="A27" s="52"/>
      <c r="B27" s="52"/>
      <c r="C27" s="52"/>
      <c r="D27" s="55"/>
      <c r="E27" s="52"/>
      <c r="F27" s="16" t="s">
        <v>53</v>
      </c>
      <c r="G27" s="16" t="s">
        <v>54</v>
      </c>
      <c r="H27" s="52"/>
    </row>
    <row r="28" spans="1:8" s="22" customFormat="1" x14ac:dyDescent="0.25">
      <c r="A28" s="10">
        <v>1</v>
      </c>
      <c r="B28" s="11" t="s">
        <v>117</v>
      </c>
      <c r="C28" s="10" t="s">
        <v>137</v>
      </c>
      <c r="D28" s="11">
        <v>6</v>
      </c>
      <c r="E28" s="11">
        <v>7</v>
      </c>
      <c r="F28" s="10" t="s">
        <v>149</v>
      </c>
      <c r="G28" s="10">
        <v>43</v>
      </c>
      <c r="H28" s="10"/>
    </row>
    <row r="29" spans="1:8" s="22" customFormat="1" x14ac:dyDescent="0.25">
      <c r="A29" s="10">
        <v>2</v>
      </c>
      <c r="B29" s="11" t="s">
        <v>118</v>
      </c>
      <c r="C29" s="10" t="s">
        <v>142</v>
      </c>
      <c r="D29" s="11">
        <v>3.5</v>
      </c>
      <c r="E29" s="11">
        <v>4</v>
      </c>
      <c r="F29" s="10" t="s">
        <v>151</v>
      </c>
      <c r="G29" s="10">
        <v>15</v>
      </c>
      <c r="H29" s="10"/>
    </row>
    <row r="30" spans="1:8" x14ac:dyDescent="0.25">
      <c r="A30" s="24"/>
      <c r="B30" s="24"/>
      <c r="C30" s="24"/>
      <c r="D30" s="24"/>
      <c r="E30" s="24"/>
      <c r="F30" s="24"/>
      <c r="G30" s="24"/>
      <c r="H30" s="24"/>
    </row>
    <row r="31" spans="1:8" x14ac:dyDescent="0.25">
      <c r="B31" s="31" t="str">
        <f>B2</f>
        <v xml:space="preserve">    Grid No:  </v>
      </c>
      <c r="F31" s="53" t="s">
        <v>74</v>
      </c>
      <c r="G31" s="53"/>
      <c r="H31" s="53"/>
    </row>
    <row r="32" spans="1:8" x14ac:dyDescent="0.25">
      <c r="A32" s="54" t="s">
        <v>46</v>
      </c>
      <c r="B32" s="54" t="s">
        <v>47</v>
      </c>
      <c r="C32" s="54" t="s">
        <v>48</v>
      </c>
      <c r="D32" s="54" t="s">
        <v>49</v>
      </c>
      <c r="E32" s="54" t="s">
        <v>50</v>
      </c>
      <c r="F32" s="56" t="s">
        <v>51</v>
      </c>
      <c r="G32" s="57"/>
      <c r="H32" s="54" t="s">
        <v>52</v>
      </c>
    </row>
    <row r="33" spans="1:8" ht="63" x14ac:dyDescent="0.25">
      <c r="A33" s="55"/>
      <c r="B33" s="55"/>
      <c r="C33" s="55"/>
      <c r="D33" s="55"/>
      <c r="E33" s="55"/>
      <c r="F33" s="16" t="s">
        <v>53</v>
      </c>
      <c r="G33" s="16" t="s">
        <v>54</v>
      </c>
      <c r="H33" s="55"/>
    </row>
    <row r="34" spans="1:8" s="22" customFormat="1" x14ac:dyDescent="0.25">
      <c r="A34" s="35">
        <v>1</v>
      </c>
      <c r="B34" s="34" t="s">
        <v>109</v>
      </c>
      <c r="C34" s="10" t="s">
        <v>143</v>
      </c>
      <c r="D34" s="35">
        <v>6</v>
      </c>
      <c r="E34" s="36">
        <v>3.5</v>
      </c>
      <c r="F34" s="21" t="s">
        <v>152</v>
      </c>
      <c r="G34" s="21">
        <v>19</v>
      </c>
      <c r="H34" s="21"/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8:H8"/>
    <mergeCell ref="B9:G9"/>
    <mergeCell ref="B10:G10"/>
    <mergeCell ref="B11:G11"/>
    <mergeCell ref="A14:A15"/>
    <mergeCell ref="B14:B15"/>
    <mergeCell ref="C14:C15"/>
    <mergeCell ref="D14:D15"/>
    <mergeCell ref="E14:E15"/>
    <mergeCell ref="F14:G14"/>
    <mergeCell ref="H14:H15"/>
    <mergeCell ref="A20:H20"/>
    <mergeCell ref="B21:G21"/>
    <mergeCell ref="B22:G22"/>
    <mergeCell ref="B23:G23"/>
    <mergeCell ref="A26:A27"/>
    <mergeCell ref="B26:B27"/>
    <mergeCell ref="C26:C27"/>
    <mergeCell ref="D26:D27"/>
    <mergeCell ref="E26:E27"/>
    <mergeCell ref="F26:G26"/>
    <mergeCell ref="H26:H27"/>
    <mergeCell ref="F31:H31"/>
    <mergeCell ref="A32:A33"/>
    <mergeCell ref="B32:B33"/>
    <mergeCell ref="C32:C33"/>
    <mergeCell ref="D32:D33"/>
    <mergeCell ref="E32:E33"/>
    <mergeCell ref="F32:G32"/>
    <mergeCell ref="H32:H33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tabSelected="1" view="pageBreakPreview" zoomScaleNormal="85" zoomScaleSheetLayoutView="100" workbookViewId="0">
      <selection activeCell="I7" sqref="I7"/>
    </sheetView>
  </sheetViews>
  <sheetFormatPr defaultColWidth="9.140625" defaultRowHeight="15.75" x14ac:dyDescent="0.25"/>
  <cols>
    <col min="1" max="1" width="6.5703125" style="12" customWidth="1"/>
    <col min="2" max="2" width="19.5703125" style="12" bestFit="1" customWidth="1"/>
    <col min="3" max="3" width="13.85546875" style="26" bestFit="1" customWidth="1"/>
    <col min="4" max="4" width="9.140625" style="12"/>
    <col min="5" max="6" width="10.28515625" style="12" customWidth="1"/>
    <col min="7" max="7" width="17.7109375" style="12" customWidth="1"/>
    <col min="8" max="16384" width="9.140625" style="12"/>
  </cols>
  <sheetData>
    <row r="1" spans="1:7" x14ac:dyDescent="0.25">
      <c r="A1" s="59" t="s">
        <v>60</v>
      </c>
      <c r="B1" s="59"/>
      <c r="C1" s="59"/>
      <c r="D1" s="59"/>
      <c r="E1" s="59"/>
      <c r="F1" s="59"/>
      <c r="G1" s="59"/>
    </row>
    <row r="2" spans="1:7" x14ac:dyDescent="0.25">
      <c r="E2" s="60" t="s">
        <v>45</v>
      </c>
      <c r="F2" s="60"/>
      <c r="G2" s="60"/>
    </row>
    <row r="3" spans="1:7" x14ac:dyDescent="0.25">
      <c r="A3" s="52" t="s">
        <v>46</v>
      </c>
      <c r="B3" s="52" t="s">
        <v>47</v>
      </c>
      <c r="C3" s="51" t="s">
        <v>48</v>
      </c>
      <c r="D3" s="52" t="s">
        <v>61</v>
      </c>
      <c r="E3" s="52" t="s">
        <v>51</v>
      </c>
      <c r="F3" s="52"/>
      <c r="G3" s="52" t="s">
        <v>62</v>
      </c>
    </row>
    <row r="4" spans="1:7" ht="31.5" x14ac:dyDescent="0.25">
      <c r="A4" s="52"/>
      <c r="B4" s="52"/>
      <c r="C4" s="51"/>
      <c r="D4" s="52"/>
      <c r="E4" s="16" t="s">
        <v>63</v>
      </c>
      <c r="F4" s="16" t="s">
        <v>64</v>
      </c>
      <c r="G4" s="52"/>
    </row>
    <row r="5" spans="1:7" x14ac:dyDescent="0.25">
      <c r="A5" s="52"/>
      <c r="B5" s="52"/>
      <c r="C5" s="51"/>
      <c r="D5" s="52"/>
      <c r="E5" s="16" t="s">
        <v>65</v>
      </c>
      <c r="F5" s="16" t="s">
        <v>71</v>
      </c>
      <c r="G5" s="52"/>
    </row>
    <row r="6" spans="1:7" x14ac:dyDescent="0.25">
      <c r="A6" s="10">
        <v>1</v>
      </c>
      <c r="B6" s="16" t="s">
        <v>119</v>
      </c>
      <c r="C6" s="16" t="s">
        <v>141</v>
      </c>
      <c r="D6" s="16">
        <v>20</v>
      </c>
      <c r="E6" s="16" t="s">
        <v>150</v>
      </c>
      <c r="F6" s="16">
        <v>100</v>
      </c>
      <c r="G6" s="16"/>
    </row>
    <row r="7" spans="1:7" x14ac:dyDescent="0.25">
      <c r="A7" s="10">
        <v>2</v>
      </c>
      <c r="B7" s="16" t="s">
        <v>119</v>
      </c>
      <c r="C7" s="16" t="s">
        <v>141</v>
      </c>
      <c r="D7" s="16">
        <v>25</v>
      </c>
      <c r="E7" s="16" t="s">
        <v>150</v>
      </c>
      <c r="F7" s="16">
        <v>150</v>
      </c>
      <c r="G7" s="16"/>
    </row>
    <row r="8" spans="1:7" x14ac:dyDescent="0.25">
      <c r="A8" s="10">
        <v>3</v>
      </c>
      <c r="B8" s="16" t="s">
        <v>119</v>
      </c>
      <c r="C8" s="16" t="s">
        <v>141</v>
      </c>
      <c r="D8" s="16">
        <v>17</v>
      </c>
      <c r="E8" s="16" t="s">
        <v>150</v>
      </c>
      <c r="F8" s="16">
        <v>90</v>
      </c>
      <c r="G8" s="16"/>
    </row>
    <row r="9" spans="1:7" x14ac:dyDescent="0.25">
      <c r="A9" s="10">
        <v>4</v>
      </c>
      <c r="B9" s="16" t="s">
        <v>120</v>
      </c>
      <c r="C9" s="16" t="s">
        <v>144</v>
      </c>
      <c r="D9" s="16">
        <v>30</v>
      </c>
      <c r="E9" s="16" t="s">
        <v>148</v>
      </c>
      <c r="F9" s="16">
        <v>170</v>
      </c>
      <c r="G9" s="16"/>
    </row>
    <row r="10" spans="1:7" x14ac:dyDescent="0.25">
      <c r="A10" s="52" t="s">
        <v>55</v>
      </c>
      <c r="B10" s="52"/>
      <c r="C10" s="52"/>
      <c r="D10" s="52"/>
      <c r="E10" s="52"/>
      <c r="F10" s="52"/>
      <c r="G10" s="52"/>
    </row>
    <row r="11" spans="1:7" x14ac:dyDescent="0.25">
      <c r="A11" s="24"/>
      <c r="B11" s="30"/>
      <c r="C11" s="33"/>
      <c r="D11" s="24"/>
      <c r="E11" s="30"/>
      <c r="F11" s="30"/>
      <c r="G11" s="30"/>
    </row>
    <row r="12" spans="1:7" s="22" customFormat="1" x14ac:dyDescent="0.25">
      <c r="B12" s="37" t="s">
        <v>67</v>
      </c>
      <c r="C12" s="38"/>
      <c r="E12" s="59" t="s">
        <v>68</v>
      </c>
      <c r="F12" s="59"/>
      <c r="G12" s="59"/>
    </row>
    <row r="13" spans="1:7" x14ac:dyDescent="0.25">
      <c r="A13" s="52" t="s">
        <v>46</v>
      </c>
      <c r="B13" s="52" t="s">
        <v>47</v>
      </c>
      <c r="C13" s="61" t="s">
        <v>48</v>
      </c>
      <c r="D13" s="52" t="s">
        <v>61</v>
      </c>
      <c r="E13" s="52" t="s">
        <v>51</v>
      </c>
      <c r="F13" s="52"/>
      <c r="G13" s="52" t="s">
        <v>62</v>
      </c>
    </row>
    <row r="14" spans="1:7" ht="31.5" x14ac:dyDescent="0.25">
      <c r="A14" s="52"/>
      <c r="B14" s="52"/>
      <c r="C14" s="62"/>
      <c r="D14" s="52"/>
      <c r="E14" s="16" t="s">
        <v>63</v>
      </c>
      <c r="F14" s="16" t="s">
        <v>64</v>
      </c>
      <c r="G14" s="52"/>
    </row>
    <row r="15" spans="1:7" ht="31.5" x14ac:dyDescent="0.25">
      <c r="A15" s="52"/>
      <c r="B15" s="52"/>
      <c r="C15" s="63"/>
      <c r="D15" s="52"/>
      <c r="E15" s="16" t="s">
        <v>65</v>
      </c>
      <c r="F15" s="16" t="s">
        <v>66</v>
      </c>
      <c r="G15" s="52"/>
    </row>
    <row r="16" spans="1:7" s="22" customFormat="1" x14ac:dyDescent="0.25">
      <c r="A16" s="35">
        <v>1</v>
      </c>
      <c r="B16" s="21" t="s">
        <v>121</v>
      </c>
      <c r="C16" s="39" t="s">
        <v>147</v>
      </c>
      <c r="D16" s="35">
        <v>72</v>
      </c>
      <c r="E16" s="21" t="s">
        <v>150</v>
      </c>
      <c r="F16" s="21">
        <v>350</v>
      </c>
      <c r="G16" s="21"/>
    </row>
    <row r="17" spans="1:7" s="22" customFormat="1" x14ac:dyDescent="0.25">
      <c r="A17" s="35">
        <v>2</v>
      </c>
      <c r="B17" s="21" t="s">
        <v>113</v>
      </c>
      <c r="C17" s="39" t="s">
        <v>145</v>
      </c>
      <c r="D17" s="35">
        <v>43</v>
      </c>
      <c r="E17" s="21" t="s">
        <v>153</v>
      </c>
      <c r="F17" s="21">
        <v>195</v>
      </c>
      <c r="G17" s="21"/>
    </row>
    <row r="18" spans="1:7" s="22" customFormat="1" x14ac:dyDescent="0.25">
      <c r="A18" s="35">
        <v>3</v>
      </c>
      <c r="B18" s="21" t="s">
        <v>122</v>
      </c>
      <c r="C18" s="39" t="s">
        <v>146</v>
      </c>
      <c r="D18" s="35">
        <v>15</v>
      </c>
      <c r="E18" s="21" t="s">
        <v>154</v>
      </c>
      <c r="F18" s="21">
        <v>90</v>
      </c>
      <c r="G18" s="21"/>
    </row>
    <row r="19" spans="1:7" s="22" customFormat="1" x14ac:dyDescent="0.25">
      <c r="A19" s="35">
        <v>4</v>
      </c>
      <c r="B19" s="21" t="s">
        <v>122</v>
      </c>
      <c r="C19" s="39" t="s">
        <v>146</v>
      </c>
      <c r="D19" s="35">
        <v>26</v>
      </c>
      <c r="E19" s="21" t="s">
        <v>154</v>
      </c>
      <c r="F19" s="21">
        <v>150</v>
      </c>
      <c r="G19" s="21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10:G10"/>
    <mergeCell ref="E12:G12"/>
    <mergeCell ref="A13:A15"/>
    <mergeCell ref="B13:B15"/>
    <mergeCell ref="C13:C15"/>
    <mergeCell ref="D13:D15"/>
    <mergeCell ref="E13:F13"/>
    <mergeCell ref="G13:G1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2024-10-24T12:10:31Z</cp:lastPrinted>
  <dcterms:created xsi:type="dcterms:W3CDTF">2023-09-21T06:16:02Z</dcterms:created>
  <dcterms:modified xsi:type="dcterms:W3CDTF">2024-10-24T12:10:33Z</dcterms:modified>
</cp:coreProperties>
</file>