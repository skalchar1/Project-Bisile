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Charmady kanapady RF\II-6\"/>
    </mc:Choice>
  </mc:AlternateContent>
  <xr:revisionPtr revIDLastSave="0" documentId="13_ncr:1_{6B758ED5-665F-467D-B789-CBFFA3B7A3E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0" i="8"/>
  <c r="B23" i="8"/>
  <c r="B13" i="8"/>
</calcChain>
</file>

<file path=xl/sharedStrings.xml><?xml version="1.0" encoding="utf-8"?>
<sst xmlns="http://schemas.openxmlformats.org/spreadsheetml/2006/main" count="331" uniqueCount="206">
  <si>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</si>
  <si>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</si>
  <si>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</si>
  <si>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</si>
  <si>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</si>
  <si>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</si>
  <si>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</si>
  <si>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</si>
  <si>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</si>
  <si>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</si>
  <si>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</si>
  <si>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</si>
  <si>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</si>
  <si>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</si>
  <si>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</si>
  <si>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</si>
  <si>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</si>
  <si>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</si>
  <si>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</si>
  <si>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</si>
  <si>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</si>
  <si>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</si>
  <si>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</si>
  <si>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</si>
  <si>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</si>
  <si>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</si>
  <si>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</si>
  <si>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Upto 3° /4°-15°/ 16°-40° /41° and Above</t>
  </si>
  <si>
    <t>Aspect</t>
  </si>
  <si>
    <t>Northern / NE/Eastern / SE /Southern /SW /Western/ NW /No 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</si>
  <si>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</si>
  <si>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</si>
  <si>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</si>
  <si>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</si>
  <si>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</si>
  <si>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</si>
  <si>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</si>
  <si>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</si>
  <si>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</si>
  <si>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</si>
  <si>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</si>
  <si>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</si>
  <si>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</si>
  <si>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</si>
  <si>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</si>
  <si>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</si>
  <si>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</si>
  <si>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</si>
  <si>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</si>
  <si>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</si>
  <si>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</si>
  <si>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</si>
  <si>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</si>
  <si>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</si>
  <si>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</si>
  <si>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</si>
  <si>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</si>
  <si>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</si>
  <si>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</si>
  <si>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</si>
  <si>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</si>
  <si>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</si>
  <si>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</si>
  <si>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</si>
  <si>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</si>
  <si>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</si>
  <si>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</si>
  <si>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</si>
  <si>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</si>
  <si>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</si>
  <si>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</si>
  <si>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</si>
  <si>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</si>
  <si>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</si>
  <si>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</si>
  <si>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NORTH WEST CORNER </t>
  </si>
  <si>
    <t>SOUTH EAST CORNER</t>
  </si>
  <si>
    <t xml:space="preserve">Mangifera indica , Holigarna arnattiana , Terminalia paniculata , Aporosa lindleyana </t>
  </si>
  <si>
    <t>Tract - Undulating</t>
  </si>
  <si>
    <t>Aspect - No fix</t>
  </si>
  <si>
    <t>Canopy Dencity - 0.81</t>
  </si>
  <si>
    <t>Soil - Humus rich loamy</t>
  </si>
  <si>
    <t>Grasses - NIL</t>
  </si>
  <si>
    <t>Weeds - NIL</t>
  </si>
  <si>
    <t xml:space="preserve">Bamboos - Ochlandra sp </t>
  </si>
  <si>
    <t>Herbs - Derris sp , Grewia sp</t>
  </si>
  <si>
    <t xml:space="preserve">Shrubs - Goniothalamus cardiopetalus , Psychotria flavida , Psychotria dalzelli , Tabernamontana heyneana </t>
  </si>
  <si>
    <t xml:space="preserve">Underwood species – Ixora brachiata , Memecylon talbotianum , Leea indica , Myristica malabarica </t>
  </si>
  <si>
    <t xml:space="preserve">Climbers - Pothos scandens , Piper nigrum , Getonia floribunda </t>
  </si>
  <si>
    <t xml:space="preserve">Rattans – Calamus thwiitesii </t>
  </si>
  <si>
    <t xml:space="preserve">NTFP yieding sps – Myristica malabarica </t>
  </si>
  <si>
    <t>NIL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</si>
  <si>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</si>
  <si>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</si>
  <si>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</si>
  <si>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t xml:space="preserve">Texture- Loamy </t>
  </si>
  <si>
    <t>Depth-  Deep</t>
  </si>
  <si>
    <t>Permiability- 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</si>
  <si>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</si>
  <si>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rPr>
        <b/>
        <sz val="12"/>
        <rFont val="Times New Roman"/>
        <family val="1"/>
      </rPr>
      <t>Adequate</t>
    </r>
    <r>
      <rPr>
        <sz val="12"/>
        <rFont val="Times New Roman"/>
        <family val="1"/>
      </rPr>
      <t>/ Moderate/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</si>
  <si>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</si>
  <si>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 xml:space="preserve">wild animals, Humans 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</si>
  <si>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</si>
  <si>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</si>
  <si>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</si>
  <si>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 xml:space="preserve">NIL </t>
  </si>
  <si>
    <t xml:space="preserve">Stream nearby </t>
  </si>
  <si>
    <t xml:space="preserve">Mangifera indica </t>
  </si>
  <si>
    <t>Terminalia paniculata</t>
  </si>
  <si>
    <t>Aporosa lindleyana</t>
  </si>
  <si>
    <t>Terminalia bellarica</t>
  </si>
  <si>
    <t>Uknown</t>
  </si>
  <si>
    <t>Holigarna arnattiana</t>
  </si>
  <si>
    <t>Olea dioca</t>
  </si>
  <si>
    <t>Tabernamontana heyneana</t>
  </si>
  <si>
    <t>Sapindus lurifolius</t>
  </si>
  <si>
    <t xml:space="preserve">Unknown </t>
  </si>
  <si>
    <t>Ebanacea member</t>
  </si>
  <si>
    <t xml:space="preserve">Moullava spicata </t>
  </si>
  <si>
    <t>Flacourtia montana</t>
  </si>
  <si>
    <t xml:space="preserve">Alstonia scholaris </t>
  </si>
  <si>
    <t xml:space="preserve">Callicarpa tomentosa </t>
  </si>
  <si>
    <t>Catunaregam spinosa</t>
  </si>
  <si>
    <t xml:space="preserve">Strobilanthus sp </t>
  </si>
  <si>
    <t xml:space="preserve">Sterospermum chelonoids </t>
  </si>
  <si>
    <t>Purtranjeiva roxburghii</t>
  </si>
  <si>
    <t xml:space="preserve">Strychnos nux-vomica </t>
  </si>
  <si>
    <t>Getonia floribunda</t>
  </si>
  <si>
    <t>Ficus tsjahala</t>
  </si>
  <si>
    <t>Ixora brachiata</t>
  </si>
  <si>
    <t xml:space="preserve">Koliballi </t>
  </si>
  <si>
    <t>Schleichera oleosa</t>
  </si>
  <si>
    <t xml:space="preserve">Psychotria flavida </t>
  </si>
  <si>
    <t>Sterospermum reticulata</t>
  </si>
  <si>
    <t>Psychotria flavida</t>
  </si>
  <si>
    <t xml:space="preserve">Strombosia sylanica </t>
  </si>
  <si>
    <t>Myristica malabarica</t>
  </si>
  <si>
    <t>Psychotria dalzelli</t>
  </si>
  <si>
    <t>83g</t>
  </si>
  <si>
    <t>1.2kg</t>
  </si>
  <si>
    <t>6kg</t>
  </si>
  <si>
    <t xml:space="preserve">Aglaia elaeagnoidea </t>
  </si>
  <si>
    <t>53g</t>
  </si>
  <si>
    <t>800g</t>
  </si>
  <si>
    <t>98cm girth and 1.8m length wood follen</t>
  </si>
  <si>
    <t>Mallotus philippensis</t>
  </si>
  <si>
    <t>Memecylon talbotianum</t>
  </si>
  <si>
    <t>719 ft</t>
  </si>
  <si>
    <t>Trvel from Ujire  to   Kinyadi   upto N 13.07915     E 75.387145    by vehicle then travel in the North East diretion upto a distance of    493m  to rech the grid.</t>
  </si>
  <si>
    <t>Belthangady</t>
  </si>
  <si>
    <t xml:space="preserve">Charmady kanapady RF </t>
  </si>
  <si>
    <t>II-6</t>
  </si>
  <si>
    <t xml:space="preserve">Holigarna arnattiana , Mangifera indica , Terminalia paniculata ,Aporosa lindleyana </t>
  </si>
  <si>
    <t>Mangalore Division</t>
  </si>
  <si>
    <t>Ramapatre</t>
  </si>
  <si>
    <t>Konana kivi</t>
  </si>
  <si>
    <t>Priyangu</t>
  </si>
  <si>
    <t>Gorbale</t>
  </si>
  <si>
    <t>Kunkumada Mara</t>
  </si>
  <si>
    <t>Salle</t>
  </si>
  <si>
    <t>Maddarasa</t>
  </si>
  <si>
    <t>Sagadi</t>
  </si>
  <si>
    <t>Kaadu coffee</t>
  </si>
  <si>
    <t>Nurche</t>
  </si>
  <si>
    <t xml:space="preserve">Fruit </t>
  </si>
  <si>
    <t>Leaves</t>
  </si>
  <si>
    <t xml:space="preserve">Flower </t>
  </si>
  <si>
    <t>Latex</t>
  </si>
  <si>
    <t>Bark</t>
  </si>
  <si>
    <t>Pod</t>
  </si>
  <si>
    <r>
      <t>Heavily / Moderately / Mildly /</t>
    </r>
    <r>
      <rPr>
        <b/>
        <sz val="12"/>
        <rFont val="Times New Roman"/>
        <family val="1"/>
      </rPr>
      <t>Not degrated</t>
    </r>
  </si>
  <si>
    <t>Form III</t>
  </si>
  <si>
    <t>FORM – A1</t>
  </si>
  <si>
    <t>PLOT ENUMERATION (31.62mX 31.62m Central Plot/lateral plot)</t>
  </si>
  <si>
    <t xml:space="preserve">Block /Village: Charmady kanapady RF </t>
  </si>
  <si>
    <t xml:space="preserve">Beat: </t>
  </si>
  <si>
    <t>Range: Belthangady</t>
  </si>
  <si>
    <t>Division: Mangalore</t>
  </si>
  <si>
    <t>GBH 
(cm)</t>
  </si>
  <si>
    <t>GBH (OB) (cm)</t>
  </si>
  <si>
    <t>Height of selected dominant trees (m)</t>
  </si>
  <si>
    <t>Remarks, if any, about the tree condition</t>
  </si>
  <si>
    <t>Part of the tree</t>
  </si>
  <si>
    <t>Grid No:7227</t>
  </si>
  <si>
    <t>LAT: 13.073816</t>
  </si>
  <si>
    <t>LONG: 75.389214</t>
  </si>
  <si>
    <t>Compartment No: II-6</t>
  </si>
  <si>
    <t>ALT: 719 ft</t>
  </si>
  <si>
    <t>FORM-A2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</si>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</sst>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7" sqref="C7"/>
    </sheetView>
  </sheetViews>
  <sheetFormatPr defaultColWidth="9.140625" defaultRowHeight="24.75" customHeight="1" x14ac:dyDescent="0.25"/>
  <cols>
    <col min="1" max="1" width="6.5703125" style="1" bestFit="1" customWidth="1"/>
    <col min="2" max="2" width="34.42578125" style="1" bestFit="1" customWidth="1"/>
    <col min="3" max="3" width="53.85546875" style="1" customWidth="1"/>
    <col min="4" max="16384" width="9.140625" style="1"/>
  </cols>
  <sheetData>
    <row r="1" spans="1:3" ht="24.75" customHeight="1" x14ac:dyDescent="0.25">
      <c r="A1" s="46" t="s">
        <v>0</v>
      </c>
      <c r="B1" s="46"/>
      <c r="C1" s="46"/>
    </row>
    <row r="2" spans="1:3" ht="24.75" customHeight="1" x14ac:dyDescent="0.25">
      <c r="A2" s="46" t="s">
        <v>1</v>
      </c>
      <c r="B2" s="46"/>
      <c r="C2" s="46"/>
    </row>
    <row r="3" spans="1:3" s="2" customFormat="1" ht="24.75" customHeight="1" x14ac:dyDescent="0.25">
      <c r="A3" s="46" t="s">
        <v>2</v>
      </c>
      <c r="B3" s="46"/>
      <c r="C3" s="43" t="s">
        <v>153</v>
      </c>
    </row>
    <row r="4" spans="1:3" s="4" customFormat="1" ht="24.75" customHeight="1" x14ac:dyDescent="0.25">
      <c r="A4" s="3" t="s">
        <v>3</v>
      </c>
      <c r="B4" s="3" t="s">
        <v>4</v>
      </c>
      <c r="C4" s="3" t="s">
        <v>5</v>
      </c>
    </row>
    <row r="5" spans="1:3" ht="24" customHeight="1" x14ac:dyDescent="0.25">
      <c r="A5" s="3">
        <v>1</v>
      </c>
      <c r="B5" s="41" t="s">
        <v>6</v>
      </c>
      <c r="C5" s="6" t="s">
        <v>149</v>
      </c>
    </row>
    <row r="6" spans="1:3" ht="24" customHeight="1" x14ac:dyDescent="0.25">
      <c r="A6" s="3">
        <v>2</v>
      </c>
      <c r="B6" s="41" t="s">
        <v>7</v>
      </c>
      <c r="C6" s="7" t="s">
        <v>150</v>
      </c>
    </row>
    <row r="7" spans="1:3" ht="24" customHeight="1" x14ac:dyDescent="0.25">
      <c r="A7" s="3">
        <v>3</v>
      </c>
      <c r="B7" s="41" t="s">
        <v>8</v>
      </c>
      <c r="C7" s="7" t="s">
        <v>151</v>
      </c>
    </row>
    <row r="8" spans="1:3" ht="24" customHeight="1" x14ac:dyDescent="0.25">
      <c r="A8" s="3">
        <v>4</v>
      </c>
      <c r="B8" s="41" t="s">
        <v>9</v>
      </c>
      <c r="C8" s="7">
        <v>7227</v>
      </c>
    </row>
    <row r="9" spans="1:3" ht="24" customHeight="1" x14ac:dyDescent="0.25">
      <c r="A9" s="3">
        <v>5</v>
      </c>
      <c r="B9" s="41" t="s">
        <v>10</v>
      </c>
      <c r="C9" s="8">
        <v>13.073816000000001</v>
      </c>
    </row>
    <row r="10" spans="1:3" ht="24" customHeight="1" x14ac:dyDescent="0.25">
      <c r="A10" s="3">
        <v>6</v>
      </c>
      <c r="B10" s="41" t="s">
        <v>11</v>
      </c>
      <c r="C10" s="8">
        <v>75.389213999999996</v>
      </c>
    </row>
    <row r="11" spans="1:3" ht="47.25" x14ac:dyDescent="0.25">
      <c r="A11" s="3">
        <v>7</v>
      </c>
      <c r="B11" s="41" t="s">
        <v>12</v>
      </c>
      <c r="C11" s="8" t="s">
        <v>148</v>
      </c>
    </row>
    <row r="12" spans="1:3" ht="31.5" x14ac:dyDescent="0.25">
      <c r="A12" s="3">
        <v>8</v>
      </c>
      <c r="B12" s="41" t="s">
        <v>13</v>
      </c>
      <c r="C12" s="9" t="s">
        <v>77</v>
      </c>
    </row>
    <row r="13" spans="1:3" ht="24" customHeight="1" x14ac:dyDescent="0.25">
      <c r="A13" s="47">
        <v>9</v>
      </c>
      <c r="B13" s="48" t="s">
        <v>14</v>
      </c>
      <c r="C13" s="5" t="s">
        <v>78</v>
      </c>
    </row>
    <row r="14" spans="1:3" ht="24" customHeight="1" x14ac:dyDescent="0.25">
      <c r="A14" s="47"/>
      <c r="B14" s="48"/>
      <c r="C14" s="5" t="s">
        <v>79</v>
      </c>
    </row>
    <row r="15" spans="1:3" ht="24" customHeight="1" x14ac:dyDescent="0.25">
      <c r="A15" s="47"/>
      <c r="B15" s="48"/>
      <c r="C15" s="5" t="s">
        <v>80</v>
      </c>
    </row>
    <row r="16" spans="1:3" ht="24" customHeight="1" x14ac:dyDescent="0.25">
      <c r="A16" s="47"/>
      <c r="B16" s="48"/>
      <c r="C16" s="5" t="s">
        <v>81</v>
      </c>
    </row>
    <row r="17" spans="1:3" ht="24" customHeight="1" x14ac:dyDescent="0.25">
      <c r="A17" s="47"/>
      <c r="B17" s="48"/>
      <c r="C17" s="5" t="s">
        <v>82</v>
      </c>
    </row>
    <row r="18" spans="1:3" ht="24" customHeight="1" x14ac:dyDescent="0.25">
      <c r="A18" s="47"/>
      <c r="B18" s="48"/>
      <c r="C18" s="5" t="s">
        <v>83</v>
      </c>
    </row>
    <row r="19" spans="1:3" ht="24" customHeight="1" x14ac:dyDescent="0.25">
      <c r="A19" s="47"/>
      <c r="B19" s="48"/>
      <c r="C19" s="5" t="s">
        <v>84</v>
      </c>
    </row>
    <row r="20" spans="1:3" ht="24" customHeight="1" x14ac:dyDescent="0.25">
      <c r="A20" s="47"/>
      <c r="B20" s="48"/>
      <c r="C20" s="5" t="s">
        <v>85</v>
      </c>
    </row>
    <row r="21" spans="1:3" ht="31.5" x14ac:dyDescent="0.25">
      <c r="A21" s="47"/>
      <c r="B21" s="48"/>
      <c r="C21" s="5" t="s">
        <v>86</v>
      </c>
    </row>
    <row r="22" spans="1:3" ht="31.5" x14ac:dyDescent="0.25">
      <c r="A22" s="47"/>
      <c r="B22" s="48"/>
      <c r="C22" s="5" t="s">
        <v>87</v>
      </c>
    </row>
    <row r="23" spans="1:3" ht="31.5" x14ac:dyDescent="0.25">
      <c r="A23" s="47"/>
      <c r="B23" s="48"/>
      <c r="C23" s="5" t="s">
        <v>88</v>
      </c>
    </row>
    <row r="24" spans="1:3" ht="24" customHeight="1" x14ac:dyDescent="0.25">
      <c r="A24" s="47"/>
      <c r="B24" s="48"/>
      <c r="C24" s="5" t="s">
        <v>89</v>
      </c>
    </row>
    <row r="25" spans="1:3" ht="24" customHeight="1" x14ac:dyDescent="0.25">
      <c r="A25" s="47"/>
      <c r="B25" s="48"/>
      <c r="C25" s="5" t="s">
        <v>90</v>
      </c>
    </row>
    <row r="26" spans="1:3" ht="24" customHeight="1" x14ac:dyDescent="0.25">
      <c r="A26" s="3">
        <v>10</v>
      </c>
      <c r="B26" s="41" t="s">
        <v>15</v>
      </c>
      <c r="C26" s="5" t="s">
        <v>91</v>
      </c>
    </row>
    <row r="27" spans="1:3" ht="24" customHeight="1" x14ac:dyDescent="0.25">
      <c r="A27" s="3">
        <v>11</v>
      </c>
      <c r="B27" s="41" t="s">
        <v>16</v>
      </c>
      <c r="C27" s="5" t="s">
        <v>91</v>
      </c>
    </row>
    <row r="28" spans="1:3" ht="24.75" customHeight="1" x14ac:dyDescent="0.25">
      <c r="A28" s="13"/>
    </row>
    <row r="29" spans="1:3" ht="24.75" customHeight="1" x14ac:dyDescent="0.25">
      <c r="A29" s="14"/>
    </row>
    <row r="30" spans="1:3" ht="24.75" customHeight="1" x14ac:dyDescent="0.25">
      <c r="A30" s="15"/>
    </row>
    <row r="31" spans="1:3" ht="24.75" customHeight="1" x14ac:dyDescent="0.25">
      <c r="A31" s="15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46" spans="1:1" ht="24.75" customHeight="1" x14ac:dyDescent="0.25">
      <c r="A46" s="15"/>
    </row>
    <row r="47" spans="1:1" ht="24.75" customHeight="1" x14ac:dyDescent="0.25">
      <c r="A4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4"/>
    </row>
    <row r="63" spans="1:1" ht="24.75" customHeight="1" x14ac:dyDescent="0.25">
      <c r="A63" s="15"/>
    </row>
    <row r="71" spans="1:1" ht="24.75" customHeight="1" x14ac:dyDescent="0.25">
      <c r="A71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topLeftCell="A7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3" bestFit="1" customWidth="1"/>
    <col min="2" max="2" width="42.85546875" style="13" bestFit="1" customWidth="1"/>
    <col min="3" max="3" width="49.42578125" style="13" customWidth="1"/>
    <col min="4" max="16384" width="9.140625" style="13"/>
  </cols>
  <sheetData>
    <row r="1" spans="1:3" ht="25.5" customHeight="1" x14ac:dyDescent="0.25">
      <c r="A1" s="49" t="s">
        <v>17</v>
      </c>
      <c r="B1" s="49"/>
      <c r="C1" s="49"/>
    </row>
    <row r="2" spans="1:3" ht="25.5" customHeight="1" x14ac:dyDescent="0.25">
      <c r="A2" s="49" t="s">
        <v>18</v>
      </c>
      <c r="B2" s="49"/>
      <c r="C2" s="49"/>
    </row>
    <row r="3" spans="1:3" s="14" customFormat="1" ht="25.5" customHeight="1" x14ac:dyDescent="0.25">
      <c r="A3" s="49" t="s">
        <v>2</v>
      </c>
      <c r="B3" s="49"/>
      <c r="C3" s="43" t="s">
        <v>153</v>
      </c>
    </row>
    <row r="4" spans="1:3" s="17" customFormat="1" ht="25.5" customHeight="1" x14ac:dyDescent="0.25">
      <c r="A4" s="16" t="s">
        <v>3</v>
      </c>
      <c r="B4" s="16" t="s">
        <v>5</v>
      </c>
      <c r="C4" s="16" t="s">
        <v>19</v>
      </c>
    </row>
    <row r="5" spans="1:3" ht="23.25" customHeight="1" x14ac:dyDescent="0.25">
      <c r="A5" s="10">
        <v>1</v>
      </c>
      <c r="B5" s="42" t="s">
        <v>6</v>
      </c>
      <c r="C5" s="18" t="str">
        <f>'Form 1'!C5</f>
        <v>Belthangady</v>
      </c>
    </row>
    <row r="6" spans="1:3" ht="23.25" customHeight="1" x14ac:dyDescent="0.25">
      <c r="A6" s="10">
        <v>2</v>
      </c>
      <c r="B6" s="42" t="s">
        <v>74</v>
      </c>
      <c r="C6" s="18"/>
    </row>
    <row r="7" spans="1:3" ht="23.25" customHeight="1" x14ac:dyDescent="0.25">
      <c r="A7" s="10">
        <v>3</v>
      </c>
      <c r="B7" s="42" t="s">
        <v>71</v>
      </c>
      <c r="C7" s="18" t="str">
        <f>'Form 1'!C6</f>
        <v xml:space="preserve">Charmady kanapady RF </v>
      </c>
    </row>
    <row r="8" spans="1:3" ht="23.25" customHeight="1" x14ac:dyDescent="0.25">
      <c r="A8" s="10">
        <v>4</v>
      </c>
      <c r="B8" s="42" t="s">
        <v>9</v>
      </c>
      <c r="C8" s="18">
        <f>'Form 1'!C8</f>
        <v>7227</v>
      </c>
    </row>
    <row r="9" spans="1:3" ht="23.25" customHeight="1" x14ac:dyDescent="0.25">
      <c r="A9" s="10">
        <v>5</v>
      </c>
      <c r="B9" s="42" t="s">
        <v>20</v>
      </c>
      <c r="C9" s="19">
        <f>'Form 1'!C9</f>
        <v>13.073816000000001</v>
      </c>
    </row>
    <row r="10" spans="1:3" ht="23.25" customHeight="1" x14ac:dyDescent="0.25">
      <c r="A10" s="10">
        <v>6</v>
      </c>
      <c r="B10" s="42" t="s">
        <v>21</v>
      </c>
      <c r="C10" s="19">
        <f>'Form 1'!C10</f>
        <v>75.389213999999996</v>
      </c>
    </row>
    <row r="11" spans="1:3" ht="23.25" customHeight="1" x14ac:dyDescent="0.25">
      <c r="A11" s="10">
        <v>7</v>
      </c>
      <c r="B11" s="42" t="s">
        <v>22</v>
      </c>
      <c r="C11" s="18" t="s">
        <v>147</v>
      </c>
    </row>
    <row r="12" spans="1:3" ht="31.5" x14ac:dyDescent="0.25">
      <c r="A12" s="10">
        <v>8</v>
      </c>
      <c r="B12" s="42" t="s">
        <v>23</v>
      </c>
      <c r="C12" s="18" t="s">
        <v>92</v>
      </c>
    </row>
    <row r="13" spans="1:3" ht="23.25" customHeight="1" x14ac:dyDescent="0.25">
      <c r="A13" s="10">
        <v>9</v>
      </c>
      <c r="B13" s="42" t="s">
        <v>24</v>
      </c>
      <c r="C13" s="18" t="s">
        <v>93</v>
      </c>
    </row>
    <row r="14" spans="1:3" ht="23.25" customHeight="1" x14ac:dyDescent="0.25">
      <c r="A14" s="10">
        <v>10</v>
      </c>
      <c r="B14" s="42" t="s">
        <v>25</v>
      </c>
      <c r="C14" s="18" t="s">
        <v>94</v>
      </c>
    </row>
    <row r="15" spans="1:3" ht="23.25" customHeight="1" x14ac:dyDescent="0.25">
      <c r="A15" s="10">
        <v>11</v>
      </c>
      <c r="B15" s="42" t="s">
        <v>26</v>
      </c>
      <c r="C15" s="20" t="s">
        <v>27</v>
      </c>
    </row>
    <row r="16" spans="1:3" ht="31.5" x14ac:dyDescent="0.25">
      <c r="A16" s="10">
        <v>12</v>
      </c>
      <c r="B16" s="42" t="s">
        <v>28</v>
      </c>
      <c r="C16" s="20" t="s">
        <v>29</v>
      </c>
    </row>
    <row r="17" spans="1:3" ht="31.5" x14ac:dyDescent="0.25">
      <c r="A17" s="10">
        <v>13</v>
      </c>
      <c r="B17" s="42" t="s">
        <v>30</v>
      </c>
      <c r="C17" s="20" t="s">
        <v>31</v>
      </c>
    </row>
    <row r="18" spans="1:3" ht="23.25" customHeight="1" x14ac:dyDescent="0.25">
      <c r="A18" s="50">
        <v>14</v>
      </c>
      <c r="B18" s="51" t="s">
        <v>32</v>
      </c>
      <c r="C18" s="20" t="s">
        <v>95</v>
      </c>
    </row>
    <row r="19" spans="1:3" ht="23.25" customHeight="1" x14ac:dyDescent="0.25">
      <c r="A19" s="50"/>
      <c r="B19" s="51"/>
      <c r="C19" s="20" t="s">
        <v>96</v>
      </c>
    </row>
    <row r="20" spans="1:3" ht="23.25" customHeight="1" x14ac:dyDescent="0.25">
      <c r="A20" s="50"/>
      <c r="B20" s="51"/>
      <c r="C20" s="21" t="s">
        <v>97</v>
      </c>
    </row>
    <row r="21" spans="1:3" ht="23.25" customHeight="1" x14ac:dyDescent="0.25">
      <c r="A21" s="10">
        <v>15</v>
      </c>
      <c r="B21" s="42" t="s">
        <v>33</v>
      </c>
      <c r="C21" s="20" t="s">
        <v>98</v>
      </c>
    </row>
    <row r="22" spans="1:3" ht="31.5" x14ac:dyDescent="0.25">
      <c r="A22" s="10">
        <v>16</v>
      </c>
      <c r="B22" s="42" t="s">
        <v>34</v>
      </c>
      <c r="C22" s="20" t="s">
        <v>152</v>
      </c>
    </row>
    <row r="23" spans="1:3" ht="23.25" customHeight="1" x14ac:dyDescent="0.25">
      <c r="A23" s="10">
        <v>17</v>
      </c>
      <c r="B23" s="42" t="s">
        <v>72</v>
      </c>
      <c r="C23" s="20" t="s">
        <v>99</v>
      </c>
    </row>
    <row r="24" spans="1:3" ht="31.5" x14ac:dyDescent="0.25">
      <c r="A24" s="10">
        <v>18</v>
      </c>
      <c r="B24" s="42" t="s">
        <v>35</v>
      </c>
      <c r="C24" s="20" t="s">
        <v>100</v>
      </c>
    </row>
    <row r="25" spans="1:3" ht="23.25" customHeight="1" x14ac:dyDescent="0.25">
      <c r="A25" s="10">
        <v>19</v>
      </c>
      <c r="B25" s="42" t="s">
        <v>36</v>
      </c>
      <c r="C25" s="20" t="s">
        <v>101</v>
      </c>
    </row>
    <row r="26" spans="1:3" ht="23.25" customHeight="1" x14ac:dyDescent="0.25">
      <c r="A26" s="10">
        <v>20</v>
      </c>
      <c r="B26" s="42" t="s">
        <v>37</v>
      </c>
      <c r="C26" s="21" t="s">
        <v>102</v>
      </c>
    </row>
    <row r="27" spans="1:3" ht="23.25" customHeight="1" x14ac:dyDescent="0.25">
      <c r="A27" s="10">
        <v>21</v>
      </c>
      <c r="B27" s="42" t="s">
        <v>38</v>
      </c>
      <c r="C27" s="20" t="s">
        <v>103</v>
      </c>
    </row>
    <row r="28" spans="1:3" ht="23.25" customHeight="1" x14ac:dyDescent="0.25">
      <c r="A28" s="10">
        <v>22</v>
      </c>
      <c r="B28" s="42" t="s">
        <v>39</v>
      </c>
      <c r="C28" s="20" t="s">
        <v>104</v>
      </c>
    </row>
    <row r="29" spans="1:3" ht="23.25" customHeight="1" x14ac:dyDescent="0.25">
      <c r="A29" s="10">
        <v>23</v>
      </c>
      <c r="B29" s="42" t="s">
        <v>40</v>
      </c>
      <c r="C29" s="20" t="s">
        <v>104</v>
      </c>
    </row>
    <row r="30" spans="1:3" ht="23.25" customHeight="1" x14ac:dyDescent="0.25">
      <c r="A30" s="10">
        <v>24</v>
      </c>
      <c r="B30" s="42" t="s">
        <v>41</v>
      </c>
      <c r="C30" s="20" t="s">
        <v>105</v>
      </c>
    </row>
    <row r="31" spans="1:3" ht="23.25" customHeight="1" x14ac:dyDescent="0.25">
      <c r="A31" s="10">
        <v>25</v>
      </c>
      <c r="B31" s="42" t="s">
        <v>42</v>
      </c>
      <c r="C31" s="20" t="s">
        <v>91</v>
      </c>
    </row>
    <row r="32" spans="1:3" ht="23.25" customHeight="1" x14ac:dyDescent="0.25">
      <c r="A32" s="10">
        <v>26</v>
      </c>
      <c r="B32" s="42" t="s">
        <v>43</v>
      </c>
      <c r="C32" s="20" t="s">
        <v>106</v>
      </c>
    </row>
    <row r="33" spans="1:3" ht="23.25" customHeight="1" x14ac:dyDescent="0.25">
      <c r="A33" s="10">
        <v>27</v>
      </c>
      <c r="B33" s="42" t="s">
        <v>44</v>
      </c>
      <c r="C33" s="18" t="s">
        <v>170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B5B5-DF34-4603-9E01-298640D3F1A5}">
  <dimension ref="A1:I64"/>
  <sheetViews>
    <sheetView workbookViewId="0">
      <selection activeCell="K17" sqref="K17"/>
    </sheetView>
  </sheetViews>
  <sheetFormatPr defaultRowHeight="15" x14ac:dyDescent="0.25"/>
  <cols>
    <col min="2" max="2" width="24.42578125" bestFit="1" customWidth="1"/>
  </cols>
  <sheetData>
    <row r="1" spans="1:9" s="65" customFormat="1" ht="15.6" customHeight="1" x14ac:dyDescent="0.25">
      <c r="A1" s="64" t="s">
        <v>171</v>
      </c>
      <c r="B1" s="64"/>
      <c r="C1" s="64"/>
      <c r="D1" s="64"/>
      <c r="E1" s="64"/>
      <c r="F1" s="64"/>
      <c r="G1" s="64"/>
      <c r="H1" s="64"/>
      <c r="I1" s="64"/>
    </row>
    <row r="2" spans="1:9" s="65" customFormat="1" ht="15.6" customHeight="1" x14ac:dyDescent="0.25">
      <c r="A2" s="64" t="s">
        <v>172</v>
      </c>
      <c r="B2" s="64"/>
      <c r="C2" s="64"/>
      <c r="D2" s="64"/>
      <c r="E2" s="64"/>
      <c r="F2" s="64"/>
      <c r="G2" s="64"/>
      <c r="H2" s="64"/>
      <c r="I2" s="64"/>
    </row>
    <row r="3" spans="1:9" s="65" customFormat="1" ht="15.6" customHeight="1" x14ac:dyDescent="0.25">
      <c r="A3" s="64" t="s">
        <v>173</v>
      </c>
      <c r="B3" s="64"/>
      <c r="C3" s="64"/>
      <c r="D3" s="64"/>
      <c r="E3" s="64"/>
      <c r="F3" s="64"/>
      <c r="G3" s="64"/>
      <c r="H3" s="64"/>
      <c r="I3" s="64"/>
    </row>
    <row r="4" spans="1:9" s="65" customFormat="1" ht="15.6" customHeight="1" x14ac:dyDescent="0.25">
      <c r="A4" s="66"/>
      <c r="B4" s="66"/>
      <c r="C4" s="66"/>
      <c r="D4" s="66"/>
      <c r="E4" s="66"/>
      <c r="F4" s="66"/>
      <c r="G4" s="66"/>
      <c r="H4" s="66"/>
      <c r="I4" s="66"/>
    </row>
    <row r="5" spans="1:9" s="70" customFormat="1" ht="33" customHeight="1" x14ac:dyDescent="0.25">
      <c r="A5" s="67" t="s">
        <v>186</v>
      </c>
      <c r="B5" s="68"/>
      <c r="C5" s="69"/>
      <c r="D5" s="67" t="s">
        <v>174</v>
      </c>
      <c r="E5" s="68"/>
      <c r="F5" s="68"/>
      <c r="G5" s="69"/>
      <c r="H5" s="67" t="s">
        <v>175</v>
      </c>
      <c r="I5" s="69"/>
    </row>
    <row r="6" spans="1:9" s="70" customFormat="1" ht="33" customHeight="1" x14ac:dyDescent="0.25">
      <c r="A6" s="67" t="s">
        <v>176</v>
      </c>
      <c r="B6" s="68"/>
      <c r="C6" s="69"/>
      <c r="D6" s="67" t="s">
        <v>177</v>
      </c>
      <c r="E6" s="68"/>
      <c r="F6" s="68"/>
      <c r="G6" s="69"/>
      <c r="H6" s="67" t="s">
        <v>187</v>
      </c>
      <c r="I6" s="69"/>
    </row>
    <row r="7" spans="1:9" s="70" customFormat="1" ht="33" customHeight="1" x14ac:dyDescent="0.25">
      <c r="A7" s="67" t="s">
        <v>184</v>
      </c>
      <c r="B7" s="68"/>
      <c r="C7" s="69"/>
      <c r="D7" s="67" t="s">
        <v>185</v>
      </c>
      <c r="E7" s="68"/>
      <c r="F7" s="68"/>
      <c r="G7" s="69"/>
      <c r="H7" s="67" t="s">
        <v>183</v>
      </c>
      <c r="I7" s="69"/>
    </row>
    <row r="8" spans="1:9" s="65" customFormat="1" ht="15.6" customHeight="1" x14ac:dyDescent="0.25">
      <c r="A8" s="17"/>
      <c r="B8" s="71"/>
      <c r="C8" s="17"/>
      <c r="D8" s="17"/>
      <c r="E8" s="17"/>
      <c r="F8" s="17"/>
      <c r="G8" s="17"/>
      <c r="H8" s="17"/>
      <c r="I8" s="17"/>
    </row>
    <row r="9" spans="1:9" s="65" customFormat="1" ht="15.75" x14ac:dyDescent="0.25">
      <c r="A9" s="47" t="s">
        <v>48</v>
      </c>
      <c r="B9" s="47" t="s">
        <v>49</v>
      </c>
      <c r="C9" s="47" t="s">
        <v>50</v>
      </c>
      <c r="D9" s="47" t="s">
        <v>178</v>
      </c>
      <c r="E9" s="47" t="s">
        <v>179</v>
      </c>
      <c r="F9" s="47" t="s">
        <v>180</v>
      </c>
      <c r="G9" s="47" t="s">
        <v>53</v>
      </c>
      <c r="H9" s="47"/>
      <c r="I9" s="47" t="s">
        <v>181</v>
      </c>
    </row>
    <row r="10" spans="1:9" s="65" customFormat="1" ht="63" x14ac:dyDescent="0.25">
      <c r="A10" s="47"/>
      <c r="B10" s="47"/>
      <c r="C10" s="47"/>
      <c r="D10" s="47"/>
      <c r="E10" s="47"/>
      <c r="F10" s="47"/>
      <c r="G10" s="44" t="s">
        <v>182</v>
      </c>
      <c r="H10" s="44" t="s">
        <v>56</v>
      </c>
      <c r="I10" s="47"/>
    </row>
    <row r="11" spans="1:9" ht="15.75" x14ac:dyDescent="0.25">
      <c r="A11" s="72">
        <v>1</v>
      </c>
      <c r="B11" s="45" t="s">
        <v>107</v>
      </c>
      <c r="C11" s="72"/>
      <c r="D11" s="45">
        <v>140</v>
      </c>
      <c r="E11" s="72"/>
      <c r="F11" s="72">
        <v>19</v>
      </c>
      <c r="G11" s="72"/>
      <c r="H11" s="72"/>
      <c r="I11" s="72"/>
    </row>
    <row r="12" spans="1:9" ht="15.75" x14ac:dyDescent="0.25">
      <c r="A12" s="72">
        <v>2</v>
      </c>
      <c r="B12" s="45" t="s">
        <v>108</v>
      </c>
      <c r="C12" s="72"/>
      <c r="D12" s="45">
        <v>190</v>
      </c>
      <c r="E12" s="72"/>
      <c r="F12" s="72">
        <v>22</v>
      </c>
      <c r="G12" s="72"/>
      <c r="H12" s="72"/>
      <c r="I12" s="72"/>
    </row>
    <row r="13" spans="1:9" ht="15.75" x14ac:dyDescent="0.25">
      <c r="A13" s="72">
        <v>3</v>
      </c>
      <c r="B13" s="45" t="s">
        <v>107</v>
      </c>
      <c r="C13" s="72"/>
      <c r="D13" s="45">
        <v>220</v>
      </c>
      <c r="E13" s="72"/>
      <c r="F13" s="72">
        <v>18</v>
      </c>
      <c r="G13" s="72"/>
      <c r="H13" s="72"/>
      <c r="I13" s="72"/>
    </row>
    <row r="14" spans="1:9" ht="15.75" x14ac:dyDescent="0.25">
      <c r="A14" s="72">
        <v>4</v>
      </c>
      <c r="B14" s="45" t="s">
        <v>109</v>
      </c>
      <c r="C14" s="72"/>
      <c r="D14" s="45">
        <v>110</v>
      </c>
      <c r="E14" s="72"/>
      <c r="F14" s="72">
        <v>16</v>
      </c>
      <c r="G14" s="72"/>
      <c r="H14" s="72"/>
      <c r="I14" s="72"/>
    </row>
    <row r="15" spans="1:9" ht="15.75" x14ac:dyDescent="0.25">
      <c r="A15" s="72">
        <v>5</v>
      </c>
      <c r="B15" s="45" t="s">
        <v>109</v>
      </c>
      <c r="C15" s="72"/>
      <c r="D15" s="45">
        <v>46</v>
      </c>
      <c r="E15" s="72"/>
      <c r="F15" s="72">
        <v>11.5</v>
      </c>
      <c r="G15" s="72"/>
      <c r="H15" s="72"/>
      <c r="I15" s="72"/>
    </row>
    <row r="16" spans="1:9" ht="15.75" x14ac:dyDescent="0.25">
      <c r="A16" s="72">
        <v>6</v>
      </c>
      <c r="B16" s="45" t="s">
        <v>108</v>
      </c>
      <c r="C16" s="72"/>
      <c r="D16" s="45">
        <v>107</v>
      </c>
      <c r="E16" s="72"/>
      <c r="F16" s="72">
        <v>19</v>
      </c>
      <c r="G16" s="72"/>
      <c r="H16" s="72"/>
      <c r="I16" s="72"/>
    </row>
    <row r="17" spans="1:9" ht="15.75" x14ac:dyDescent="0.25">
      <c r="A17" s="72">
        <v>7</v>
      </c>
      <c r="B17" s="45" t="s">
        <v>110</v>
      </c>
      <c r="C17" s="72"/>
      <c r="D17" s="45">
        <v>318</v>
      </c>
      <c r="E17" s="72"/>
      <c r="F17" s="72">
        <v>21</v>
      </c>
      <c r="G17" s="72"/>
      <c r="H17" s="72"/>
      <c r="I17" s="72"/>
    </row>
    <row r="18" spans="1:9" ht="15.75" x14ac:dyDescent="0.25">
      <c r="A18" s="72">
        <v>8</v>
      </c>
      <c r="B18" s="45" t="s">
        <v>109</v>
      </c>
      <c r="C18" s="72"/>
      <c r="D18" s="45">
        <v>114</v>
      </c>
      <c r="E18" s="72"/>
      <c r="F18" s="72">
        <v>16</v>
      </c>
      <c r="G18" s="72"/>
      <c r="H18" s="72"/>
      <c r="I18" s="72"/>
    </row>
    <row r="19" spans="1:9" ht="15.75" x14ac:dyDescent="0.25">
      <c r="A19" s="72">
        <v>9</v>
      </c>
      <c r="B19" s="45" t="s">
        <v>111</v>
      </c>
      <c r="C19" s="72"/>
      <c r="D19" s="45">
        <v>56</v>
      </c>
      <c r="E19" s="72"/>
      <c r="F19" s="72">
        <v>15</v>
      </c>
      <c r="G19" s="72"/>
      <c r="H19" s="72"/>
      <c r="I19" s="72"/>
    </row>
    <row r="20" spans="1:9" ht="15.75" x14ac:dyDescent="0.25">
      <c r="A20" s="72">
        <v>10</v>
      </c>
      <c r="B20" s="45" t="s">
        <v>108</v>
      </c>
      <c r="C20" s="72"/>
      <c r="D20" s="45">
        <v>330</v>
      </c>
      <c r="E20" s="72"/>
      <c r="F20" s="72">
        <v>25</v>
      </c>
      <c r="G20" s="72"/>
      <c r="H20" s="72"/>
      <c r="I20" s="72"/>
    </row>
    <row r="21" spans="1:9" ht="15.75" x14ac:dyDescent="0.25">
      <c r="A21" s="72">
        <v>11</v>
      </c>
      <c r="B21" s="45" t="s">
        <v>112</v>
      </c>
      <c r="C21" s="72"/>
      <c r="D21" s="45">
        <v>57</v>
      </c>
      <c r="E21" s="72"/>
      <c r="F21" s="72">
        <v>19</v>
      </c>
      <c r="G21" s="72"/>
      <c r="H21" s="72"/>
      <c r="I21" s="72"/>
    </row>
    <row r="22" spans="1:9" ht="15.75" x14ac:dyDescent="0.25">
      <c r="A22" s="72">
        <v>12</v>
      </c>
      <c r="B22" s="45" t="s">
        <v>116</v>
      </c>
      <c r="C22" s="72"/>
      <c r="D22" s="45">
        <v>120</v>
      </c>
      <c r="E22" s="72"/>
      <c r="F22" s="72">
        <v>18</v>
      </c>
      <c r="G22" s="72"/>
      <c r="H22" s="72"/>
      <c r="I22" s="72"/>
    </row>
    <row r="23" spans="1:9" ht="15.75" x14ac:dyDescent="0.25">
      <c r="A23" s="72">
        <v>13</v>
      </c>
      <c r="B23" s="45" t="s">
        <v>109</v>
      </c>
      <c r="C23" s="72"/>
      <c r="D23" s="45">
        <v>38</v>
      </c>
      <c r="E23" s="72"/>
      <c r="F23" s="72">
        <v>13</v>
      </c>
      <c r="G23" s="72"/>
      <c r="H23" s="72"/>
      <c r="I23" s="72"/>
    </row>
    <row r="24" spans="1:9" ht="15.75" x14ac:dyDescent="0.25">
      <c r="A24" s="72">
        <v>14</v>
      </c>
      <c r="B24" s="45" t="s">
        <v>109</v>
      </c>
      <c r="C24" s="72"/>
      <c r="D24" s="45">
        <v>33</v>
      </c>
      <c r="E24" s="72"/>
      <c r="F24" s="72">
        <v>10</v>
      </c>
      <c r="G24" s="72"/>
      <c r="H24" s="72"/>
      <c r="I24" s="72"/>
    </row>
    <row r="25" spans="1:9" ht="15.75" x14ac:dyDescent="0.25">
      <c r="A25" s="72">
        <v>15</v>
      </c>
      <c r="B25" s="45" t="s">
        <v>113</v>
      </c>
      <c r="C25" s="72"/>
      <c r="D25" s="45">
        <v>68</v>
      </c>
      <c r="E25" s="72"/>
      <c r="F25" s="72">
        <v>17</v>
      </c>
      <c r="G25" s="72"/>
      <c r="H25" s="72"/>
      <c r="I25" s="72"/>
    </row>
    <row r="26" spans="1:9" ht="15.75" x14ac:dyDescent="0.25">
      <c r="A26" s="72">
        <v>16</v>
      </c>
      <c r="B26" s="45" t="s">
        <v>108</v>
      </c>
      <c r="C26" s="72"/>
      <c r="D26" s="45">
        <v>136</v>
      </c>
      <c r="E26" s="72"/>
      <c r="F26" s="72">
        <v>18</v>
      </c>
      <c r="G26" s="72"/>
      <c r="H26" s="72"/>
      <c r="I26" s="72"/>
    </row>
    <row r="27" spans="1:9" ht="15.75" x14ac:dyDescent="0.25">
      <c r="A27" s="72">
        <v>17</v>
      </c>
      <c r="B27" s="45" t="s">
        <v>109</v>
      </c>
      <c r="C27" s="72"/>
      <c r="D27" s="45">
        <v>41</v>
      </c>
      <c r="E27" s="72"/>
      <c r="F27" s="72">
        <v>10</v>
      </c>
      <c r="G27" s="72"/>
      <c r="H27" s="72"/>
      <c r="I27" s="72"/>
    </row>
    <row r="28" spans="1:9" ht="15.75" x14ac:dyDescent="0.25">
      <c r="A28" s="72">
        <v>18</v>
      </c>
      <c r="B28" s="45" t="s">
        <v>109</v>
      </c>
      <c r="C28" s="72"/>
      <c r="D28" s="45">
        <v>61</v>
      </c>
      <c r="E28" s="72"/>
      <c r="F28" s="72">
        <v>13</v>
      </c>
      <c r="G28" s="72"/>
      <c r="H28" s="72"/>
      <c r="I28" s="72"/>
    </row>
    <row r="29" spans="1:9" ht="15.75" x14ac:dyDescent="0.25">
      <c r="A29" s="72">
        <v>19</v>
      </c>
      <c r="B29" s="45" t="s">
        <v>108</v>
      </c>
      <c r="C29" s="72"/>
      <c r="D29" s="45">
        <v>260</v>
      </c>
      <c r="E29" s="72"/>
      <c r="F29" s="72">
        <v>15</v>
      </c>
      <c r="G29" s="72"/>
      <c r="H29" s="72"/>
      <c r="I29" s="72"/>
    </row>
    <row r="30" spans="1:9" ht="15.75" x14ac:dyDescent="0.25">
      <c r="A30" s="72">
        <v>20</v>
      </c>
      <c r="B30" s="45" t="s">
        <v>114</v>
      </c>
      <c r="C30" s="72"/>
      <c r="D30" s="45">
        <v>56</v>
      </c>
      <c r="E30" s="72"/>
      <c r="F30" s="72">
        <v>11</v>
      </c>
      <c r="G30" s="72"/>
      <c r="H30" s="72"/>
      <c r="I30" s="72"/>
    </row>
    <row r="31" spans="1:9" ht="15.75" x14ac:dyDescent="0.25">
      <c r="A31" s="72">
        <v>21</v>
      </c>
      <c r="B31" s="45" t="s">
        <v>115</v>
      </c>
      <c r="C31" s="72"/>
      <c r="D31" s="45">
        <v>48</v>
      </c>
      <c r="E31" s="72"/>
      <c r="F31" s="72">
        <v>9.5</v>
      </c>
      <c r="G31" s="72"/>
      <c r="H31" s="72"/>
      <c r="I31" s="72"/>
    </row>
    <row r="32" spans="1:9" ht="15.75" x14ac:dyDescent="0.25">
      <c r="A32" s="72">
        <v>22</v>
      </c>
      <c r="B32" s="45" t="s">
        <v>109</v>
      </c>
      <c r="C32" s="72"/>
      <c r="D32" s="45">
        <v>63</v>
      </c>
      <c r="E32" s="72"/>
      <c r="F32" s="72">
        <v>12</v>
      </c>
      <c r="G32" s="72"/>
      <c r="H32" s="72"/>
      <c r="I32" s="72"/>
    </row>
    <row r="33" spans="1:9" ht="15.75" x14ac:dyDescent="0.25">
      <c r="A33" s="72">
        <v>23</v>
      </c>
      <c r="B33" s="45" t="s">
        <v>109</v>
      </c>
      <c r="C33" s="72"/>
      <c r="D33" s="45">
        <v>46</v>
      </c>
      <c r="E33" s="72"/>
      <c r="F33" s="72">
        <v>11</v>
      </c>
      <c r="G33" s="72"/>
      <c r="H33" s="72"/>
      <c r="I33" s="72"/>
    </row>
    <row r="34" spans="1:9" ht="15.75" x14ac:dyDescent="0.25">
      <c r="A34" s="72">
        <v>24</v>
      </c>
      <c r="B34" s="45" t="s">
        <v>116</v>
      </c>
      <c r="C34" s="72"/>
      <c r="D34" s="45">
        <v>33</v>
      </c>
      <c r="E34" s="72"/>
      <c r="F34" s="72">
        <v>0</v>
      </c>
      <c r="G34" s="72"/>
      <c r="H34" s="72"/>
      <c r="I34" s="72"/>
    </row>
    <row r="35" spans="1:9" ht="15.75" x14ac:dyDescent="0.25">
      <c r="A35" s="72">
        <v>25</v>
      </c>
      <c r="B35" s="45" t="s">
        <v>112</v>
      </c>
      <c r="C35" s="72"/>
      <c r="D35" s="45">
        <v>170</v>
      </c>
      <c r="E35" s="72"/>
      <c r="F35" s="72">
        <v>20</v>
      </c>
      <c r="G35" s="72"/>
      <c r="H35" s="72"/>
      <c r="I35" s="72"/>
    </row>
    <row r="36" spans="1:9" ht="15.75" x14ac:dyDescent="0.25">
      <c r="A36" s="72">
        <v>26</v>
      </c>
      <c r="B36" s="45" t="s">
        <v>109</v>
      </c>
      <c r="C36" s="72"/>
      <c r="D36" s="45">
        <v>83</v>
      </c>
      <c r="E36" s="72"/>
      <c r="F36" s="72">
        <v>17</v>
      </c>
      <c r="G36" s="72"/>
      <c r="H36" s="72"/>
      <c r="I36" s="72"/>
    </row>
    <row r="37" spans="1:9" ht="15.75" x14ac:dyDescent="0.25">
      <c r="A37" s="72">
        <v>27</v>
      </c>
      <c r="B37" s="45" t="s">
        <v>117</v>
      </c>
      <c r="C37" s="72"/>
      <c r="D37" s="45">
        <v>62</v>
      </c>
      <c r="E37" s="72"/>
      <c r="F37" s="72">
        <v>16</v>
      </c>
      <c r="G37" s="72"/>
      <c r="H37" s="72"/>
      <c r="I37" s="72"/>
    </row>
    <row r="38" spans="1:9" ht="15.75" x14ac:dyDescent="0.25">
      <c r="A38" s="72">
        <v>28</v>
      </c>
      <c r="B38" s="45" t="s">
        <v>118</v>
      </c>
      <c r="C38" s="72"/>
      <c r="D38" s="45">
        <v>33</v>
      </c>
      <c r="E38" s="72"/>
      <c r="F38" s="72">
        <v>0</v>
      </c>
      <c r="G38" s="72"/>
      <c r="H38" s="72"/>
      <c r="I38" s="72"/>
    </row>
    <row r="39" spans="1:9" ht="15.75" x14ac:dyDescent="0.25">
      <c r="A39" s="72">
        <v>29</v>
      </c>
      <c r="B39" s="45" t="s">
        <v>109</v>
      </c>
      <c r="C39" s="72"/>
      <c r="D39" s="45">
        <v>56</v>
      </c>
      <c r="E39" s="72"/>
      <c r="F39" s="72">
        <v>17</v>
      </c>
      <c r="G39" s="72"/>
      <c r="H39" s="72"/>
      <c r="I39" s="72"/>
    </row>
    <row r="40" spans="1:9" ht="15.75" x14ac:dyDescent="0.25">
      <c r="A40" s="72">
        <v>30</v>
      </c>
      <c r="B40" s="45" t="s">
        <v>107</v>
      </c>
      <c r="C40" s="72"/>
      <c r="D40" s="45">
        <v>44</v>
      </c>
      <c r="E40" s="72"/>
      <c r="F40" s="72">
        <v>13</v>
      </c>
      <c r="G40" s="72"/>
      <c r="H40" s="72"/>
      <c r="I40" s="72"/>
    </row>
    <row r="41" spans="1:9" ht="15.75" x14ac:dyDescent="0.25">
      <c r="A41" s="72">
        <v>31</v>
      </c>
      <c r="B41" s="45" t="s">
        <v>119</v>
      </c>
      <c r="C41" s="72"/>
      <c r="D41" s="45">
        <v>53</v>
      </c>
      <c r="E41" s="72"/>
      <c r="F41" s="72">
        <v>17</v>
      </c>
      <c r="G41" s="72"/>
      <c r="H41" s="72"/>
      <c r="I41" s="72"/>
    </row>
    <row r="42" spans="1:9" ht="15.75" x14ac:dyDescent="0.25">
      <c r="A42" s="72">
        <v>32</v>
      </c>
      <c r="B42" s="45" t="s">
        <v>109</v>
      </c>
      <c r="C42" s="72"/>
      <c r="D42" s="45">
        <v>98</v>
      </c>
      <c r="E42" s="72"/>
      <c r="F42" s="72">
        <v>15</v>
      </c>
      <c r="G42" s="72"/>
      <c r="H42" s="72"/>
      <c r="I42" s="72"/>
    </row>
    <row r="43" spans="1:9" ht="15.75" x14ac:dyDescent="0.25">
      <c r="A43" s="72">
        <v>33</v>
      </c>
      <c r="B43" s="45" t="s">
        <v>120</v>
      </c>
      <c r="C43" s="72"/>
      <c r="D43" s="45">
        <v>46</v>
      </c>
      <c r="E43" s="72"/>
      <c r="F43" s="72">
        <v>18</v>
      </c>
      <c r="G43" s="72"/>
      <c r="H43" s="72"/>
      <c r="I43" s="72"/>
    </row>
    <row r="44" spans="1:9" ht="15.75" x14ac:dyDescent="0.25">
      <c r="A44" s="72">
        <v>34</v>
      </c>
      <c r="B44" s="45" t="s">
        <v>110</v>
      </c>
      <c r="C44" s="72"/>
      <c r="D44" s="45">
        <v>73</v>
      </c>
      <c r="E44" s="72"/>
      <c r="F44" s="72">
        <v>15</v>
      </c>
      <c r="G44" s="72"/>
      <c r="H44" s="72"/>
      <c r="I44" s="72"/>
    </row>
    <row r="45" spans="1:9" ht="15.75" x14ac:dyDescent="0.25">
      <c r="A45" s="72">
        <v>35</v>
      </c>
      <c r="B45" s="45" t="s">
        <v>121</v>
      </c>
      <c r="C45" s="72"/>
      <c r="D45" s="45">
        <v>43</v>
      </c>
      <c r="E45" s="72"/>
      <c r="F45" s="72">
        <v>6</v>
      </c>
      <c r="G45" s="72"/>
      <c r="H45" s="72"/>
      <c r="I45" s="72"/>
    </row>
    <row r="46" spans="1:9" ht="15.75" x14ac:dyDescent="0.25">
      <c r="A46" s="72">
        <v>36</v>
      </c>
      <c r="B46" s="45" t="s">
        <v>109</v>
      </c>
      <c r="C46" s="72"/>
      <c r="D46" s="45">
        <v>48</v>
      </c>
      <c r="E46" s="72"/>
      <c r="F46" s="72">
        <v>12</v>
      </c>
      <c r="G46" s="72"/>
      <c r="H46" s="72"/>
      <c r="I46" s="72"/>
    </row>
    <row r="47" spans="1:9" ht="15.75" x14ac:dyDescent="0.25">
      <c r="A47" s="72">
        <v>37</v>
      </c>
      <c r="B47" s="45" t="s">
        <v>112</v>
      </c>
      <c r="C47" s="72"/>
      <c r="D47" s="45">
        <v>73</v>
      </c>
      <c r="E47" s="72"/>
      <c r="F47" s="72">
        <v>14</v>
      </c>
      <c r="G47" s="72"/>
      <c r="H47" s="72"/>
      <c r="I47" s="72"/>
    </row>
    <row r="48" spans="1:9" ht="15.75" x14ac:dyDescent="0.25">
      <c r="A48" s="72">
        <v>38</v>
      </c>
      <c r="B48" s="45" t="s">
        <v>112</v>
      </c>
      <c r="C48" s="72"/>
      <c r="D48" s="45">
        <v>65</v>
      </c>
      <c r="E48" s="72"/>
      <c r="F48" s="72">
        <v>12</v>
      </c>
      <c r="G48" s="72"/>
      <c r="H48" s="72"/>
      <c r="I48" s="72"/>
    </row>
    <row r="49" spans="1:9" ht="15.75" x14ac:dyDescent="0.25">
      <c r="A49" s="72">
        <v>39</v>
      </c>
      <c r="B49" s="45" t="s">
        <v>116</v>
      </c>
      <c r="C49" s="72"/>
      <c r="D49" s="45">
        <v>51</v>
      </c>
      <c r="E49" s="72"/>
      <c r="F49" s="72">
        <v>13</v>
      </c>
      <c r="G49" s="72"/>
      <c r="H49" s="72"/>
      <c r="I49" s="72"/>
    </row>
    <row r="50" spans="1:9" ht="15.75" x14ac:dyDescent="0.25">
      <c r="A50" s="72">
        <v>40</v>
      </c>
      <c r="B50" s="45" t="s">
        <v>109</v>
      </c>
      <c r="C50" s="72"/>
      <c r="D50" s="45">
        <v>68</v>
      </c>
      <c r="E50" s="72"/>
      <c r="F50" s="72">
        <v>14</v>
      </c>
      <c r="G50" s="72"/>
      <c r="H50" s="72"/>
      <c r="I50" s="72"/>
    </row>
    <row r="51" spans="1:9" ht="15.75" x14ac:dyDescent="0.25">
      <c r="A51" s="72">
        <v>41</v>
      </c>
      <c r="B51" s="45" t="s">
        <v>122</v>
      </c>
      <c r="C51" s="72"/>
      <c r="D51" s="45">
        <v>34</v>
      </c>
      <c r="E51" s="72"/>
      <c r="F51" s="72">
        <v>11</v>
      </c>
      <c r="G51" s="72"/>
      <c r="H51" s="72"/>
      <c r="I51" s="72"/>
    </row>
    <row r="52" spans="1:9" ht="15.75" x14ac:dyDescent="0.25">
      <c r="A52" s="72">
        <v>42</v>
      </c>
      <c r="B52" s="45" t="s">
        <v>116</v>
      </c>
      <c r="C52" s="72"/>
      <c r="D52" s="45">
        <v>53</v>
      </c>
      <c r="E52" s="72"/>
      <c r="F52" s="72">
        <v>5</v>
      </c>
      <c r="G52" s="72"/>
      <c r="H52" s="72"/>
      <c r="I52" s="72"/>
    </row>
    <row r="53" spans="1:9" ht="15.75" x14ac:dyDescent="0.25">
      <c r="A53" s="72">
        <v>43</v>
      </c>
      <c r="B53" s="45" t="s">
        <v>124</v>
      </c>
      <c r="C53" s="72"/>
      <c r="D53" s="45">
        <v>43</v>
      </c>
      <c r="E53" s="72"/>
      <c r="F53" s="72">
        <v>9</v>
      </c>
      <c r="G53" s="72"/>
      <c r="H53" s="72"/>
      <c r="I53" s="72"/>
    </row>
    <row r="54" spans="1:9" ht="15.75" x14ac:dyDescent="0.25">
      <c r="A54" s="72">
        <v>44</v>
      </c>
      <c r="B54" s="45" t="s">
        <v>120</v>
      </c>
      <c r="C54" s="72"/>
      <c r="D54" s="45">
        <v>76</v>
      </c>
      <c r="E54" s="72"/>
      <c r="F54" s="72">
        <v>14</v>
      </c>
      <c r="G54" s="72"/>
      <c r="H54" s="72"/>
      <c r="I54" s="72"/>
    </row>
    <row r="55" spans="1:9" ht="15.75" x14ac:dyDescent="0.25">
      <c r="A55" s="72">
        <v>45</v>
      </c>
      <c r="B55" s="45" t="s">
        <v>109</v>
      </c>
      <c r="C55" s="72"/>
      <c r="D55" s="45">
        <v>78</v>
      </c>
      <c r="E55" s="72"/>
      <c r="F55" s="72">
        <v>14</v>
      </c>
      <c r="G55" s="72"/>
      <c r="H55" s="72"/>
      <c r="I55" s="72"/>
    </row>
    <row r="56" spans="1:9" ht="15.75" x14ac:dyDescent="0.25">
      <c r="A56" s="72">
        <v>46</v>
      </c>
      <c r="B56" s="45" t="s">
        <v>109</v>
      </c>
      <c r="C56" s="72"/>
      <c r="D56" s="45">
        <v>83</v>
      </c>
      <c r="E56" s="72"/>
      <c r="F56" s="72">
        <v>17</v>
      </c>
      <c r="G56" s="72"/>
      <c r="H56" s="72"/>
      <c r="I56" s="72"/>
    </row>
    <row r="57" spans="1:9" ht="15.75" x14ac:dyDescent="0.25">
      <c r="A57" s="72">
        <v>47</v>
      </c>
      <c r="B57" s="45" t="s">
        <v>125</v>
      </c>
      <c r="C57" s="72"/>
      <c r="D57" s="45">
        <v>109</v>
      </c>
      <c r="E57" s="72"/>
      <c r="F57" s="72">
        <v>12</v>
      </c>
      <c r="G57" s="72"/>
      <c r="H57" s="72"/>
      <c r="I57" s="72"/>
    </row>
    <row r="58" spans="1:9" ht="15.75" x14ac:dyDescent="0.25">
      <c r="A58" s="72">
        <v>48</v>
      </c>
      <c r="B58" s="45" t="s">
        <v>126</v>
      </c>
      <c r="C58" s="72"/>
      <c r="D58" s="45">
        <v>33</v>
      </c>
      <c r="E58" s="72"/>
      <c r="F58" s="72">
        <v>9</v>
      </c>
      <c r="G58" s="72"/>
      <c r="H58" s="72"/>
      <c r="I58" s="72"/>
    </row>
    <row r="59" spans="1:9" ht="15.75" x14ac:dyDescent="0.25">
      <c r="A59" s="72">
        <v>49</v>
      </c>
      <c r="B59" s="45" t="s">
        <v>127</v>
      </c>
      <c r="C59" s="72"/>
      <c r="D59" s="45">
        <v>34</v>
      </c>
      <c r="E59" s="72"/>
      <c r="F59" s="72">
        <v>0</v>
      </c>
      <c r="G59" s="72"/>
      <c r="H59" s="72"/>
      <c r="I59" s="72"/>
    </row>
    <row r="60" spans="1:9" ht="15.75" x14ac:dyDescent="0.25">
      <c r="A60" s="72">
        <v>50</v>
      </c>
      <c r="B60" s="45" t="s">
        <v>109</v>
      </c>
      <c r="C60" s="72"/>
      <c r="D60" s="45">
        <v>71</v>
      </c>
      <c r="E60" s="72"/>
      <c r="F60" s="72">
        <v>8.5</v>
      </c>
      <c r="G60" s="72"/>
      <c r="H60" s="72"/>
      <c r="I60" s="72"/>
    </row>
    <row r="61" spans="1:9" ht="15.75" x14ac:dyDescent="0.25">
      <c r="A61" s="72">
        <v>51</v>
      </c>
      <c r="B61" s="45" t="s">
        <v>128</v>
      </c>
      <c r="C61" s="72"/>
      <c r="D61" s="45">
        <v>43</v>
      </c>
      <c r="E61" s="72"/>
      <c r="F61" s="72">
        <v>18</v>
      </c>
      <c r="G61" s="72"/>
      <c r="H61" s="72"/>
      <c r="I61" s="72"/>
    </row>
    <row r="62" spans="1:9" ht="15.75" x14ac:dyDescent="0.25">
      <c r="A62" s="72">
        <v>52</v>
      </c>
      <c r="B62" s="45" t="s">
        <v>112</v>
      </c>
      <c r="C62" s="72"/>
      <c r="D62" s="45">
        <v>64</v>
      </c>
      <c r="E62" s="72"/>
      <c r="F62" s="72">
        <v>16</v>
      </c>
      <c r="G62" s="72"/>
      <c r="H62" s="72"/>
      <c r="I62" s="72"/>
    </row>
    <row r="63" spans="1:9" ht="15.75" x14ac:dyDescent="0.25">
      <c r="A63" s="72">
        <v>53</v>
      </c>
      <c r="B63" s="45" t="s">
        <v>129</v>
      </c>
      <c r="C63" s="72"/>
      <c r="D63" s="45">
        <v>63</v>
      </c>
      <c r="E63" s="72"/>
      <c r="F63" s="72">
        <v>8.5</v>
      </c>
      <c r="G63" s="72"/>
      <c r="H63" s="72"/>
      <c r="I63" s="72"/>
    </row>
    <row r="64" spans="1:9" ht="15.75" x14ac:dyDescent="0.25">
      <c r="A64" s="72">
        <v>54</v>
      </c>
      <c r="B64" s="45" t="s">
        <v>130</v>
      </c>
      <c r="C64" s="72"/>
      <c r="D64" s="45">
        <v>41</v>
      </c>
      <c r="E64" s="72"/>
      <c r="F64" s="72">
        <v>0</v>
      </c>
      <c r="G64" s="72"/>
      <c r="H64" s="72"/>
      <c r="I64" s="72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ageMargins left="0.17" right="0.39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B5A8-EA31-4E17-B2D0-43B26903B9CA}">
  <dimension ref="A1:Q9"/>
  <sheetViews>
    <sheetView workbookViewId="0">
      <selection activeCell="E17" sqref="E17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4" customFormat="1" ht="20.25" x14ac:dyDescent="0.25">
      <c r="A1" s="73" t="s">
        <v>188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s="74" customFormat="1" ht="20.25" x14ac:dyDescent="0.25">
      <c r="A2" s="73" t="s">
        <v>189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1:17" s="74" customFormat="1" x14ac:dyDescent="0.25">
      <c r="A3" s="75"/>
    </row>
    <row r="4" spans="1:17" s="74" customFormat="1" ht="15.75" thickBot="1" x14ac:dyDescent="0.3">
      <c r="A4" s="75"/>
    </row>
    <row r="5" spans="1:17" s="74" customFormat="1" ht="16.5" thickBot="1" x14ac:dyDescent="0.3">
      <c r="A5" s="76" t="s">
        <v>48</v>
      </c>
      <c r="B5" s="76" t="s">
        <v>49</v>
      </c>
      <c r="C5" s="76" t="s">
        <v>50</v>
      </c>
      <c r="D5" s="76" t="s">
        <v>190</v>
      </c>
      <c r="E5" s="77" t="s">
        <v>191</v>
      </c>
      <c r="F5" s="78"/>
      <c r="G5" s="78"/>
      <c r="H5" s="78"/>
      <c r="I5" s="78"/>
      <c r="J5" s="78"/>
      <c r="K5" s="78"/>
      <c r="L5" s="78"/>
      <c r="M5" s="79"/>
      <c r="N5" s="76" t="s">
        <v>192</v>
      </c>
      <c r="O5" s="77" t="s">
        <v>193</v>
      </c>
      <c r="P5" s="79"/>
      <c r="Q5" s="76" t="s">
        <v>194</v>
      </c>
    </row>
    <row r="6" spans="1:17" s="74" customFormat="1" ht="15.75" x14ac:dyDescent="0.25">
      <c r="A6" s="80"/>
      <c r="B6" s="80"/>
      <c r="C6" s="80"/>
      <c r="D6" s="80"/>
      <c r="E6" s="81" t="s">
        <v>195</v>
      </c>
      <c r="F6" s="82"/>
      <c r="G6" s="83"/>
      <c r="H6" s="81" t="s">
        <v>196</v>
      </c>
      <c r="I6" s="82"/>
      <c r="J6" s="83"/>
      <c r="K6" s="81" t="s">
        <v>197</v>
      </c>
      <c r="L6" s="82"/>
      <c r="M6" s="83"/>
      <c r="N6" s="80"/>
      <c r="O6" s="76" t="s">
        <v>198</v>
      </c>
      <c r="P6" s="76" t="s">
        <v>199</v>
      </c>
      <c r="Q6" s="80"/>
    </row>
    <row r="7" spans="1:17" s="74" customFormat="1" ht="16.5" thickBot="1" x14ac:dyDescent="0.3">
      <c r="A7" s="80"/>
      <c r="B7" s="80"/>
      <c r="C7" s="84"/>
      <c r="D7" s="80"/>
      <c r="E7" s="85" t="s">
        <v>200</v>
      </c>
      <c r="F7" s="86"/>
      <c r="G7" s="87"/>
      <c r="H7" s="85" t="s">
        <v>201</v>
      </c>
      <c r="I7" s="86"/>
      <c r="J7" s="87"/>
      <c r="K7" s="85" t="s">
        <v>200</v>
      </c>
      <c r="L7" s="86"/>
      <c r="M7" s="87"/>
      <c r="N7" s="80"/>
      <c r="O7" s="80"/>
      <c r="P7" s="80"/>
      <c r="Q7" s="80"/>
    </row>
    <row r="8" spans="1:17" s="74" customFormat="1" ht="16.5" thickBot="1" x14ac:dyDescent="0.3">
      <c r="A8" s="88"/>
      <c r="B8" s="88"/>
      <c r="C8" s="88"/>
      <c r="D8" s="88"/>
      <c r="E8" s="89" t="s">
        <v>202</v>
      </c>
      <c r="F8" s="89" t="s">
        <v>203</v>
      </c>
      <c r="G8" s="89" t="s">
        <v>204</v>
      </c>
      <c r="H8" s="89" t="s">
        <v>202</v>
      </c>
      <c r="I8" s="89" t="s">
        <v>203</v>
      </c>
      <c r="J8" s="89" t="s">
        <v>204</v>
      </c>
      <c r="K8" s="89" t="s">
        <v>202</v>
      </c>
      <c r="L8" s="89" t="s">
        <v>203</v>
      </c>
      <c r="M8" s="89" t="s">
        <v>204</v>
      </c>
      <c r="N8" s="88"/>
      <c r="O8" s="88"/>
      <c r="P8" s="88"/>
      <c r="Q8" s="88"/>
    </row>
    <row r="9" spans="1:17" s="74" customFormat="1" ht="15.75" x14ac:dyDescent="0.25">
      <c r="A9" s="44">
        <v>1</v>
      </c>
      <c r="B9" s="90" t="s">
        <v>205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2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view="pageBreakPreview" topLeftCell="A13" zoomScaleSheetLayoutView="100" workbookViewId="0">
      <selection activeCell="C3" sqref="C3:C4"/>
    </sheetView>
  </sheetViews>
  <sheetFormatPr defaultColWidth="9.140625" defaultRowHeight="15.75" x14ac:dyDescent="0.25"/>
  <cols>
    <col min="1" max="1" width="6.85546875" style="12" bestFit="1" customWidth="1"/>
    <col min="2" max="2" width="27.5703125" style="12" bestFit="1" customWidth="1"/>
    <col min="3" max="3" width="17" style="12" bestFit="1" customWidth="1"/>
    <col min="4" max="4" width="9.28515625" style="12" customWidth="1"/>
    <col min="5" max="5" width="7.7109375" style="12" customWidth="1"/>
    <col min="6" max="7" width="9.140625" style="12"/>
    <col min="8" max="8" width="14.8554687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x14ac:dyDescent="0.25">
      <c r="A1" s="59" t="s">
        <v>45</v>
      </c>
      <c r="B1" s="59"/>
      <c r="C1" s="59"/>
      <c r="D1" s="59"/>
      <c r="E1" s="59"/>
      <c r="F1" s="59"/>
      <c r="G1" s="59"/>
      <c r="H1" s="59"/>
    </row>
    <row r="2" spans="1:8" s="22" customFormat="1" x14ac:dyDescent="0.25">
      <c r="B2" s="23" t="s">
        <v>46</v>
      </c>
      <c r="F2" s="60" t="s">
        <v>47</v>
      </c>
      <c r="G2" s="60"/>
      <c r="H2" s="60"/>
    </row>
    <row r="3" spans="1:8" x14ac:dyDescent="0.25">
      <c r="A3" s="54" t="s">
        <v>48</v>
      </c>
      <c r="B3" s="54" t="s">
        <v>49</v>
      </c>
      <c r="C3" s="54" t="s">
        <v>50</v>
      </c>
      <c r="D3" s="54" t="s">
        <v>51</v>
      </c>
      <c r="E3" s="54" t="s">
        <v>52</v>
      </c>
      <c r="F3" s="52" t="s">
        <v>53</v>
      </c>
      <c r="G3" s="52"/>
      <c r="H3" s="54" t="s">
        <v>54</v>
      </c>
    </row>
    <row r="4" spans="1:8" ht="63" x14ac:dyDescent="0.25">
      <c r="A4" s="55"/>
      <c r="B4" s="55"/>
      <c r="C4" s="55"/>
      <c r="D4" s="55"/>
      <c r="E4" s="55"/>
      <c r="F4" s="16" t="s">
        <v>55</v>
      </c>
      <c r="G4" s="16" t="s">
        <v>56</v>
      </c>
      <c r="H4" s="55"/>
    </row>
    <row r="5" spans="1:8" x14ac:dyDescent="0.25">
      <c r="A5" s="10">
        <v>1</v>
      </c>
      <c r="B5" s="11" t="s">
        <v>136</v>
      </c>
      <c r="C5" s="11" t="s">
        <v>154</v>
      </c>
      <c r="D5" s="11">
        <v>2.5</v>
      </c>
      <c r="E5" s="11">
        <v>2</v>
      </c>
      <c r="F5" s="11" t="s">
        <v>164</v>
      </c>
      <c r="G5" s="11">
        <v>5</v>
      </c>
      <c r="H5" s="11"/>
    </row>
    <row r="6" spans="1:8" x14ac:dyDescent="0.25">
      <c r="A6" s="10">
        <v>2</v>
      </c>
      <c r="B6" s="11" t="s">
        <v>137</v>
      </c>
      <c r="C6" s="11" t="s">
        <v>155</v>
      </c>
      <c r="D6" s="11">
        <v>2.8</v>
      </c>
      <c r="E6" s="11">
        <v>2.2999999999999998</v>
      </c>
      <c r="F6" s="11" t="s">
        <v>165</v>
      </c>
      <c r="G6" s="11">
        <v>6</v>
      </c>
      <c r="H6" s="11"/>
    </row>
    <row r="7" spans="1:8" x14ac:dyDescent="0.25">
      <c r="A7" s="24"/>
      <c r="B7" s="25"/>
      <c r="C7" s="26"/>
      <c r="D7" s="27"/>
      <c r="E7" s="28"/>
    </row>
    <row r="8" spans="1:8" x14ac:dyDescent="0.25">
      <c r="A8" s="52" t="s">
        <v>57</v>
      </c>
      <c r="B8" s="52"/>
      <c r="C8" s="52"/>
      <c r="D8" s="52"/>
      <c r="E8" s="52"/>
      <c r="F8" s="52"/>
      <c r="G8" s="52"/>
      <c r="H8" s="52"/>
    </row>
    <row r="9" spans="1:8" x14ac:dyDescent="0.25">
      <c r="A9" s="10">
        <v>1</v>
      </c>
      <c r="B9" s="58" t="s">
        <v>58</v>
      </c>
      <c r="C9" s="58"/>
      <c r="D9" s="58"/>
      <c r="E9" s="58"/>
      <c r="F9" s="58"/>
      <c r="G9" s="58"/>
      <c r="H9" s="29" t="s">
        <v>138</v>
      </c>
    </row>
    <row r="10" spans="1:8" x14ac:dyDescent="0.25">
      <c r="A10" s="10">
        <v>2</v>
      </c>
      <c r="B10" s="58" t="s">
        <v>59</v>
      </c>
      <c r="C10" s="58"/>
      <c r="D10" s="58"/>
      <c r="E10" s="58"/>
      <c r="F10" s="58"/>
      <c r="G10" s="58"/>
      <c r="H10" s="29" t="s">
        <v>139</v>
      </c>
    </row>
    <row r="11" spans="1:8" x14ac:dyDescent="0.25">
      <c r="A11" s="10">
        <v>3</v>
      </c>
      <c r="B11" s="58" t="s">
        <v>60</v>
      </c>
      <c r="C11" s="58"/>
      <c r="D11" s="58"/>
      <c r="E11" s="58"/>
      <c r="F11" s="58"/>
      <c r="G11" s="58"/>
      <c r="H11" s="29" t="s">
        <v>140</v>
      </c>
    </row>
    <row r="12" spans="1:8" x14ac:dyDescent="0.25">
      <c r="A12" s="24"/>
      <c r="B12" s="24"/>
      <c r="C12" s="24"/>
      <c r="D12" s="24"/>
      <c r="E12" s="24"/>
      <c r="F12" s="24"/>
      <c r="G12" s="24"/>
      <c r="H12" s="30"/>
    </row>
    <row r="13" spans="1:8" x14ac:dyDescent="0.25">
      <c r="B13" s="31" t="str">
        <f>B2</f>
        <v xml:space="preserve">    Grid No:  </v>
      </c>
      <c r="F13" s="31" t="s">
        <v>61</v>
      </c>
      <c r="G13" s="31"/>
    </row>
    <row r="14" spans="1:8" x14ac:dyDescent="0.25">
      <c r="A14" s="52" t="s">
        <v>48</v>
      </c>
      <c r="B14" s="52" t="s">
        <v>49</v>
      </c>
      <c r="C14" s="52" t="s">
        <v>50</v>
      </c>
      <c r="D14" s="54" t="s">
        <v>51</v>
      </c>
      <c r="E14" s="52" t="s">
        <v>52</v>
      </c>
      <c r="F14" s="52" t="s">
        <v>53</v>
      </c>
      <c r="G14" s="52"/>
      <c r="H14" s="52" t="s">
        <v>54</v>
      </c>
    </row>
    <row r="15" spans="1:8" ht="63" x14ac:dyDescent="0.25">
      <c r="A15" s="52"/>
      <c r="B15" s="52"/>
      <c r="C15" s="52"/>
      <c r="D15" s="55"/>
      <c r="E15" s="52"/>
      <c r="F15" s="16" t="s">
        <v>55</v>
      </c>
      <c r="G15" s="16" t="s">
        <v>56</v>
      </c>
      <c r="H15" s="52"/>
    </row>
    <row r="16" spans="1:8" x14ac:dyDescent="0.25">
      <c r="A16" s="10">
        <v>1</v>
      </c>
      <c r="B16" s="16" t="s">
        <v>141</v>
      </c>
      <c r="C16" s="16" t="s">
        <v>156</v>
      </c>
      <c r="D16" s="16">
        <v>2.5</v>
      </c>
      <c r="E16" s="16">
        <v>3.5</v>
      </c>
      <c r="F16" s="16" t="s">
        <v>164</v>
      </c>
      <c r="G16" s="16">
        <v>8</v>
      </c>
      <c r="H16" s="16"/>
    </row>
    <row r="17" spans="1:8" x14ac:dyDescent="0.25">
      <c r="A17" s="24"/>
      <c r="B17" s="32"/>
      <c r="C17" s="33"/>
      <c r="D17" s="24"/>
      <c r="E17" s="24"/>
      <c r="F17" s="24"/>
      <c r="G17" s="24"/>
      <c r="H17" s="24"/>
    </row>
    <row r="18" spans="1:8" x14ac:dyDescent="0.25">
      <c r="A18" s="52" t="s">
        <v>57</v>
      </c>
      <c r="B18" s="52"/>
      <c r="C18" s="52"/>
      <c r="D18" s="52"/>
      <c r="E18" s="52"/>
      <c r="F18" s="52"/>
      <c r="G18" s="52"/>
      <c r="H18" s="52"/>
    </row>
    <row r="19" spans="1:8" x14ac:dyDescent="0.25">
      <c r="A19" s="10">
        <v>1</v>
      </c>
      <c r="B19" s="58" t="s">
        <v>58</v>
      </c>
      <c r="C19" s="58"/>
      <c r="D19" s="58"/>
      <c r="E19" s="58"/>
      <c r="F19" s="58"/>
      <c r="G19" s="58"/>
      <c r="H19" s="10" t="s">
        <v>142</v>
      </c>
    </row>
    <row r="20" spans="1:8" x14ac:dyDescent="0.25">
      <c r="A20" s="10">
        <v>2</v>
      </c>
      <c r="B20" s="58" t="s">
        <v>59</v>
      </c>
      <c r="C20" s="58"/>
      <c r="D20" s="58"/>
      <c r="E20" s="58"/>
      <c r="F20" s="58"/>
      <c r="G20" s="58"/>
      <c r="H20" s="10" t="s">
        <v>143</v>
      </c>
    </row>
    <row r="21" spans="1:8" ht="47.25" x14ac:dyDescent="0.25">
      <c r="A21" s="10">
        <v>3</v>
      </c>
      <c r="B21" s="58" t="s">
        <v>60</v>
      </c>
      <c r="C21" s="58"/>
      <c r="D21" s="58"/>
      <c r="E21" s="58"/>
      <c r="F21" s="58"/>
      <c r="G21" s="58"/>
      <c r="H21" s="10" t="s">
        <v>144</v>
      </c>
    </row>
    <row r="22" spans="1:8" x14ac:dyDescent="0.25">
      <c r="A22" s="24"/>
      <c r="B22" s="33"/>
      <c r="C22" s="33"/>
      <c r="D22" s="33"/>
      <c r="E22" s="33"/>
      <c r="F22" s="33"/>
      <c r="G22" s="33"/>
      <c r="H22" s="30"/>
    </row>
    <row r="23" spans="1:8" x14ac:dyDescent="0.25">
      <c r="B23" s="31" t="str">
        <f>B2</f>
        <v xml:space="preserve">    Grid No:  </v>
      </c>
      <c r="F23" s="23" t="s">
        <v>75</v>
      </c>
      <c r="G23" s="23"/>
    </row>
    <row r="24" spans="1:8" x14ac:dyDescent="0.25">
      <c r="A24" s="52" t="s">
        <v>48</v>
      </c>
      <c r="B24" s="52" t="s">
        <v>49</v>
      </c>
      <c r="C24" s="52" t="s">
        <v>50</v>
      </c>
      <c r="D24" s="54" t="s">
        <v>51</v>
      </c>
      <c r="E24" s="52" t="s">
        <v>52</v>
      </c>
      <c r="F24" s="52" t="s">
        <v>53</v>
      </c>
      <c r="G24" s="52"/>
      <c r="H24" s="52" t="s">
        <v>54</v>
      </c>
    </row>
    <row r="25" spans="1:8" ht="63" x14ac:dyDescent="0.25">
      <c r="A25" s="52"/>
      <c r="B25" s="52"/>
      <c r="C25" s="52"/>
      <c r="D25" s="55"/>
      <c r="E25" s="52"/>
      <c r="F25" s="16" t="s">
        <v>55</v>
      </c>
      <c r="G25" s="16" t="s">
        <v>56</v>
      </c>
      <c r="H25" s="52"/>
    </row>
    <row r="26" spans="1:8" s="22" customFormat="1" x14ac:dyDescent="0.25">
      <c r="A26" s="10">
        <v>1</v>
      </c>
      <c r="B26" s="34" t="s">
        <v>129</v>
      </c>
      <c r="C26" s="10" t="s">
        <v>157</v>
      </c>
      <c r="D26" s="10">
        <v>3.5</v>
      </c>
      <c r="E26" s="10">
        <v>4</v>
      </c>
      <c r="F26" s="10" t="s">
        <v>166</v>
      </c>
      <c r="G26" s="10">
        <v>13</v>
      </c>
      <c r="H26" s="10"/>
    </row>
    <row r="27" spans="1:8" s="22" customFormat="1" x14ac:dyDescent="0.25">
      <c r="A27" s="10">
        <v>2</v>
      </c>
      <c r="B27" s="34" t="s">
        <v>145</v>
      </c>
      <c r="C27" s="10" t="s">
        <v>158</v>
      </c>
      <c r="D27" s="10">
        <v>2.5</v>
      </c>
      <c r="E27" s="10">
        <v>3</v>
      </c>
      <c r="F27" s="10" t="s">
        <v>164</v>
      </c>
      <c r="G27" s="10">
        <v>7</v>
      </c>
      <c r="H27" s="10"/>
    </row>
    <row r="28" spans="1:8" s="22" customFormat="1" x14ac:dyDescent="0.25">
      <c r="A28" s="10">
        <v>3</v>
      </c>
      <c r="B28" s="34" t="s">
        <v>137</v>
      </c>
      <c r="C28" s="10" t="s">
        <v>155</v>
      </c>
      <c r="D28" s="10">
        <v>6</v>
      </c>
      <c r="E28" s="10">
        <v>4</v>
      </c>
      <c r="F28" s="10" t="s">
        <v>165</v>
      </c>
      <c r="G28" s="10">
        <v>24</v>
      </c>
      <c r="H28" s="10"/>
    </row>
    <row r="29" spans="1:8" x14ac:dyDescent="0.25">
      <c r="A29" s="24"/>
      <c r="B29" s="24"/>
      <c r="C29" s="24"/>
      <c r="D29" s="24"/>
      <c r="E29" s="24"/>
      <c r="F29" s="24"/>
      <c r="G29" s="24"/>
      <c r="H29" s="24"/>
    </row>
    <row r="30" spans="1:8" x14ac:dyDescent="0.25">
      <c r="B30" s="31" t="str">
        <f>B2</f>
        <v xml:space="preserve">    Grid No:  </v>
      </c>
      <c r="F30" s="53" t="s">
        <v>76</v>
      </c>
      <c r="G30" s="53"/>
      <c r="H30" s="53"/>
    </row>
    <row r="31" spans="1:8" x14ac:dyDescent="0.25">
      <c r="A31" s="54" t="s">
        <v>48</v>
      </c>
      <c r="B31" s="54" t="s">
        <v>49</v>
      </c>
      <c r="C31" s="54" t="s">
        <v>50</v>
      </c>
      <c r="D31" s="54" t="s">
        <v>51</v>
      </c>
      <c r="E31" s="54" t="s">
        <v>52</v>
      </c>
      <c r="F31" s="56" t="s">
        <v>53</v>
      </c>
      <c r="G31" s="57"/>
      <c r="H31" s="54" t="s">
        <v>54</v>
      </c>
    </row>
    <row r="32" spans="1:8" ht="63" x14ac:dyDescent="0.25">
      <c r="A32" s="55"/>
      <c r="B32" s="55"/>
      <c r="C32" s="55"/>
      <c r="D32" s="55"/>
      <c r="E32" s="55"/>
      <c r="F32" s="16" t="s">
        <v>55</v>
      </c>
      <c r="G32" s="16" t="s">
        <v>56</v>
      </c>
      <c r="H32" s="55"/>
    </row>
    <row r="33" spans="1:8" s="22" customFormat="1" x14ac:dyDescent="0.25">
      <c r="A33" s="35">
        <v>1</v>
      </c>
      <c r="B33" s="34" t="s">
        <v>109</v>
      </c>
      <c r="C33" s="10" t="s">
        <v>159</v>
      </c>
      <c r="D33" s="35">
        <v>6</v>
      </c>
      <c r="E33" s="36">
        <v>4.5</v>
      </c>
      <c r="F33" s="21" t="s">
        <v>164</v>
      </c>
      <c r="G33" s="21">
        <v>24</v>
      </c>
      <c r="H33" s="21"/>
    </row>
    <row r="34" spans="1:8" s="22" customFormat="1" x14ac:dyDescent="0.25">
      <c r="A34" s="35">
        <v>2</v>
      </c>
      <c r="B34" s="34" t="s">
        <v>114</v>
      </c>
      <c r="C34" s="10" t="s">
        <v>160</v>
      </c>
      <c r="D34" s="35">
        <v>3</v>
      </c>
      <c r="E34" s="36">
        <v>3.5</v>
      </c>
      <c r="F34" s="21" t="s">
        <v>167</v>
      </c>
      <c r="G34" s="21">
        <v>10</v>
      </c>
      <c r="H34" s="21"/>
    </row>
    <row r="35" spans="1:8" s="22" customFormat="1" x14ac:dyDescent="0.25">
      <c r="A35" s="35">
        <v>3</v>
      </c>
      <c r="B35" s="34" t="s">
        <v>146</v>
      </c>
      <c r="C35" s="10"/>
      <c r="D35" s="35">
        <v>2.5</v>
      </c>
      <c r="E35" s="36">
        <v>2</v>
      </c>
      <c r="F35" s="21" t="s">
        <v>164</v>
      </c>
      <c r="G35" s="21">
        <v>5</v>
      </c>
      <c r="H35" s="21"/>
    </row>
  </sheetData>
  <mergeCells count="39"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8:H8"/>
    <mergeCell ref="B9:G9"/>
    <mergeCell ref="B10:G10"/>
    <mergeCell ref="B11:G11"/>
    <mergeCell ref="A14:A15"/>
    <mergeCell ref="B14:B15"/>
    <mergeCell ref="C14:C15"/>
    <mergeCell ref="D14:D15"/>
    <mergeCell ref="E14:E15"/>
    <mergeCell ref="F14:G14"/>
    <mergeCell ref="H14:H15"/>
    <mergeCell ref="A18:H18"/>
    <mergeCell ref="B19:G19"/>
    <mergeCell ref="B20:G20"/>
    <mergeCell ref="B21:G21"/>
    <mergeCell ref="A24:A25"/>
    <mergeCell ref="B24:B25"/>
    <mergeCell ref="C24:C25"/>
    <mergeCell ref="D24:D25"/>
    <mergeCell ref="E24:E25"/>
    <mergeCell ref="F24:G24"/>
    <mergeCell ref="H24:H25"/>
    <mergeCell ref="F30:H30"/>
    <mergeCell ref="A31:A32"/>
    <mergeCell ref="B31:B32"/>
    <mergeCell ref="C31:C32"/>
    <mergeCell ref="D31:D32"/>
    <mergeCell ref="E31:E32"/>
    <mergeCell ref="F31:G31"/>
    <mergeCell ref="H31:H32"/>
  </mergeCells>
  <printOptions horizontalCentered="1"/>
  <pageMargins left="0.15748031496062992" right="0.23622047244094491" top="0.39370078740157483" bottom="0.27559055118110237" header="0.15748031496062992" footer="0.15748031496062992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tabSelected="1" view="pageBreakPreview" zoomScale="85" zoomScaleNormal="85" zoomScaleSheetLayoutView="85" workbookViewId="0">
      <selection activeCell="L33" sqref="L32:L33"/>
    </sheetView>
  </sheetViews>
  <sheetFormatPr defaultColWidth="9.140625" defaultRowHeight="15.75" x14ac:dyDescent="0.25"/>
  <cols>
    <col min="1" max="1" width="6.5703125" style="12" customWidth="1"/>
    <col min="2" max="2" width="24.85546875" style="12" bestFit="1" customWidth="1"/>
    <col min="3" max="3" width="14.7109375" style="26" bestFit="1" customWidth="1"/>
    <col min="4" max="4" width="9.140625" style="12"/>
    <col min="5" max="6" width="10.28515625" style="12" customWidth="1"/>
    <col min="7" max="7" width="18.85546875" style="12" customWidth="1"/>
    <col min="8" max="16384" width="9.140625" style="12"/>
  </cols>
  <sheetData>
    <row r="1" spans="1:7" x14ac:dyDescent="0.25">
      <c r="A1" s="59" t="s">
        <v>62</v>
      </c>
      <c r="B1" s="59"/>
      <c r="C1" s="59"/>
      <c r="D1" s="59"/>
      <c r="E1" s="59"/>
      <c r="F1" s="59"/>
      <c r="G1" s="59"/>
    </row>
    <row r="2" spans="1:7" x14ac:dyDescent="0.25">
      <c r="E2" s="60" t="s">
        <v>47</v>
      </c>
      <c r="F2" s="60"/>
      <c r="G2" s="60"/>
    </row>
    <row r="3" spans="1:7" x14ac:dyDescent="0.25">
      <c r="A3" s="52" t="s">
        <v>48</v>
      </c>
      <c r="B3" s="52" t="s">
        <v>49</v>
      </c>
      <c r="C3" s="51" t="s">
        <v>50</v>
      </c>
      <c r="D3" s="52" t="s">
        <v>63</v>
      </c>
      <c r="E3" s="52" t="s">
        <v>53</v>
      </c>
      <c r="F3" s="52"/>
      <c r="G3" s="52" t="s">
        <v>64</v>
      </c>
    </row>
    <row r="4" spans="1:7" ht="31.5" x14ac:dyDescent="0.25">
      <c r="A4" s="52"/>
      <c r="B4" s="52"/>
      <c r="C4" s="51"/>
      <c r="D4" s="52"/>
      <c r="E4" s="16" t="s">
        <v>65</v>
      </c>
      <c r="F4" s="16" t="s">
        <v>66</v>
      </c>
      <c r="G4" s="52"/>
    </row>
    <row r="5" spans="1:7" x14ac:dyDescent="0.25">
      <c r="A5" s="52"/>
      <c r="B5" s="52"/>
      <c r="C5" s="51"/>
      <c r="D5" s="52"/>
      <c r="E5" s="16" t="s">
        <v>67</v>
      </c>
      <c r="F5" s="16" t="s">
        <v>73</v>
      </c>
      <c r="G5" s="52"/>
    </row>
    <row r="6" spans="1:7" x14ac:dyDescent="0.25">
      <c r="A6" s="10">
        <v>1</v>
      </c>
      <c r="B6" s="16" t="s">
        <v>123</v>
      </c>
      <c r="C6" s="37" t="s">
        <v>163</v>
      </c>
      <c r="D6" s="16">
        <v>92</v>
      </c>
      <c r="E6" s="16" t="s">
        <v>165</v>
      </c>
      <c r="F6" s="16">
        <v>400</v>
      </c>
      <c r="G6" s="16"/>
    </row>
    <row r="7" spans="1:7" x14ac:dyDescent="0.25">
      <c r="A7" s="10">
        <v>2</v>
      </c>
      <c r="B7" s="16" t="s">
        <v>131</v>
      </c>
      <c r="C7" s="37" t="s">
        <v>161</v>
      </c>
      <c r="D7" s="16">
        <v>65</v>
      </c>
      <c r="E7" s="16" t="s">
        <v>168</v>
      </c>
      <c r="F7" s="16">
        <v>260</v>
      </c>
      <c r="G7" s="16"/>
    </row>
    <row r="8" spans="1:7" x14ac:dyDescent="0.25">
      <c r="A8" s="10">
        <v>3</v>
      </c>
      <c r="B8" s="16" t="s">
        <v>132</v>
      </c>
      <c r="C8" s="37" t="s">
        <v>162</v>
      </c>
      <c r="D8" s="16">
        <v>83</v>
      </c>
      <c r="E8" s="16" t="s">
        <v>165</v>
      </c>
      <c r="F8" s="16">
        <v>380</v>
      </c>
      <c r="G8" s="16"/>
    </row>
    <row r="9" spans="1:7" x14ac:dyDescent="0.25">
      <c r="A9" s="10">
        <v>4</v>
      </c>
      <c r="B9" s="16" t="s">
        <v>132</v>
      </c>
      <c r="C9" s="37" t="s">
        <v>162</v>
      </c>
      <c r="D9" s="16">
        <v>55</v>
      </c>
      <c r="E9" s="16" t="s">
        <v>165</v>
      </c>
      <c r="F9" s="16">
        <v>230</v>
      </c>
      <c r="G9" s="16"/>
    </row>
    <row r="10" spans="1:7" x14ac:dyDescent="0.25">
      <c r="A10" s="10">
        <v>5</v>
      </c>
      <c r="B10" s="16" t="s">
        <v>132</v>
      </c>
      <c r="C10" s="37" t="s">
        <v>162</v>
      </c>
      <c r="D10" s="16">
        <v>60</v>
      </c>
      <c r="E10" s="16" t="s">
        <v>165</v>
      </c>
      <c r="F10" s="16">
        <v>240</v>
      </c>
      <c r="G10" s="16"/>
    </row>
    <row r="11" spans="1:7" x14ac:dyDescent="0.25">
      <c r="A11" s="52" t="s">
        <v>57</v>
      </c>
      <c r="B11" s="52"/>
      <c r="C11" s="52"/>
      <c r="D11" s="52"/>
      <c r="E11" s="52"/>
      <c r="F11" s="52"/>
      <c r="G11" s="52"/>
    </row>
    <row r="12" spans="1:7" x14ac:dyDescent="0.25">
      <c r="A12" s="24"/>
      <c r="B12" s="30"/>
      <c r="C12" s="33"/>
      <c r="D12" s="24"/>
      <c r="E12" s="30"/>
      <c r="F12" s="30"/>
      <c r="G12" s="30"/>
    </row>
    <row r="13" spans="1:7" s="22" customFormat="1" x14ac:dyDescent="0.25">
      <c r="B13" s="38" t="s">
        <v>69</v>
      </c>
      <c r="C13" s="39"/>
      <c r="E13" s="59" t="s">
        <v>70</v>
      </c>
      <c r="F13" s="59"/>
      <c r="G13" s="59"/>
    </row>
    <row r="14" spans="1:7" x14ac:dyDescent="0.25">
      <c r="A14" s="52" t="s">
        <v>48</v>
      </c>
      <c r="B14" s="52" t="s">
        <v>49</v>
      </c>
      <c r="C14" s="61" t="s">
        <v>50</v>
      </c>
      <c r="D14" s="52" t="s">
        <v>63</v>
      </c>
      <c r="E14" s="52" t="s">
        <v>53</v>
      </c>
      <c r="F14" s="52"/>
      <c r="G14" s="52" t="s">
        <v>64</v>
      </c>
    </row>
    <row r="15" spans="1:7" ht="31.5" x14ac:dyDescent="0.25">
      <c r="A15" s="52"/>
      <c r="B15" s="52"/>
      <c r="C15" s="62"/>
      <c r="D15" s="52"/>
      <c r="E15" s="16" t="s">
        <v>65</v>
      </c>
      <c r="F15" s="16" t="s">
        <v>66</v>
      </c>
      <c r="G15" s="52"/>
    </row>
    <row r="16" spans="1:7" ht="31.5" x14ac:dyDescent="0.25">
      <c r="A16" s="52"/>
      <c r="B16" s="52"/>
      <c r="C16" s="63"/>
      <c r="D16" s="52"/>
      <c r="E16" s="16" t="s">
        <v>67</v>
      </c>
      <c r="F16" s="16" t="s">
        <v>68</v>
      </c>
      <c r="G16" s="52"/>
    </row>
    <row r="17" spans="1:7" s="22" customFormat="1" x14ac:dyDescent="0.25">
      <c r="A17" s="35">
        <v>1</v>
      </c>
      <c r="B17" s="21" t="s">
        <v>133</v>
      </c>
      <c r="C17" s="40"/>
      <c r="D17" s="35">
        <v>130</v>
      </c>
      <c r="E17" s="21" t="s">
        <v>169</v>
      </c>
      <c r="F17" s="21">
        <v>440</v>
      </c>
      <c r="G17" s="21"/>
    </row>
    <row r="18" spans="1:7" s="22" customFormat="1" x14ac:dyDescent="0.25">
      <c r="A18" s="35">
        <v>2</v>
      </c>
      <c r="B18" s="21" t="s">
        <v>134</v>
      </c>
      <c r="C18" s="40" t="s">
        <v>162</v>
      </c>
      <c r="D18" s="35">
        <v>40</v>
      </c>
      <c r="E18" s="21" t="s">
        <v>165</v>
      </c>
      <c r="F18" s="21">
        <v>180</v>
      </c>
      <c r="G18" s="21"/>
    </row>
    <row r="19" spans="1:7" s="22" customFormat="1" x14ac:dyDescent="0.25">
      <c r="A19" s="35">
        <v>3</v>
      </c>
      <c r="B19" s="21" t="s">
        <v>134</v>
      </c>
      <c r="C19" s="40" t="s">
        <v>162</v>
      </c>
      <c r="D19" s="35">
        <v>70</v>
      </c>
      <c r="E19" s="21" t="s">
        <v>165</v>
      </c>
      <c r="F19" s="21">
        <v>360</v>
      </c>
      <c r="G19" s="21"/>
    </row>
    <row r="20" spans="1:7" s="22" customFormat="1" x14ac:dyDescent="0.25">
      <c r="A20" s="35">
        <v>4</v>
      </c>
      <c r="B20" s="21" t="s">
        <v>135</v>
      </c>
      <c r="C20" s="40"/>
      <c r="D20" s="35">
        <v>60</v>
      </c>
      <c r="E20" s="21" t="s">
        <v>165</v>
      </c>
      <c r="F20" s="21">
        <v>260</v>
      </c>
      <c r="G20" s="21"/>
    </row>
  </sheetData>
  <mergeCells count="16">
    <mergeCell ref="A1:G1"/>
    <mergeCell ref="E2:G2"/>
    <mergeCell ref="A3:A5"/>
    <mergeCell ref="B3:B5"/>
    <mergeCell ref="C3:C5"/>
    <mergeCell ref="D3:D5"/>
    <mergeCell ref="E3:F3"/>
    <mergeCell ref="G3:G5"/>
    <mergeCell ref="A11:G11"/>
    <mergeCell ref="E13:G13"/>
    <mergeCell ref="A14:A16"/>
    <mergeCell ref="B14:B16"/>
    <mergeCell ref="C14:C16"/>
    <mergeCell ref="D14:D16"/>
    <mergeCell ref="E14:F14"/>
    <mergeCell ref="G14:G16"/>
  </mergeCells>
  <printOptions horizontalCentered="1"/>
  <pageMargins left="0.23622047244094491" right="0.39370078740157483" top="0.31496062992125984" bottom="0.19685039370078741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2024-10-24T12:26:35Z</cp:lastPrinted>
  <dcterms:created xsi:type="dcterms:W3CDTF">2023-09-21T06:16:02Z</dcterms:created>
  <dcterms:modified xsi:type="dcterms:W3CDTF">2024-10-24T12:26:36Z</dcterms:modified>
</cp:coreProperties>
</file>