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Badagakajekaru B I   II-58\"/>
    </mc:Choice>
  </mc:AlternateContent>
  <xr:revisionPtr revIDLastSave="0" documentId="13_ncr:1_{2555F6D4-C7AB-4D66-B638-006BCD72923F}" xr6:coauthVersionLast="47" xr6:coauthVersionMax="47" xr10:uidLastSave="{00000000-0000-0000-0000-000000000000}"/>
  <bookViews>
    <workbookView xWindow="390" yWindow="390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9" l="1"/>
  <c r="F44" i="9"/>
  <c r="F40" i="9"/>
  <c r="F41" i="9"/>
  <c r="F42" i="9"/>
  <c r="F39" i="9"/>
  <c r="F10" i="9"/>
  <c r="F11" i="9"/>
  <c r="F7" i="9"/>
  <c r="F8" i="9"/>
  <c r="F9" i="9"/>
  <c r="F6" i="9"/>
  <c r="G97" i="8"/>
  <c r="G96" i="8"/>
  <c r="G70" i="8"/>
  <c r="G69" i="8"/>
  <c r="G6" i="8"/>
  <c r="G7" i="8"/>
  <c r="G5" i="8"/>
  <c r="C3" i="5"/>
  <c r="C5" i="5"/>
  <c r="C7" i="5"/>
  <c r="C8" i="5"/>
  <c r="C9" i="5"/>
  <c r="C10" i="5"/>
  <c r="K13" i="6"/>
  <c r="K14" i="6"/>
  <c r="K15" i="6"/>
  <c r="K12" i="6"/>
  <c r="B93" i="8"/>
  <c r="B66" i="8"/>
  <c r="B35" i="8"/>
</calcChain>
</file>

<file path=xl/sharedStrings.xml><?xml version="1.0" encoding="utf-8"?>
<sst xmlns="http://schemas.openxmlformats.org/spreadsheetml/2006/main" count="433" uniqueCount="313">
  <si>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</si>
  <si>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</si>
  <si>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</si>
  <si>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</si>
  <si>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</si>
  <si>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</si>
  <si>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</si>
  <si>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</si>
  <si>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</si>
  <si>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</si>
  <si>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</si>
  <si>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</si>
  <si>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</si>
  <si>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</si>
  <si>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</si>
  <si>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</si>
  <si>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</si>
  <si>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</si>
  <si>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</si>
  <si>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</si>
  <si>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</si>
  <si>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</si>
  <si>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</si>
  <si>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</si>
  <si>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</si>
  <si>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</si>
  <si>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</si>
  <si>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</si>
  <si>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</si>
  <si>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</si>
  <si>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</si>
  <si>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</si>
  <si>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</si>
  <si>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</si>
  <si>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</si>
  <si>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</si>
  <si>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</si>
  <si>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</si>
  <si>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</si>
  <si>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</si>
  <si>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</si>
  <si>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</si>
  <si>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</si>
  <si>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</si>
  <si>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</si>
  <si>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</si>
  <si>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</si>
  <si>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</si>
  <si>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</si>
  <si>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</si>
  <si>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</si>
  <si>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</si>
  <si>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</si>
  <si>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</si>
  <si>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</si>
  <si>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</si>
  <si>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</si>
  <si>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</si>
  <si>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</si>
  <si>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</si>
  <si>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</si>
  <si>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</si>
  <si>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</si>
  <si>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</si>
  <si>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</si>
  <si>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</si>
  <si>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</si>
  <si>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</si>
  <si>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</si>
  <si>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</si>
  <si>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</si>
  <si>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</si>
  <si>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</si>
  <si>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</si>
  <si>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</si>
  <si>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</si>
  <si>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</si>
  <si>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</si>
  <si>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</si>
  <si>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</si>
  <si>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</si>
  <si>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</si>
  <si>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</si>
  <si>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</si>
  <si>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</si>
  <si>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</si>
  <si>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</si>
  <si>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</si>
  <si>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</si>
  <si>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</si>
  <si>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</si>
  <si>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</si>
  <si>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</si>
  <si>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</si>
  <si>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</si>
  <si>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</si>
  <si>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</si>
  <si>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</si>
  <si>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</si>
  <si>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</si>
  <si>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</si>
  <si>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</si>
  <si>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</si>
  <si>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</si>
  <si>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</si>
  <si>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</si>
  <si>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</si>
  <si>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</si>
  <si>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</si>
  <si>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</si>
  <si>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</si>
  <si>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</si>
  <si>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</si>
  <si>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</si>
  <si>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</si>
  <si>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</si>
  <si>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</si>
  <si>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</si>
  <si>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</si>
  <si>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</si>
  <si>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</si>
  <si>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</si>
  <si>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</si>
  <si>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</si>
  <si>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</si>
  <si>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</si>
  <si>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</si>
  <si>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</si>
  <si>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</si>
  <si>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</si>
  <si>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</si>
  <si>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</si>
  <si>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</si>
  <si>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</si>
  <si>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</si>
  <si>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</si>
  <si>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</si>
  <si>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</si>
  <si>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</si>
  <si>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</si>
  <si>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</si>
  <si>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</si>
  <si>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</si>
  <si>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</si>
  <si>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</si>
  <si>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</si>
  <si>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</si>
  <si>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</si>
  <si>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</si>
  <si>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</si>
  <si>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</si>
  <si>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</si>
  <si>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</si>
  <si>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</si>
  <si>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</si>
  <si>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</si>
  <si>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</si>
  <si>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</si>
  <si>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</si>
  <si>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</si>
  <si>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</si>
  <si>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</si>
  <si>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</si>
  <si>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</si>
  <si>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</si>
  <si>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</si>
  <si>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</si>
  <si>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</si>
  <si>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</si>
  <si>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</si>
  <si>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</si>
  <si>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</si>
  <si>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</si>
  <si>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</si>
  <si>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</si>
  <si>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</si>
  <si>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</si>
  <si>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</si>
  <si>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</si>
  <si>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</si>
  <si>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</si>
  <si>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</si>
  <si>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</si>
  <si>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</si>
  <si>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</si>
  <si>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</si>
  <si>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</si>
  <si>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</si>
  <si>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</si>
  <si>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</si>
  <si>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</si>
  <si>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</si>
  <si>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</si>
  <si>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</si>
  <si>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</si>
  <si>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</si>
  <si>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</si>
  <si>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</si>
  <si>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</si>
  <si>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</si>
  <si>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</si>
  <si>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</si>
  <si>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</si>
  <si>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</si>
  <si>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</si>
  <si>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</si>
  <si>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</si>
  <si>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</si>
  <si>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</si>
  <si>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</si>
  <si>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</si>
  <si>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</si>
  <si>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</si>
  <si>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</si>
  <si>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</si>
  <si>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</si>
  <si>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</si>
  <si>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</si>
  <si>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</si>
  <si>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</si>
  <si>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</si>
  <si>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</si>
  <si>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</si>
  <si>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</si>
  <si>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</si>
  <si>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</si>
  <si>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</si>
  <si>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</si>
  <si>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</si>
  <si>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</si>
  <si>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</si>
  <si>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</si>
  <si>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</si>
  <si>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</si>
  <si>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</si>
  <si>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</si>
  <si>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</si>
  <si>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</si>
  <si>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</si>
  <si>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</si>
  <si>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</si>
  <si>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</si>
  <si>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</si>
  <si>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Belthangady</t>
  </si>
  <si>
    <t>5518D</t>
  </si>
  <si>
    <t>Trvel from Ujire  to Kukkaje     upto N 12.924330    E 75.176349    by vehicle then travel in the bearing of  182  degree upto a distance of   132 m  to reach the grid.</t>
  </si>
  <si>
    <t xml:space="preserve">Peltophorum pterospermum , Ailanthus malabarica , Anacardium occidentale , Erythrina sp , Acacia auriculiformis </t>
  </si>
  <si>
    <t>Tract - Gently rolling</t>
  </si>
  <si>
    <t xml:space="preserve">Aspect - South </t>
  </si>
  <si>
    <t>Canopy Dencity - 0.52</t>
  </si>
  <si>
    <t>Soil - Shallow stony</t>
  </si>
  <si>
    <t>Grasses - Panicum pedicillatum , Arundinella sp</t>
  </si>
  <si>
    <t>Weeds - Chromolaena odorata  , Cassia sp</t>
  </si>
  <si>
    <t>Bamboos - Nil</t>
  </si>
  <si>
    <t xml:space="preserve">Herbs - Mimosa pudica , </t>
  </si>
  <si>
    <t>Shrubs - Sorporous androgynus , Aporosa lindleyana , Ziziphus oenoplia , Cinnamomum sp</t>
  </si>
  <si>
    <t xml:space="preserve">Underwood species – Mangifera indica </t>
  </si>
  <si>
    <t xml:space="preserve">Climbers - Getonia floribunda , Jasminum malabaricum </t>
  </si>
  <si>
    <t>Rattans – Nil</t>
  </si>
  <si>
    <t xml:space="preserve">NTFP yieding sps – Careya arborea </t>
  </si>
  <si>
    <t>Stony patch</t>
  </si>
  <si>
    <t>NIL</t>
  </si>
  <si>
    <t>3.5m</t>
  </si>
  <si>
    <t>505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</si>
  <si>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</si>
  <si>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</si>
  <si>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</si>
  <si>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>4°-15</t>
    </r>
    <r>
      <rPr>
        <sz val="12"/>
        <rFont val="Times New Roman"/>
        <family val="1"/>
      </rPr>
      <t>°/ 16°-40° 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</si>
  <si>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</si>
  <si>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Texture-  Stony</t>
  </si>
  <si>
    <t xml:space="preserve">Depth-  Shallow </t>
  </si>
  <si>
    <t>Permiability- poor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</si>
  <si>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</si>
  <si>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</si>
  <si>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rPr>
        <b/>
        <sz val="12"/>
        <rFont val="Times New Roman"/>
        <family val="1"/>
      </rPr>
      <t xml:space="preserve">Top drying </t>
    </r>
    <r>
      <rPr>
        <sz val="12"/>
        <rFont val="Times New Roman"/>
        <family val="1"/>
      </rPr>
      <t xml:space="preserve">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</si>
  <si>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</si>
  <si>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</si>
  <si>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</t>
    </r>
    <r>
      <rPr>
        <b/>
        <sz val="12"/>
        <rFont val="Times New Roman"/>
        <family val="1"/>
      </rPr>
      <t>Dense</t>
    </r>
    <r>
      <rPr>
        <sz val="12"/>
        <rFont val="Times New Roman"/>
        <family val="1"/>
      </rPr>
      <t xml:space="preserve"> / Moderate / Scanty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</si>
  <si>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</si>
  <si>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Nil</t>
  </si>
  <si>
    <t>Acacia auriculiformis Plantatino</t>
  </si>
  <si>
    <t>NIl</t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</si>
  <si>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</si>
  <si>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&gt;0.5</t>
  </si>
  <si>
    <t xml:space="preserve">Careya arborea , Bombax ceiba , Terminalia paniculata </t>
  </si>
  <si>
    <t xml:space="preserve">Careya arborea </t>
  </si>
  <si>
    <t>Bombax ceiba</t>
  </si>
  <si>
    <t>Terminalia paniculata</t>
  </si>
  <si>
    <t>Arundinella sp</t>
  </si>
  <si>
    <t>Two panicled grass</t>
  </si>
  <si>
    <t xml:space="preserve">Jasminum malabaricum </t>
  </si>
  <si>
    <t>Ziziphus oenoplia</t>
  </si>
  <si>
    <t>180g</t>
  </si>
  <si>
    <t>5Kg</t>
  </si>
  <si>
    <t>82g</t>
  </si>
  <si>
    <t>65g</t>
  </si>
  <si>
    <t xml:space="preserve">Meyna laxiflora </t>
  </si>
  <si>
    <t>Andrographis paniculata</t>
  </si>
  <si>
    <t>Bredelia scandens</t>
  </si>
  <si>
    <t xml:space="preserve">Memecylon talbotianum </t>
  </si>
  <si>
    <t xml:space="preserve">Badagakajekaru B I   </t>
  </si>
  <si>
    <t>II-58</t>
  </si>
  <si>
    <t>Microbes and Insects</t>
  </si>
  <si>
    <t>Paragi</t>
  </si>
  <si>
    <t>Chegu gudde</t>
  </si>
  <si>
    <t>Akshate Balli</t>
  </si>
  <si>
    <t>Kaadu mallige</t>
  </si>
  <si>
    <t xml:space="preserve">Mangalore Division </t>
  </si>
  <si>
    <t>oil</t>
  </si>
  <si>
    <t>flowers</t>
  </si>
  <si>
    <t>fruits</t>
  </si>
  <si>
    <t>Edible fruits, Fiber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</si>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</sst>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SheetLayoutView="100" workbookViewId="0">
      <selection activeCell="C11" sqref="C11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243</v>
      </c>
    </row>
    <row r="6" spans="1:3" ht="39" customHeight="1" x14ac:dyDescent="0.25">
      <c r="A6" s="4">
        <v>2</v>
      </c>
      <c r="B6" s="50" t="s">
        <v>7</v>
      </c>
      <c r="C6" s="8" t="s">
        <v>300</v>
      </c>
    </row>
    <row r="7" spans="1:3" ht="39" customHeight="1" x14ac:dyDescent="0.25">
      <c r="A7" s="4">
        <v>3</v>
      </c>
      <c r="B7" s="50" t="s">
        <v>8</v>
      </c>
      <c r="C7" s="8" t="s">
        <v>301</v>
      </c>
    </row>
    <row r="8" spans="1:3" ht="39" customHeight="1" x14ac:dyDescent="0.25">
      <c r="A8" s="4">
        <v>4</v>
      </c>
      <c r="B8" s="50" t="s">
        <v>9</v>
      </c>
      <c r="C8" s="8" t="s">
        <v>244</v>
      </c>
    </row>
    <row r="9" spans="1:3" ht="39" customHeight="1" x14ac:dyDescent="0.25">
      <c r="A9" s="4">
        <v>5</v>
      </c>
      <c r="B9" s="50" t="s">
        <v>10</v>
      </c>
      <c r="C9" s="9">
        <v>12.923149</v>
      </c>
    </row>
    <row r="10" spans="1:3" ht="39" customHeight="1" x14ac:dyDescent="0.25">
      <c r="A10" s="4">
        <v>6</v>
      </c>
      <c r="B10" s="50" t="s">
        <v>11</v>
      </c>
      <c r="C10" s="9">
        <v>75.176374999999993</v>
      </c>
    </row>
    <row r="11" spans="1:3" ht="141.75" customHeight="1" x14ac:dyDescent="0.25">
      <c r="A11" s="4">
        <v>7</v>
      </c>
      <c r="B11" s="50" t="s">
        <v>12</v>
      </c>
      <c r="C11" s="8" t="s">
        <v>245</v>
      </c>
    </row>
    <row r="12" spans="1:3" ht="98.25" customHeight="1" x14ac:dyDescent="0.25">
      <c r="A12" s="4">
        <v>8</v>
      </c>
      <c r="B12" s="50" t="s">
        <v>13</v>
      </c>
      <c r="C12" s="10" t="s">
        <v>246</v>
      </c>
    </row>
    <row r="13" spans="1:3" ht="32.25" customHeight="1" x14ac:dyDescent="0.25">
      <c r="A13" s="54">
        <v>9</v>
      </c>
      <c r="B13" s="55" t="s">
        <v>14</v>
      </c>
      <c r="C13" s="6" t="s">
        <v>247</v>
      </c>
    </row>
    <row r="14" spans="1:3" ht="32.25" customHeight="1" x14ac:dyDescent="0.25">
      <c r="A14" s="54"/>
      <c r="B14" s="55"/>
      <c r="C14" s="6" t="s">
        <v>248</v>
      </c>
    </row>
    <row r="15" spans="1:3" ht="32.25" customHeight="1" x14ac:dyDescent="0.25">
      <c r="A15" s="54"/>
      <c r="B15" s="55"/>
      <c r="C15" s="6" t="s">
        <v>249</v>
      </c>
    </row>
    <row r="16" spans="1:3" ht="32.25" customHeight="1" x14ac:dyDescent="0.25">
      <c r="A16" s="54"/>
      <c r="B16" s="55"/>
      <c r="C16" s="6" t="s">
        <v>250</v>
      </c>
    </row>
    <row r="17" spans="1:3" ht="32.25" customHeight="1" x14ac:dyDescent="0.25">
      <c r="A17" s="54"/>
      <c r="B17" s="55"/>
      <c r="C17" s="6" t="s">
        <v>251</v>
      </c>
    </row>
    <row r="18" spans="1:3" ht="32.25" customHeight="1" x14ac:dyDescent="0.25">
      <c r="A18" s="54"/>
      <c r="B18" s="55"/>
      <c r="C18" s="6" t="s">
        <v>252</v>
      </c>
    </row>
    <row r="19" spans="1:3" ht="32.25" customHeight="1" x14ac:dyDescent="0.25">
      <c r="A19" s="54"/>
      <c r="B19" s="55"/>
      <c r="C19" s="6" t="s">
        <v>253</v>
      </c>
    </row>
    <row r="20" spans="1:3" ht="57.75" customHeight="1" x14ac:dyDescent="0.25">
      <c r="A20" s="54"/>
      <c r="B20" s="55"/>
      <c r="C20" s="6" t="s">
        <v>254</v>
      </c>
    </row>
    <row r="21" spans="1:3" ht="63" customHeight="1" x14ac:dyDescent="0.25">
      <c r="A21" s="54"/>
      <c r="B21" s="55"/>
      <c r="C21" s="6" t="s">
        <v>255</v>
      </c>
    </row>
    <row r="22" spans="1:3" ht="63" customHeight="1" x14ac:dyDescent="0.25">
      <c r="A22" s="54"/>
      <c r="B22" s="55"/>
      <c r="C22" s="6" t="s">
        <v>256</v>
      </c>
    </row>
    <row r="23" spans="1:3" ht="63" customHeight="1" x14ac:dyDescent="0.25">
      <c r="A23" s="54"/>
      <c r="B23" s="55"/>
      <c r="C23" s="6" t="s">
        <v>257</v>
      </c>
    </row>
    <row r="24" spans="1:3" ht="63" customHeight="1" x14ac:dyDescent="0.25">
      <c r="A24" s="54"/>
      <c r="B24" s="55"/>
      <c r="C24" s="6" t="s">
        <v>258</v>
      </c>
    </row>
    <row r="25" spans="1:3" ht="63" customHeight="1" x14ac:dyDescent="0.25">
      <c r="A25" s="54"/>
      <c r="B25" s="55"/>
      <c r="C25" s="6" t="s">
        <v>259</v>
      </c>
    </row>
    <row r="26" spans="1:3" ht="49.5" customHeight="1" x14ac:dyDescent="0.25">
      <c r="A26" s="4">
        <v>10</v>
      </c>
      <c r="B26" s="50" t="s">
        <v>15</v>
      </c>
      <c r="C26" s="6" t="s">
        <v>260</v>
      </c>
    </row>
    <row r="27" spans="1:3" ht="53.25" customHeight="1" x14ac:dyDescent="0.25">
      <c r="A27" s="4">
        <v>11</v>
      </c>
      <c r="B27" s="50" t="s">
        <v>16</v>
      </c>
      <c r="C27" s="6" t="s">
        <v>261</v>
      </c>
    </row>
    <row r="28" spans="1:3" s="13" customFormat="1" ht="51" customHeight="1" x14ac:dyDescent="0.25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25">
      <c r="A29" s="17">
        <v>13</v>
      </c>
      <c r="B29" s="51" t="s">
        <v>219</v>
      </c>
      <c r="C29" s="12" t="s">
        <v>262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52" t="str">
        <f>'Form 1'!C3</f>
        <v xml:space="preserve">Mangalore Division 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224</v>
      </c>
      <c r="C6" s="19"/>
    </row>
    <row r="7" spans="1:3" ht="32.25" customHeight="1" x14ac:dyDescent="0.25">
      <c r="A7" s="11">
        <v>3</v>
      </c>
      <c r="B7" s="51" t="s">
        <v>220</v>
      </c>
      <c r="C7" s="19" t="str">
        <f>'Form 1'!C6</f>
        <v xml:space="preserve">Badagakajekaru B I   </v>
      </c>
    </row>
    <row r="8" spans="1:3" ht="32.25" customHeight="1" x14ac:dyDescent="0.25">
      <c r="A8" s="11">
        <v>4</v>
      </c>
      <c r="B8" s="51" t="s">
        <v>9</v>
      </c>
      <c r="C8" s="19" t="str">
        <f>'Form 1'!C8</f>
        <v>5518D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12.923149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75.176374999999993</v>
      </c>
    </row>
    <row r="11" spans="1:3" ht="32.25" customHeight="1" x14ac:dyDescent="0.25">
      <c r="A11" s="11">
        <v>7</v>
      </c>
      <c r="B11" s="51" t="s">
        <v>22</v>
      </c>
      <c r="C11" s="19" t="s">
        <v>263</v>
      </c>
    </row>
    <row r="12" spans="1:3" ht="43.5" customHeight="1" x14ac:dyDescent="0.25">
      <c r="A12" s="11">
        <v>8</v>
      </c>
      <c r="B12" s="51" t="s">
        <v>23</v>
      </c>
      <c r="C12" s="19" t="s">
        <v>264</v>
      </c>
    </row>
    <row r="13" spans="1:3" ht="43.5" customHeight="1" x14ac:dyDescent="0.25">
      <c r="A13" s="11">
        <v>9</v>
      </c>
      <c r="B13" s="51" t="s">
        <v>24</v>
      </c>
      <c r="C13" s="19" t="s">
        <v>265</v>
      </c>
    </row>
    <row r="14" spans="1:3" ht="38.25" customHeight="1" x14ac:dyDescent="0.25">
      <c r="A14" s="11">
        <v>10</v>
      </c>
      <c r="B14" s="51" t="s">
        <v>25</v>
      </c>
      <c r="C14" s="19" t="s">
        <v>266</v>
      </c>
    </row>
    <row r="15" spans="1:3" ht="25.5" customHeight="1" x14ac:dyDescent="0.25">
      <c r="A15" s="11">
        <v>11</v>
      </c>
      <c r="B15" s="51" t="s">
        <v>26</v>
      </c>
      <c r="C15" s="21" t="s">
        <v>267</v>
      </c>
    </row>
    <row r="16" spans="1:3" ht="37.5" customHeight="1" x14ac:dyDescent="0.25">
      <c r="A16" s="11">
        <v>12</v>
      </c>
      <c r="B16" s="51" t="s">
        <v>27</v>
      </c>
      <c r="C16" s="21" t="s">
        <v>268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269</v>
      </c>
    </row>
    <row r="19" spans="1:3" ht="30.75" customHeight="1" x14ac:dyDescent="0.25">
      <c r="A19" s="57"/>
      <c r="B19" s="58"/>
      <c r="C19" s="21" t="s">
        <v>270</v>
      </c>
    </row>
    <row r="20" spans="1:3" ht="30.75" customHeight="1" x14ac:dyDescent="0.25">
      <c r="A20" s="57"/>
      <c r="B20" s="58"/>
      <c r="C20" s="22" t="s">
        <v>271</v>
      </c>
    </row>
    <row r="21" spans="1:3" ht="36" customHeight="1" x14ac:dyDescent="0.25">
      <c r="A21" s="11">
        <v>15</v>
      </c>
      <c r="B21" s="51" t="s">
        <v>31</v>
      </c>
      <c r="C21" s="21" t="s">
        <v>272</v>
      </c>
    </row>
    <row r="22" spans="1:3" ht="54.75" customHeight="1" x14ac:dyDescent="0.25">
      <c r="A22" s="11">
        <v>16</v>
      </c>
      <c r="B22" s="51" t="s">
        <v>32</v>
      </c>
      <c r="C22" s="21" t="s">
        <v>284</v>
      </c>
    </row>
    <row r="23" spans="1:3" ht="15.75" x14ac:dyDescent="0.25">
      <c r="A23" s="11">
        <v>17</v>
      </c>
      <c r="B23" s="51" t="s">
        <v>221</v>
      </c>
      <c r="C23" s="21" t="s">
        <v>273</v>
      </c>
    </row>
    <row r="24" spans="1:3" ht="35.25" customHeight="1" x14ac:dyDescent="0.25">
      <c r="A24" s="11">
        <v>18</v>
      </c>
      <c r="B24" s="51" t="s">
        <v>33</v>
      </c>
      <c r="C24" s="21" t="s">
        <v>274</v>
      </c>
    </row>
    <row r="25" spans="1:3" ht="72.75" customHeight="1" x14ac:dyDescent="0.25">
      <c r="A25" s="11">
        <v>19</v>
      </c>
      <c r="B25" s="51" t="s">
        <v>34</v>
      </c>
      <c r="C25" s="21" t="s">
        <v>302</v>
      </c>
    </row>
    <row r="26" spans="1:3" ht="30" customHeight="1" x14ac:dyDescent="0.25">
      <c r="A26" s="11">
        <v>20</v>
      </c>
      <c r="B26" s="51" t="s">
        <v>35</v>
      </c>
      <c r="C26" s="22" t="s">
        <v>275</v>
      </c>
    </row>
    <row r="27" spans="1:3" ht="30" customHeight="1" x14ac:dyDescent="0.25">
      <c r="A27" s="11">
        <v>21</v>
      </c>
      <c r="B27" s="51" t="s">
        <v>36</v>
      </c>
      <c r="C27" s="21" t="s">
        <v>276</v>
      </c>
    </row>
    <row r="28" spans="1:3" ht="30" customHeight="1" x14ac:dyDescent="0.25">
      <c r="A28" s="11">
        <v>22</v>
      </c>
      <c r="B28" s="51" t="s">
        <v>37</v>
      </c>
      <c r="C28" s="21" t="s">
        <v>277</v>
      </c>
    </row>
    <row r="29" spans="1:3" ht="32.25" customHeight="1" x14ac:dyDescent="0.25">
      <c r="A29" s="11">
        <v>23</v>
      </c>
      <c r="B29" s="51" t="s">
        <v>38</v>
      </c>
      <c r="C29" s="21" t="s">
        <v>278</v>
      </c>
    </row>
    <row r="30" spans="1:3" ht="62.25" customHeight="1" x14ac:dyDescent="0.25">
      <c r="A30" s="11">
        <v>24</v>
      </c>
      <c r="B30" s="51" t="s">
        <v>39</v>
      </c>
      <c r="C30" s="21" t="s">
        <v>279</v>
      </c>
    </row>
    <row r="31" spans="1:3" ht="72.75" customHeight="1" x14ac:dyDescent="0.25">
      <c r="A31" s="11">
        <v>25</v>
      </c>
      <c r="B31" s="51" t="s">
        <v>40</v>
      </c>
      <c r="C31" s="21" t="s">
        <v>280</v>
      </c>
    </row>
    <row r="32" spans="1:3" ht="60" customHeight="1" x14ac:dyDescent="0.25">
      <c r="A32" s="11">
        <v>26</v>
      </c>
      <c r="B32" s="51" t="s">
        <v>41</v>
      </c>
      <c r="C32" s="21" t="s">
        <v>281</v>
      </c>
    </row>
    <row r="33" spans="1:3" ht="60" customHeight="1" x14ac:dyDescent="0.25">
      <c r="A33" s="11">
        <v>27</v>
      </c>
      <c r="B33" s="51" t="s">
        <v>42</v>
      </c>
      <c r="C33" s="19" t="s">
        <v>282</v>
      </c>
    </row>
    <row r="34" spans="1:3" ht="57.75" customHeight="1" x14ac:dyDescent="0.25">
      <c r="A34" s="11">
        <v>28</v>
      </c>
      <c r="B34" s="51" t="s">
        <v>43</v>
      </c>
      <c r="C34" s="21" t="s">
        <v>281</v>
      </c>
    </row>
    <row r="35" spans="1:3" ht="59.25" customHeight="1" x14ac:dyDescent="0.25">
      <c r="A35" s="11">
        <v>29</v>
      </c>
      <c r="B35" s="51" t="s">
        <v>44</v>
      </c>
      <c r="C35" s="21" t="s">
        <v>281</v>
      </c>
    </row>
    <row r="36" spans="1:3" ht="66" customHeight="1" x14ac:dyDescent="0.25">
      <c r="A36" s="11">
        <v>30</v>
      </c>
      <c r="B36" s="51" t="s">
        <v>225</v>
      </c>
      <c r="C36" s="21" t="s">
        <v>283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zoomScale="60" zoomScaleNormal="70" workbookViewId="0">
      <selection activeCell="Q19" sqref="Q19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v>1</v>
      </c>
      <c r="B12" s="23" t="s">
        <v>285</v>
      </c>
      <c r="C12" s="23"/>
      <c r="D12" s="23">
        <v>107</v>
      </c>
      <c r="E12" s="23"/>
      <c r="F12" s="23"/>
      <c r="G12" s="23"/>
      <c r="H12" s="23"/>
      <c r="I12" s="23">
        <v>8</v>
      </c>
      <c r="J12" s="23">
        <v>6.5</v>
      </c>
      <c r="K12" s="23">
        <f>L12+M12+R12</f>
        <v>8.5</v>
      </c>
      <c r="L12" s="23">
        <v>3</v>
      </c>
      <c r="M12" s="23">
        <v>2</v>
      </c>
      <c r="N12" s="23"/>
      <c r="O12" s="23"/>
      <c r="P12" s="23"/>
      <c r="Q12" s="23"/>
      <c r="R12" s="23">
        <v>3.5</v>
      </c>
      <c r="S12" s="23"/>
      <c r="T12" s="23"/>
    </row>
    <row r="13" spans="1:20" ht="40.5" customHeight="1" x14ac:dyDescent="0.25">
      <c r="A13" s="23">
        <v>2</v>
      </c>
      <c r="B13" s="23" t="s">
        <v>286</v>
      </c>
      <c r="C13" s="23"/>
      <c r="D13" s="23">
        <v>34</v>
      </c>
      <c r="E13" s="23"/>
      <c r="F13" s="23"/>
      <c r="G13" s="23"/>
      <c r="H13" s="23"/>
      <c r="I13" s="23">
        <v>3</v>
      </c>
      <c r="J13" s="23">
        <v>2</v>
      </c>
      <c r="K13" s="23">
        <f t="shared" ref="K13:K15" si="0">L13+M13+R13</f>
        <v>4.5</v>
      </c>
      <c r="L13" s="23">
        <v>2</v>
      </c>
      <c r="M13" s="23">
        <v>1</v>
      </c>
      <c r="N13" s="23"/>
      <c r="O13" s="23"/>
      <c r="P13" s="23"/>
      <c r="Q13" s="23"/>
      <c r="R13" s="23">
        <v>1.5</v>
      </c>
      <c r="S13" s="23"/>
      <c r="T13" s="23"/>
    </row>
    <row r="14" spans="1:20" ht="40.5" customHeight="1" x14ac:dyDescent="0.25">
      <c r="A14" s="23">
        <v>3</v>
      </c>
      <c r="B14" s="23" t="s">
        <v>287</v>
      </c>
      <c r="C14" s="23"/>
      <c r="D14" s="23">
        <v>43</v>
      </c>
      <c r="E14" s="23"/>
      <c r="F14" s="23"/>
      <c r="G14" s="23"/>
      <c r="H14" s="23"/>
      <c r="I14" s="23">
        <v>3</v>
      </c>
      <c r="J14" s="23">
        <v>4</v>
      </c>
      <c r="K14" s="23">
        <f t="shared" si="0"/>
        <v>7</v>
      </c>
      <c r="L14" s="23">
        <v>2</v>
      </c>
      <c r="M14" s="23">
        <v>1.5</v>
      </c>
      <c r="N14" s="23"/>
      <c r="O14" s="23"/>
      <c r="P14" s="23"/>
      <c r="Q14" s="23"/>
      <c r="R14" s="23">
        <v>3.5</v>
      </c>
      <c r="S14" s="23"/>
      <c r="T14" s="23"/>
    </row>
    <row r="15" spans="1:20" ht="40.5" customHeight="1" x14ac:dyDescent="0.25">
      <c r="A15" s="23">
        <v>4</v>
      </c>
      <c r="B15" s="23" t="s">
        <v>287</v>
      </c>
      <c r="C15" s="23"/>
      <c r="D15" s="23">
        <v>34</v>
      </c>
      <c r="E15" s="23"/>
      <c r="F15" s="23"/>
      <c r="G15" s="23"/>
      <c r="H15" s="23"/>
      <c r="I15" s="23">
        <v>3</v>
      </c>
      <c r="J15" s="23">
        <v>4.5</v>
      </c>
      <c r="K15" s="23">
        <f t="shared" si="0"/>
        <v>7</v>
      </c>
      <c r="L15" s="23">
        <v>2</v>
      </c>
      <c r="M15" s="23">
        <v>2.5</v>
      </c>
      <c r="N15" s="23"/>
      <c r="O15" s="23"/>
      <c r="P15" s="23"/>
      <c r="Q15" s="23"/>
      <c r="R15" s="23">
        <v>2.5</v>
      </c>
      <c r="S15" s="23"/>
      <c r="T15" s="23"/>
    </row>
    <row r="16" spans="1:20" ht="40.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  <row r="17" spans="1:20" ht="40.5" customHeight="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</row>
    <row r="18" spans="1:20" ht="40.5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</row>
    <row r="19" spans="1:20" ht="40.5" customHeight="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</row>
    <row r="20" spans="1:20" ht="40.5" customHeight="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</row>
    <row r="21" spans="1:20" ht="40.5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</row>
    <row r="22" spans="1:20" ht="40.5" customHeight="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</row>
    <row r="23" spans="1:20" ht="40.5" customHeight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</row>
    <row r="24" spans="1:20" ht="40.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</row>
    <row r="25" spans="1:20" ht="40.5" customHeight="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</row>
    <row r="26" spans="1:20" ht="40.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</row>
    <row r="27" spans="1:20" ht="40.5" customHeight="1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8" zoomScaleSheetLayoutView="100" workbookViewId="0">
      <selection activeCell="F97" sqref="F97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25">
      <c r="B2" s="28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7" t="s">
        <v>173</v>
      </c>
      <c r="G4" s="17" t="s">
        <v>174</v>
      </c>
      <c r="H4" s="74"/>
    </row>
    <row r="5" spans="1:8" ht="29.25" customHeight="1" x14ac:dyDescent="0.25">
      <c r="A5" s="11">
        <v>1</v>
      </c>
      <c r="B5" s="12" t="s">
        <v>291</v>
      </c>
      <c r="C5" s="12" t="s">
        <v>303</v>
      </c>
      <c r="D5" s="12">
        <v>3</v>
      </c>
      <c r="E5" s="12">
        <v>2</v>
      </c>
      <c r="F5" s="12" t="s">
        <v>310</v>
      </c>
      <c r="G5" s="12">
        <f>D5*E5</f>
        <v>6</v>
      </c>
      <c r="H5" s="12"/>
    </row>
    <row r="6" spans="1:8" ht="29.25" customHeight="1" x14ac:dyDescent="0.25">
      <c r="A6" s="11">
        <v>2</v>
      </c>
      <c r="B6" s="12" t="s">
        <v>291</v>
      </c>
      <c r="C6" s="12" t="s">
        <v>303</v>
      </c>
      <c r="D6" s="12">
        <v>2.5</v>
      </c>
      <c r="E6" s="12">
        <v>2</v>
      </c>
      <c r="F6" s="12"/>
      <c r="G6" s="12">
        <f t="shared" ref="G6:G7" si="0">D6*E6</f>
        <v>5</v>
      </c>
      <c r="H6" s="12"/>
    </row>
    <row r="7" spans="1:8" ht="29.25" customHeight="1" x14ac:dyDescent="0.25">
      <c r="A7" s="11">
        <v>3</v>
      </c>
      <c r="B7" s="12" t="s">
        <v>291</v>
      </c>
      <c r="C7" s="12" t="s">
        <v>303</v>
      </c>
      <c r="D7" s="12">
        <v>2.6</v>
      </c>
      <c r="E7" s="12">
        <v>3</v>
      </c>
      <c r="F7" s="12"/>
      <c r="G7" s="12">
        <f t="shared" si="0"/>
        <v>7.8000000000000007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4">
        <v>0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4">
        <v>0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4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4" t="s">
        <v>292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4" t="s">
        <v>293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7" t="s">
        <v>173</v>
      </c>
      <c r="G37" s="17" t="s">
        <v>174</v>
      </c>
      <c r="H37" s="71"/>
    </row>
    <row r="38" spans="1:8" ht="36" customHeight="1" x14ac:dyDescent="0.25">
      <c r="A38" s="11">
        <v>1</v>
      </c>
      <c r="B38" s="17" t="s">
        <v>261</v>
      </c>
      <c r="C38" s="17"/>
      <c r="D38" s="17"/>
      <c r="E38" s="17"/>
      <c r="F38" s="17"/>
      <c r="G38" s="17"/>
      <c r="H38" s="17"/>
    </row>
    <row r="39" spans="1:8" ht="36" customHeight="1" x14ac:dyDescent="0.25">
      <c r="A39" s="11">
        <v>2</v>
      </c>
      <c r="B39" s="17"/>
      <c r="C39" s="17"/>
      <c r="D39" s="17"/>
      <c r="E39" s="17"/>
      <c r="F39" s="17"/>
      <c r="G39" s="17"/>
      <c r="H39" s="17"/>
    </row>
    <row r="40" spans="1:8" ht="36" customHeight="1" x14ac:dyDescent="0.25">
      <c r="A40" s="11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25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294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>
        <v>0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295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>
        <v>0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241</v>
      </c>
      <c r="G66" s="28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7" t="s">
        <v>173</v>
      </c>
      <c r="G68" s="17" t="s">
        <v>174</v>
      </c>
      <c r="H68" s="71"/>
    </row>
    <row r="69" spans="1:8" s="27" customFormat="1" ht="41.25" customHeight="1" x14ac:dyDescent="0.25">
      <c r="A69" s="11">
        <v>1</v>
      </c>
      <c r="B69" s="39" t="s">
        <v>296</v>
      </c>
      <c r="C69" s="11" t="s">
        <v>304</v>
      </c>
      <c r="D69" s="11">
        <v>3</v>
      </c>
      <c r="E69" s="11">
        <v>3</v>
      </c>
      <c r="F69" s="88" t="s">
        <v>311</v>
      </c>
      <c r="G69" s="12">
        <f t="shared" ref="G69:G70" si="1">D69*E69</f>
        <v>9</v>
      </c>
      <c r="H69" s="11"/>
    </row>
    <row r="70" spans="1:8" s="27" customFormat="1" ht="41.25" customHeight="1" x14ac:dyDescent="0.25">
      <c r="A70" s="11">
        <v>2</v>
      </c>
      <c r="B70" s="39" t="s">
        <v>297</v>
      </c>
      <c r="C70" s="11"/>
      <c r="D70" s="11">
        <v>2.5</v>
      </c>
      <c r="E70" s="11">
        <v>2</v>
      </c>
      <c r="F70" s="11"/>
      <c r="G70" s="12">
        <f t="shared" si="1"/>
        <v>5</v>
      </c>
      <c r="H70" s="11"/>
    </row>
    <row r="71" spans="1:8" s="27" customFormat="1" ht="41.25" customHeight="1" x14ac:dyDescent="0.25">
      <c r="A71" s="11">
        <v>3</v>
      </c>
      <c r="B71" s="39"/>
      <c r="C71" s="11"/>
      <c r="D71" s="11"/>
      <c r="E71" s="11"/>
      <c r="F71" s="11"/>
      <c r="G71" s="11"/>
      <c r="H71" s="11"/>
    </row>
    <row r="72" spans="1:8" s="27" customFormat="1" ht="41.25" customHeight="1" x14ac:dyDescent="0.25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25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7" t="s">
        <v>173</v>
      </c>
      <c r="G95" s="17" t="s">
        <v>174</v>
      </c>
      <c r="H95" s="74"/>
    </row>
    <row r="96" spans="1:8" s="27" customFormat="1" ht="39" customHeight="1" x14ac:dyDescent="0.25">
      <c r="A96" s="40">
        <v>1</v>
      </c>
      <c r="B96" s="39" t="s">
        <v>298</v>
      </c>
      <c r="C96" s="11" t="s">
        <v>305</v>
      </c>
      <c r="D96" s="40">
        <v>2.2000000000000002</v>
      </c>
      <c r="E96" s="41">
        <v>4</v>
      </c>
      <c r="F96" s="22" t="s">
        <v>312</v>
      </c>
      <c r="G96" s="12">
        <f t="shared" ref="G96:G97" si="2">D96*E96</f>
        <v>8.8000000000000007</v>
      </c>
      <c r="H96" s="22"/>
    </row>
    <row r="97" spans="1:8" s="27" customFormat="1" ht="39" customHeight="1" x14ac:dyDescent="0.25">
      <c r="A97" s="40">
        <v>2</v>
      </c>
      <c r="B97" s="39" t="s">
        <v>299</v>
      </c>
      <c r="C97" s="11"/>
      <c r="D97" s="40">
        <v>2.5</v>
      </c>
      <c r="E97" s="41">
        <v>2</v>
      </c>
      <c r="F97" s="88" t="s">
        <v>311</v>
      </c>
      <c r="G97" s="12">
        <f t="shared" si="2"/>
        <v>5</v>
      </c>
      <c r="H97" s="22"/>
    </row>
    <row r="98" spans="1:8" s="27" customFormat="1" ht="39" customHeight="1" x14ac:dyDescent="0.25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25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0" zoomScale="85" zoomScaleNormal="85" zoomScaleSheetLayoutView="85" workbookViewId="0">
      <selection activeCell="E46" sqref="E46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7" t="s">
        <v>187</v>
      </c>
      <c r="F4" s="17" t="s">
        <v>188</v>
      </c>
      <c r="G4" s="71"/>
    </row>
    <row r="5" spans="1:7" ht="45.6" customHeight="1" x14ac:dyDescent="0.25">
      <c r="A5" s="71"/>
      <c r="B5" s="71"/>
      <c r="C5" s="58"/>
      <c r="D5" s="71"/>
      <c r="E5" s="17" t="s">
        <v>189</v>
      </c>
      <c r="F5" s="17" t="s">
        <v>222</v>
      </c>
      <c r="G5" s="71"/>
    </row>
    <row r="6" spans="1:7" ht="45.6" customHeight="1" x14ac:dyDescent="0.25">
      <c r="A6" s="11">
        <v>1</v>
      </c>
      <c r="B6" s="17" t="s">
        <v>288</v>
      </c>
      <c r="C6" s="44"/>
      <c r="D6" s="17">
        <v>61</v>
      </c>
      <c r="E6" s="17"/>
      <c r="F6" s="17">
        <f>0.05*(D6)*(D6)</f>
        <v>186.05</v>
      </c>
      <c r="G6" s="17"/>
    </row>
    <row r="7" spans="1:7" ht="45.6" customHeight="1" x14ac:dyDescent="0.25">
      <c r="A7" s="11">
        <v>2</v>
      </c>
      <c r="B7" s="17" t="s">
        <v>288</v>
      </c>
      <c r="C7" s="44"/>
      <c r="D7" s="17">
        <v>53</v>
      </c>
      <c r="E7" s="17"/>
      <c r="F7" s="17">
        <f t="shared" ref="F7:F11" si="0">0.05*(D7)*(D7)</f>
        <v>140.45000000000002</v>
      </c>
      <c r="G7" s="17"/>
    </row>
    <row r="8" spans="1:7" ht="45.6" customHeight="1" x14ac:dyDescent="0.25">
      <c r="A8" s="11">
        <v>3</v>
      </c>
      <c r="B8" s="17" t="s">
        <v>288</v>
      </c>
      <c r="C8" s="44"/>
      <c r="D8" s="17">
        <v>65</v>
      </c>
      <c r="E8" s="17"/>
      <c r="F8" s="17">
        <f t="shared" si="0"/>
        <v>211.25</v>
      </c>
      <c r="G8" s="17"/>
    </row>
    <row r="9" spans="1:7" ht="45.6" customHeight="1" x14ac:dyDescent="0.25">
      <c r="A9" s="11">
        <v>4</v>
      </c>
      <c r="B9" s="17" t="s">
        <v>289</v>
      </c>
      <c r="C9" s="44"/>
      <c r="D9" s="17">
        <v>17</v>
      </c>
      <c r="E9" s="17" t="s">
        <v>308</v>
      </c>
      <c r="F9" s="17">
        <f t="shared" si="0"/>
        <v>14.450000000000001</v>
      </c>
      <c r="G9" s="17"/>
    </row>
    <row r="10" spans="1:7" ht="45.6" customHeight="1" x14ac:dyDescent="0.25">
      <c r="A10" s="11">
        <v>5</v>
      </c>
      <c r="B10" s="17" t="s">
        <v>289</v>
      </c>
      <c r="C10" s="44"/>
      <c r="D10" s="17">
        <v>21</v>
      </c>
      <c r="E10" s="17"/>
      <c r="F10" s="17">
        <f>0.05*(D10)*(D10)</f>
        <v>22.05</v>
      </c>
      <c r="G10" s="17"/>
    </row>
    <row r="11" spans="1:7" ht="45.6" customHeight="1" x14ac:dyDescent="0.25">
      <c r="A11" s="11">
        <v>6</v>
      </c>
      <c r="B11" s="17" t="s">
        <v>289</v>
      </c>
      <c r="C11" s="44"/>
      <c r="D11" s="17">
        <v>16</v>
      </c>
      <c r="E11" s="17"/>
      <c r="F11" s="17">
        <f t="shared" si="0"/>
        <v>12.8</v>
      </c>
      <c r="G11" s="17"/>
    </row>
    <row r="12" spans="1:7" ht="45.6" customHeight="1" x14ac:dyDescent="0.25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7" t="s">
        <v>187</v>
      </c>
      <c r="F37" s="17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7" t="s">
        <v>189</v>
      </c>
      <c r="F38" s="17" t="s">
        <v>190</v>
      </c>
      <c r="G38" s="71"/>
    </row>
    <row r="39" spans="1:7" s="27" customFormat="1" ht="45.6" customHeight="1" x14ac:dyDescent="0.25">
      <c r="A39" s="40">
        <v>1</v>
      </c>
      <c r="B39" s="22" t="s">
        <v>290</v>
      </c>
      <c r="C39" s="47" t="s">
        <v>306</v>
      </c>
      <c r="D39" s="40">
        <v>182</v>
      </c>
      <c r="E39" s="22" t="s">
        <v>309</v>
      </c>
      <c r="F39" s="17">
        <f t="shared" ref="F39:F44" si="1">0.05*(D39)*(D39)</f>
        <v>1656.2</v>
      </c>
      <c r="G39" s="22"/>
    </row>
    <row r="40" spans="1:7" s="27" customFormat="1" ht="45.6" customHeight="1" x14ac:dyDescent="0.25">
      <c r="A40" s="40">
        <v>2</v>
      </c>
      <c r="B40" s="22" t="s">
        <v>290</v>
      </c>
      <c r="C40" s="47" t="s">
        <v>306</v>
      </c>
      <c r="D40" s="40">
        <v>320</v>
      </c>
      <c r="E40" s="22"/>
      <c r="F40" s="17">
        <f t="shared" si="1"/>
        <v>5120</v>
      </c>
      <c r="G40" s="22"/>
    </row>
    <row r="41" spans="1:7" s="27" customFormat="1" ht="45.6" customHeight="1" x14ac:dyDescent="0.25">
      <c r="A41" s="40">
        <v>3</v>
      </c>
      <c r="B41" s="22" t="s">
        <v>290</v>
      </c>
      <c r="C41" s="47" t="s">
        <v>306</v>
      </c>
      <c r="D41" s="40">
        <v>140</v>
      </c>
      <c r="E41" s="22"/>
      <c r="F41" s="17">
        <f t="shared" si="1"/>
        <v>980</v>
      </c>
      <c r="G41" s="22"/>
    </row>
    <row r="42" spans="1:7" s="27" customFormat="1" ht="45.6" customHeight="1" x14ac:dyDescent="0.25">
      <c r="A42" s="40">
        <v>4</v>
      </c>
      <c r="B42" s="22" t="s">
        <v>289</v>
      </c>
      <c r="C42" s="47"/>
      <c r="D42" s="40">
        <v>48</v>
      </c>
      <c r="E42" s="22" t="s">
        <v>308</v>
      </c>
      <c r="F42" s="17">
        <f t="shared" si="1"/>
        <v>115.20000000000002</v>
      </c>
      <c r="G42" s="22"/>
    </row>
    <row r="43" spans="1:7" s="27" customFormat="1" ht="45.6" customHeight="1" x14ac:dyDescent="0.25">
      <c r="A43" s="40">
        <v>5</v>
      </c>
      <c r="B43" s="22" t="s">
        <v>289</v>
      </c>
      <c r="C43" s="47"/>
      <c r="D43" s="40">
        <v>55</v>
      </c>
      <c r="E43" s="22"/>
      <c r="F43" s="17">
        <f t="shared" si="1"/>
        <v>151.25</v>
      </c>
      <c r="G43" s="22"/>
    </row>
    <row r="44" spans="1:7" s="27" customFormat="1" ht="45.6" customHeight="1" x14ac:dyDescent="0.25">
      <c r="A44" s="40">
        <v>6</v>
      </c>
      <c r="B44" s="22" t="s">
        <v>289</v>
      </c>
      <c r="C44" s="47"/>
      <c r="D44" s="40">
        <v>43</v>
      </c>
      <c r="E44" s="22"/>
      <c r="F44" s="17">
        <f t="shared" si="1"/>
        <v>92.45</v>
      </c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B20" sqref="B20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2024-06-15T15:41:41Z</dcterms:modified>
</cp:coreProperties>
</file>