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Naravi aranya vistarana kshetra II-23 #\"/>
    </mc:Choice>
  </mc:AlternateContent>
  <xr:revisionPtr revIDLastSave="0" documentId="13_ncr:1_{07A5072C-DA86-48FF-9771-B5BFFDDC25D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7" i="8"/>
  <c r="B28" i="8"/>
  <c r="B15" i="8"/>
</calcChain>
</file>

<file path=xl/sharedStrings.xml><?xml version="1.0" encoding="utf-8"?>
<sst xmlns="http://schemas.openxmlformats.org/spreadsheetml/2006/main" count="351" uniqueCount="201">
  <si>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</si>
  <si>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</si>
  <si>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</si>
  <si>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</si>
  <si>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</si>
  <si>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</si>
  <si>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</si>
  <si>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</si>
  <si>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</si>
  <si>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</si>
  <si>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</si>
  <si>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</si>
  <si>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</si>
  <si>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</si>
  <si>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</si>
  <si>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</si>
  <si>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</si>
  <si>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</si>
  <si>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</si>
  <si>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</si>
  <si>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</si>
  <si>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</si>
  <si>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</si>
  <si>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</si>
  <si>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</si>
  <si>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</si>
  <si>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</si>
  <si>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</si>
  <si>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</si>
  <si>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</si>
  <si>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</si>
  <si>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</si>
  <si>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</si>
  <si>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</si>
  <si>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</si>
  <si>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</si>
  <si>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</si>
  <si>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</si>
  <si>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</si>
  <si>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</si>
  <si>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</si>
  <si>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</si>
  <si>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</si>
  <si>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</si>
  <si>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</si>
  <si>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</si>
  <si>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</si>
  <si>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</si>
  <si>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</si>
  <si>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</si>
  <si>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</si>
  <si>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</si>
  <si>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</si>
  <si>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</si>
  <si>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</si>
  <si>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</si>
  <si>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</si>
  <si>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</si>
  <si>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</si>
  <si>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</si>
  <si>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</si>
  <si>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</si>
  <si>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</si>
  <si>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</si>
  <si>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</si>
  <si>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</si>
  <si>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</si>
  <si>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</si>
  <si>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</si>
  <si>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</si>
  <si>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</si>
  <si>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</si>
  <si>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</si>
  <si>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</si>
  <si>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</si>
  <si>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</si>
  <si>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>Terminalia paniculata</t>
  </si>
  <si>
    <t xml:space="preserve">Terminalia paniculata, Alseodaphne semicarpifolia , Hopea ponga , Dillenia pentagyna </t>
  </si>
  <si>
    <t>Aspect -Southern</t>
  </si>
  <si>
    <t>Canopy Dencity - 0.62</t>
  </si>
  <si>
    <t xml:space="preserve">Grasses - Opplessima sp </t>
  </si>
  <si>
    <t xml:space="preserve">Weeds - Chromolaena odorata , Hemedesmus sp , Rubia tinctoria , </t>
  </si>
  <si>
    <t xml:space="preserve">Bamboos - Bambusa bambos </t>
  </si>
  <si>
    <t>Herbs -wild yam</t>
  </si>
  <si>
    <t xml:space="preserve">Shrubs - Heliscteres isora , Bredelia sp , Tadehaji triquetrum , </t>
  </si>
  <si>
    <t xml:space="preserve">Underwood species – Grewia tilifolia , Holarrhena antidysenterica , Ixora brachiata </t>
  </si>
  <si>
    <t xml:space="preserve">Climbers - Mussaenda frondosa , Acacia concinna </t>
  </si>
  <si>
    <t>Travel from Ujire to   Jamalabadfort  upto     N  13.036550   E 75.292773   by vehicle then travel in the bearing of    354  degree upto a distance of   415 m to reach the grid.</t>
  </si>
  <si>
    <t>1063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</si>
  <si>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</si>
  <si>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</si>
  <si>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</si>
  <si>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</si>
  <si>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</si>
  <si>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>Texture-  Humus rich sandy loam</t>
  </si>
  <si>
    <t>Permiability- poor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</si>
  <si>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</si>
  <si>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t xml:space="preserve">Xylia xylocarpa , Terminalia paniculata , Holarrhena antidysenterica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</si>
  <si>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</si>
  <si>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</si>
  <si>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wild animals, insects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</si>
  <si>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</si>
  <si>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</si>
  <si>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</si>
  <si>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Xylia xylocarpa</t>
  </si>
  <si>
    <t>Careya arborea</t>
  </si>
  <si>
    <t xml:space="preserve">Macaranga peltata </t>
  </si>
  <si>
    <t>Tabernamontana heyneana</t>
  </si>
  <si>
    <t>Diospyros montona</t>
  </si>
  <si>
    <t>Dalberjia latifolia</t>
  </si>
  <si>
    <t>Macaranga peltata</t>
  </si>
  <si>
    <t>Holarrhena antidysenterica</t>
  </si>
  <si>
    <t>Heliocarpus serratus</t>
  </si>
  <si>
    <t>Aporosa lindleyana</t>
  </si>
  <si>
    <t>Psychotria dalzelli</t>
  </si>
  <si>
    <t>Allophylus cobbe</t>
  </si>
  <si>
    <t>Ixora brachiata</t>
  </si>
  <si>
    <t xml:space="preserve">Digiteria sp </t>
  </si>
  <si>
    <t>Opplessima sp</t>
  </si>
  <si>
    <t>Actinodaphne hookeri</t>
  </si>
  <si>
    <t xml:space="preserve">Aegle marmelos </t>
  </si>
  <si>
    <t>Leea indica</t>
  </si>
  <si>
    <t>Catunaregam spinosa</t>
  </si>
  <si>
    <t>1.5kg</t>
  </si>
  <si>
    <t>Dalbergia latifolia</t>
  </si>
  <si>
    <t>2kg</t>
  </si>
  <si>
    <t>4kg</t>
  </si>
  <si>
    <t xml:space="preserve">Olea dioca </t>
  </si>
  <si>
    <t>Glycosmis pentaphyla</t>
  </si>
  <si>
    <t>alternate leafed plant</t>
  </si>
  <si>
    <t>Unknwon</t>
  </si>
  <si>
    <t>Rattans – NIL</t>
  </si>
  <si>
    <t>NTFP yieding sps – NIL</t>
  </si>
  <si>
    <t>NIL</t>
  </si>
  <si>
    <t>Tract -Hilly</t>
  </si>
  <si>
    <t>Soil - Red soil</t>
  </si>
  <si>
    <t>Belthangady</t>
  </si>
  <si>
    <t xml:space="preserve">Naravi aranya vistarana kshetra </t>
  </si>
  <si>
    <t>II-23</t>
  </si>
  <si>
    <t>Depth-  Moderate</t>
  </si>
  <si>
    <t>93g</t>
  </si>
  <si>
    <t>73g</t>
  </si>
  <si>
    <t>Mangalore</t>
  </si>
  <si>
    <t>Jambe</t>
  </si>
  <si>
    <t>Nertige</t>
  </si>
  <si>
    <t>Kaare</t>
  </si>
  <si>
    <t>Beete</t>
  </si>
  <si>
    <t>Konana kivi</t>
  </si>
  <si>
    <t>Akkerakalu</t>
  </si>
  <si>
    <t>Pandelu</t>
  </si>
  <si>
    <t>Salle</t>
  </si>
  <si>
    <t>Kasa Balli</t>
  </si>
  <si>
    <t>Gorbale</t>
  </si>
  <si>
    <t>Helu Kodasa</t>
  </si>
  <si>
    <t>Sudugenasu</t>
  </si>
  <si>
    <t>Bilva</t>
  </si>
  <si>
    <t>Pod</t>
  </si>
  <si>
    <t>Leaves</t>
  </si>
  <si>
    <t>flower</t>
  </si>
  <si>
    <t>Stem</t>
  </si>
  <si>
    <t xml:space="preserve">Latex </t>
  </si>
  <si>
    <t>Bark</t>
  </si>
  <si>
    <t xml:space="preserve">fruit </t>
  </si>
  <si>
    <t>stem</t>
  </si>
  <si>
    <t>Seed</t>
  </si>
  <si>
    <t xml:space="preserve">Fruit </t>
  </si>
  <si>
    <r>
      <t>Heavily / Moderately / Mildly /</t>
    </r>
    <r>
      <rPr>
        <b/>
        <sz val="12"/>
        <rFont val="Times New Roman"/>
        <family val="1"/>
      </rPr>
      <t>Not degrated</t>
    </r>
  </si>
  <si>
    <t>FORM – A1</t>
  </si>
  <si>
    <t>PLOT ENUMERATION (31.62mX 31.62m Central Plot/lateral plot)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</si>
  <si>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</si>
  <si>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</si>
  <si>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</si>
  <si>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</si>
  <si>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</si>
  <si>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</si>
  <si>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</si>
  <si>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</si>
  <si>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 xml:space="preserve">Block /Village: Naravi aranya vistarana kshetra </t>
  </si>
  <si>
    <t>Compartment No: II-23</t>
  </si>
  <si>
    <t>Grid No:7414</t>
  </si>
  <si>
    <t>LAT: 13.04003</t>
  </si>
  <si>
    <t>LONG: 75.29232</t>
  </si>
  <si>
    <t>ALT: 1063 ft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</si>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</sst>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="85" zoomScaleSheetLayoutView="85" workbookViewId="0">
      <selection activeCell="C10" sqref="C10"/>
    </sheetView>
  </sheetViews>
  <sheetFormatPr defaultColWidth="9.140625" defaultRowHeight="24.75" customHeight="1" x14ac:dyDescent="0.25"/>
  <cols>
    <col min="1" max="1" width="8.140625" style="1" customWidth="1"/>
    <col min="2" max="2" width="32.28515625" style="1" customWidth="1"/>
    <col min="3" max="3" width="60.140625" style="1" customWidth="1"/>
    <col min="4" max="16384" width="9.140625" style="1"/>
  </cols>
  <sheetData>
    <row r="1" spans="1:3" ht="24.75" customHeight="1" x14ac:dyDescent="0.25">
      <c r="A1" s="47" t="s">
        <v>0</v>
      </c>
      <c r="B1" s="47"/>
      <c r="C1" s="47"/>
    </row>
    <row r="2" spans="1:3" ht="24.75" customHeight="1" x14ac:dyDescent="0.25">
      <c r="A2" s="47" t="s">
        <v>1</v>
      </c>
      <c r="B2" s="47"/>
      <c r="C2" s="47"/>
    </row>
    <row r="3" spans="1:3" s="3" customFormat="1" ht="24.75" customHeight="1" x14ac:dyDescent="0.25">
      <c r="A3" s="47" t="s">
        <v>2</v>
      </c>
      <c r="B3" s="47"/>
      <c r="C3" s="2" t="s">
        <v>142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4.75" customHeight="1" x14ac:dyDescent="0.25">
      <c r="A5" s="4">
        <v>1</v>
      </c>
      <c r="B5" s="43" t="s">
        <v>6</v>
      </c>
      <c r="C5" s="7" t="s">
        <v>136</v>
      </c>
    </row>
    <row r="6" spans="1:3" ht="24.75" customHeight="1" x14ac:dyDescent="0.25">
      <c r="A6" s="4">
        <v>2</v>
      </c>
      <c r="B6" s="43" t="s">
        <v>7</v>
      </c>
      <c r="C6" s="8" t="s">
        <v>137</v>
      </c>
    </row>
    <row r="7" spans="1:3" ht="24.75" customHeight="1" x14ac:dyDescent="0.25">
      <c r="A7" s="4">
        <v>3</v>
      </c>
      <c r="B7" s="43" t="s">
        <v>8</v>
      </c>
      <c r="C7" s="8" t="s">
        <v>138</v>
      </c>
    </row>
    <row r="8" spans="1:3" ht="24.75" customHeight="1" x14ac:dyDescent="0.25">
      <c r="A8" s="4">
        <v>4</v>
      </c>
      <c r="B8" s="43" t="s">
        <v>9</v>
      </c>
      <c r="C8" s="8">
        <v>7414</v>
      </c>
    </row>
    <row r="9" spans="1:3" ht="24.75" customHeight="1" x14ac:dyDescent="0.25">
      <c r="A9" s="4">
        <v>5</v>
      </c>
      <c r="B9" s="43" t="s">
        <v>10</v>
      </c>
      <c r="C9" s="9">
        <v>13.04003</v>
      </c>
    </row>
    <row r="10" spans="1:3" ht="24.75" customHeight="1" x14ac:dyDescent="0.25">
      <c r="A10" s="4">
        <v>6</v>
      </c>
      <c r="B10" s="43" t="s">
        <v>11</v>
      </c>
      <c r="C10" s="9">
        <v>75.292320000000004</v>
      </c>
    </row>
    <row r="11" spans="1:3" ht="47.25" x14ac:dyDescent="0.25">
      <c r="A11" s="4">
        <v>7</v>
      </c>
      <c r="B11" s="43" t="s">
        <v>12</v>
      </c>
      <c r="C11" s="9" t="s">
        <v>87</v>
      </c>
    </row>
    <row r="12" spans="1:3" ht="31.5" x14ac:dyDescent="0.25">
      <c r="A12" s="4">
        <v>8</v>
      </c>
      <c r="B12" s="43" t="s">
        <v>13</v>
      </c>
      <c r="C12" s="10" t="s">
        <v>77</v>
      </c>
    </row>
    <row r="13" spans="1:3" ht="24.75" customHeight="1" x14ac:dyDescent="0.25">
      <c r="A13" s="48">
        <v>9</v>
      </c>
      <c r="B13" s="49" t="s">
        <v>14</v>
      </c>
      <c r="C13" s="6" t="s">
        <v>134</v>
      </c>
    </row>
    <row r="14" spans="1:3" ht="24.75" customHeight="1" x14ac:dyDescent="0.25">
      <c r="A14" s="48"/>
      <c r="B14" s="49"/>
      <c r="C14" s="6" t="s">
        <v>78</v>
      </c>
    </row>
    <row r="15" spans="1:3" ht="24.75" customHeight="1" x14ac:dyDescent="0.25">
      <c r="A15" s="48"/>
      <c r="B15" s="49"/>
      <c r="C15" s="6" t="s">
        <v>79</v>
      </c>
    </row>
    <row r="16" spans="1:3" ht="24.75" customHeight="1" x14ac:dyDescent="0.25">
      <c r="A16" s="48"/>
      <c r="B16" s="49"/>
      <c r="C16" s="6" t="s">
        <v>135</v>
      </c>
    </row>
    <row r="17" spans="1:3" ht="24.75" customHeight="1" x14ac:dyDescent="0.25">
      <c r="A17" s="48"/>
      <c r="B17" s="49"/>
      <c r="C17" s="6" t="s">
        <v>80</v>
      </c>
    </row>
    <row r="18" spans="1:3" ht="31.5" x14ac:dyDescent="0.25">
      <c r="A18" s="48"/>
      <c r="B18" s="49"/>
      <c r="C18" s="6" t="s">
        <v>81</v>
      </c>
    </row>
    <row r="19" spans="1:3" ht="24.75" customHeight="1" x14ac:dyDescent="0.25">
      <c r="A19" s="48"/>
      <c r="B19" s="49"/>
      <c r="C19" s="6" t="s">
        <v>82</v>
      </c>
    </row>
    <row r="20" spans="1:3" ht="24.75" customHeight="1" x14ac:dyDescent="0.25">
      <c r="A20" s="48"/>
      <c r="B20" s="49"/>
      <c r="C20" s="6" t="s">
        <v>83</v>
      </c>
    </row>
    <row r="21" spans="1:3" ht="24.75" customHeight="1" x14ac:dyDescent="0.25">
      <c r="A21" s="48"/>
      <c r="B21" s="49"/>
      <c r="C21" s="6" t="s">
        <v>84</v>
      </c>
    </row>
    <row r="22" spans="1:3" ht="31.5" x14ac:dyDescent="0.25">
      <c r="A22" s="48"/>
      <c r="B22" s="49"/>
      <c r="C22" s="6" t="s">
        <v>85</v>
      </c>
    </row>
    <row r="23" spans="1:3" ht="24.75" customHeight="1" x14ac:dyDescent="0.25">
      <c r="A23" s="48"/>
      <c r="B23" s="49"/>
      <c r="C23" s="6" t="s">
        <v>86</v>
      </c>
    </row>
    <row r="24" spans="1:3" ht="24.75" customHeight="1" x14ac:dyDescent="0.25">
      <c r="A24" s="48"/>
      <c r="B24" s="49"/>
      <c r="C24" s="6" t="s">
        <v>131</v>
      </c>
    </row>
    <row r="25" spans="1:3" ht="24.75" customHeight="1" x14ac:dyDescent="0.25">
      <c r="A25" s="48"/>
      <c r="B25" s="49"/>
      <c r="C25" s="6" t="s">
        <v>132</v>
      </c>
    </row>
    <row r="26" spans="1:3" ht="24.75" customHeight="1" x14ac:dyDescent="0.25">
      <c r="A26" s="4">
        <v>10</v>
      </c>
      <c r="B26" s="43" t="s">
        <v>15</v>
      </c>
      <c r="C26" s="6" t="s">
        <v>133</v>
      </c>
    </row>
    <row r="27" spans="1:3" ht="24.75" customHeight="1" x14ac:dyDescent="0.25">
      <c r="A27" s="4">
        <v>11</v>
      </c>
      <c r="B27" s="43" t="s">
        <v>16</v>
      </c>
      <c r="C27" s="6" t="s">
        <v>133</v>
      </c>
    </row>
    <row r="28" spans="1:3" ht="24.75" customHeight="1" x14ac:dyDescent="0.25">
      <c r="A28" s="14"/>
    </row>
    <row r="29" spans="1:3" ht="24.75" customHeight="1" x14ac:dyDescent="0.25">
      <c r="A29" s="15"/>
    </row>
    <row r="30" spans="1:3" ht="24.75" customHeight="1" x14ac:dyDescent="0.25">
      <c r="A30" s="16"/>
    </row>
    <row r="31" spans="1:3" ht="24.75" customHeight="1" x14ac:dyDescent="0.25">
      <c r="A31" s="16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46" spans="1:1" ht="24.75" customHeight="1" x14ac:dyDescent="0.25">
      <c r="A46" s="16"/>
    </row>
    <row r="47" spans="1:1" ht="24.75" customHeight="1" x14ac:dyDescent="0.25">
      <c r="A4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5"/>
    </row>
    <row r="63" spans="1:1" ht="24.75" customHeight="1" x14ac:dyDescent="0.25">
      <c r="A63" s="16"/>
    </row>
    <row r="71" spans="1:1" ht="24.75" customHeight="1" x14ac:dyDescent="0.25">
      <c r="A71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4" bestFit="1" customWidth="1"/>
    <col min="2" max="2" width="41.5703125" style="14" bestFit="1" customWidth="1"/>
    <col min="3" max="3" width="48" style="14" customWidth="1"/>
    <col min="4" max="16384" width="9.140625" style="14"/>
  </cols>
  <sheetData>
    <row r="1" spans="1:3" ht="25.5" customHeight="1" x14ac:dyDescent="0.25">
      <c r="A1" s="50" t="s">
        <v>17</v>
      </c>
      <c r="B1" s="50"/>
      <c r="C1" s="50"/>
    </row>
    <row r="2" spans="1:3" ht="25.5" customHeight="1" x14ac:dyDescent="0.25">
      <c r="A2" s="50" t="s">
        <v>18</v>
      </c>
      <c r="B2" s="50"/>
      <c r="C2" s="50"/>
    </row>
    <row r="3" spans="1:3" s="15" customFormat="1" ht="25.5" customHeight="1" x14ac:dyDescent="0.25">
      <c r="A3" s="50" t="s">
        <v>2</v>
      </c>
      <c r="B3" s="50"/>
      <c r="C3" s="17" t="s">
        <v>142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24.75" customHeight="1" x14ac:dyDescent="0.25">
      <c r="A5" s="11">
        <v>1</v>
      </c>
      <c r="B5" s="44" t="s">
        <v>6</v>
      </c>
      <c r="C5" s="20" t="str">
        <f>'Form 1'!C5</f>
        <v>Belthangady</v>
      </c>
    </row>
    <row r="6" spans="1:3" ht="24.75" customHeight="1" x14ac:dyDescent="0.25">
      <c r="A6" s="11">
        <v>2</v>
      </c>
      <c r="B6" s="44" t="s">
        <v>72</v>
      </c>
      <c r="C6" s="20"/>
    </row>
    <row r="7" spans="1:3" ht="24.75" customHeight="1" x14ac:dyDescent="0.25">
      <c r="A7" s="11">
        <v>3</v>
      </c>
      <c r="B7" s="44" t="s">
        <v>69</v>
      </c>
      <c r="C7" s="20" t="str">
        <f>'Form 1'!C6</f>
        <v xml:space="preserve">Naravi aranya vistarana kshetra </v>
      </c>
    </row>
    <row r="8" spans="1:3" ht="24.75" customHeight="1" x14ac:dyDescent="0.25">
      <c r="A8" s="11">
        <v>4</v>
      </c>
      <c r="B8" s="44" t="s">
        <v>9</v>
      </c>
      <c r="C8" s="20">
        <f>'Form 1'!C8</f>
        <v>7414</v>
      </c>
    </row>
    <row r="9" spans="1:3" ht="24.75" customHeight="1" x14ac:dyDescent="0.25">
      <c r="A9" s="11">
        <v>5</v>
      </c>
      <c r="B9" s="44" t="s">
        <v>20</v>
      </c>
      <c r="C9" s="21">
        <f>'Form 1'!C9</f>
        <v>13.04003</v>
      </c>
    </row>
    <row r="10" spans="1:3" ht="24.75" customHeight="1" x14ac:dyDescent="0.25">
      <c r="A10" s="11">
        <v>6</v>
      </c>
      <c r="B10" s="44" t="s">
        <v>21</v>
      </c>
      <c r="C10" s="21">
        <f>'Form 1'!C10</f>
        <v>75.292320000000004</v>
      </c>
    </row>
    <row r="11" spans="1:3" ht="24.75" customHeight="1" x14ac:dyDescent="0.25">
      <c r="A11" s="11">
        <v>7</v>
      </c>
      <c r="B11" s="44" t="s">
        <v>22</v>
      </c>
      <c r="C11" s="20" t="s">
        <v>88</v>
      </c>
    </row>
    <row r="12" spans="1:3" ht="31.5" x14ac:dyDescent="0.25">
      <c r="A12" s="11">
        <v>8</v>
      </c>
      <c r="B12" s="44" t="s">
        <v>23</v>
      </c>
      <c r="C12" s="20" t="s">
        <v>89</v>
      </c>
    </row>
    <row r="13" spans="1:3" ht="24.75" customHeight="1" x14ac:dyDescent="0.25">
      <c r="A13" s="11">
        <v>9</v>
      </c>
      <c r="B13" s="44" t="s">
        <v>24</v>
      </c>
      <c r="C13" s="20" t="s">
        <v>90</v>
      </c>
    </row>
    <row r="14" spans="1:3" ht="31.5" x14ac:dyDescent="0.25">
      <c r="A14" s="11">
        <v>10</v>
      </c>
      <c r="B14" s="44" t="s">
        <v>25</v>
      </c>
      <c r="C14" s="20" t="s">
        <v>91</v>
      </c>
    </row>
    <row r="15" spans="1:3" ht="24.75" customHeight="1" x14ac:dyDescent="0.25">
      <c r="A15" s="11">
        <v>11</v>
      </c>
      <c r="B15" s="44" t="s">
        <v>26</v>
      </c>
      <c r="C15" s="22" t="s">
        <v>92</v>
      </c>
    </row>
    <row r="16" spans="1:3" ht="31.5" x14ac:dyDescent="0.25">
      <c r="A16" s="11">
        <v>12</v>
      </c>
      <c r="B16" s="44" t="s">
        <v>27</v>
      </c>
      <c r="C16" s="22" t="s">
        <v>93</v>
      </c>
    </row>
    <row r="17" spans="1:3" ht="31.5" x14ac:dyDescent="0.25">
      <c r="A17" s="11">
        <v>13</v>
      </c>
      <c r="B17" s="44" t="s">
        <v>28</v>
      </c>
      <c r="C17" s="22" t="s">
        <v>29</v>
      </c>
    </row>
    <row r="18" spans="1:3" ht="24.75" customHeight="1" x14ac:dyDescent="0.25">
      <c r="A18" s="51">
        <v>14</v>
      </c>
      <c r="B18" s="52" t="s">
        <v>30</v>
      </c>
      <c r="C18" s="22" t="s">
        <v>94</v>
      </c>
    </row>
    <row r="19" spans="1:3" ht="24.75" customHeight="1" x14ac:dyDescent="0.25">
      <c r="A19" s="51"/>
      <c r="B19" s="52"/>
      <c r="C19" s="22" t="s">
        <v>139</v>
      </c>
    </row>
    <row r="20" spans="1:3" ht="24.75" customHeight="1" x14ac:dyDescent="0.25">
      <c r="A20" s="51"/>
      <c r="B20" s="52"/>
      <c r="C20" s="23" t="s">
        <v>95</v>
      </c>
    </row>
    <row r="21" spans="1:3" ht="24.75" customHeight="1" x14ac:dyDescent="0.25">
      <c r="A21" s="11">
        <v>15</v>
      </c>
      <c r="B21" s="44" t="s">
        <v>31</v>
      </c>
      <c r="C21" s="22" t="s">
        <v>96</v>
      </c>
    </row>
    <row r="22" spans="1:3" ht="31.5" x14ac:dyDescent="0.25">
      <c r="A22" s="11">
        <v>16</v>
      </c>
      <c r="B22" s="44" t="s">
        <v>32</v>
      </c>
      <c r="C22" s="22" t="s">
        <v>97</v>
      </c>
    </row>
    <row r="23" spans="1:3" ht="24.75" customHeight="1" x14ac:dyDescent="0.25">
      <c r="A23" s="11">
        <v>17</v>
      </c>
      <c r="B23" s="44" t="s">
        <v>70</v>
      </c>
      <c r="C23" s="22" t="s">
        <v>98</v>
      </c>
    </row>
    <row r="24" spans="1:3" ht="31.5" x14ac:dyDescent="0.25">
      <c r="A24" s="11">
        <v>18</v>
      </c>
      <c r="B24" s="44" t="s">
        <v>33</v>
      </c>
      <c r="C24" s="22" t="s">
        <v>99</v>
      </c>
    </row>
    <row r="25" spans="1:3" ht="24.75" customHeight="1" x14ac:dyDescent="0.25">
      <c r="A25" s="11">
        <v>19</v>
      </c>
      <c r="B25" s="44" t="s">
        <v>34</v>
      </c>
      <c r="C25" s="22" t="s">
        <v>100</v>
      </c>
    </row>
    <row r="26" spans="1:3" ht="24.75" customHeight="1" x14ac:dyDescent="0.25">
      <c r="A26" s="11">
        <v>20</v>
      </c>
      <c r="B26" s="44" t="s">
        <v>35</v>
      </c>
      <c r="C26" s="23" t="s">
        <v>101</v>
      </c>
    </row>
    <row r="27" spans="1:3" ht="24.75" customHeight="1" x14ac:dyDescent="0.25">
      <c r="A27" s="11">
        <v>21</v>
      </c>
      <c r="B27" s="44" t="s">
        <v>36</v>
      </c>
      <c r="C27" s="22" t="s">
        <v>102</v>
      </c>
    </row>
    <row r="28" spans="1:3" ht="24.75" customHeight="1" x14ac:dyDescent="0.25">
      <c r="A28" s="11">
        <v>22</v>
      </c>
      <c r="B28" s="44" t="s">
        <v>37</v>
      </c>
      <c r="C28" s="22" t="s">
        <v>103</v>
      </c>
    </row>
    <row r="29" spans="1:3" ht="24.75" customHeight="1" x14ac:dyDescent="0.25">
      <c r="A29" s="11">
        <v>23</v>
      </c>
      <c r="B29" s="44" t="s">
        <v>38</v>
      </c>
      <c r="C29" s="22" t="s">
        <v>103</v>
      </c>
    </row>
    <row r="30" spans="1:3" ht="24.75" customHeight="1" x14ac:dyDescent="0.25">
      <c r="A30" s="11">
        <v>24</v>
      </c>
      <c r="B30" s="44" t="s">
        <v>39</v>
      </c>
      <c r="C30" s="22" t="s">
        <v>133</v>
      </c>
    </row>
    <row r="31" spans="1:3" ht="24.75" customHeight="1" x14ac:dyDescent="0.25">
      <c r="A31" s="11">
        <v>25</v>
      </c>
      <c r="B31" s="44" t="s">
        <v>40</v>
      </c>
      <c r="C31" s="22" t="s">
        <v>133</v>
      </c>
    </row>
    <row r="32" spans="1:3" ht="24.75" customHeight="1" x14ac:dyDescent="0.25">
      <c r="A32" s="11">
        <v>26</v>
      </c>
      <c r="B32" s="44" t="s">
        <v>41</v>
      </c>
      <c r="C32" s="22" t="s">
        <v>133</v>
      </c>
    </row>
    <row r="33" spans="1:3" ht="24.75" customHeight="1" x14ac:dyDescent="0.25">
      <c r="A33" s="11">
        <v>27</v>
      </c>
      <c r="B33" s="44" t="s">
        <v>42</v>
      </c>
      <c r="C33" s="20" t="s">
        <v>166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D5EA-4BA0-48CF-AA3C-F673BDE6923F}">
  <dimension ref="A1:I58"/>
  <sheetViews>
    <sheetView workbookViewId="0">
      <selection activeCell="J12" sqref="J12"/>
    </sheetView>
  </sheetViews>
  <sheetFormatPr defaultRowHeight="15" x14ac:dyDescent="0.25"/>
  <cols>
    <col min="2" max="2" width="24.42578125" bestFit="1" customWidth="1"/>
  </cols>
  <sheetData>
    <row r="1" spans="1:9" s="66" customFormat="1" ht="15.6" customHeight="1" x14ac:dyDescent="0.25">
      <c r="A1" s="65" t="s">
        <v>73</v>
      </c>
      <c r="B1" s="65"/>
      <c r="C1" s="65"/>
      <c r="D1" s="65"/>
      <c r="E1" s="65"/>
      <c r="F1" s="65"/>
      <c r="G1" s="65"/>
      <c r="H1" s="65"/>
      <c r="I1" s="65"/>
    </row>
    <row r="2" spans="1:9" s="66" customFormat="1" ht="15.6" customHeight="1" x14ac:dyDescent="0.25">
      <c r="A2" s="65" t="s">
        <v>167</v>
      </c>
      <c r="B2" s="65"/>
      <c r="C2" s="65"/>
      <c r="D2" s="65"/>
      <c r="E2" s="65"/>
      <c r="F2" s="65"/>
      <c r="G2" s="65"/>
      <c r="H2" s="65"/>
      <c r="I2" s="65"/>
    </row>
    <row r="3" spans="1:9" s="66" customFormat="1" ht="15.6" customHeight="1" x14ac:dyDescent="0.25">
      <c r="A3" s="65" t="s">
        <v>168</v>
      </c>
      <c r="B3" s="65"/>
      <c r="C3" s="65"/>
      <c r="D3" s="65"/>
      <c r="E3" s="65"/>
      <c r="F3" s="65"/>
      <c r="G3" s="65"/>
      <c r="H3" s="65"/>
      <c r="I3" s="65"/>
    </row>
    <row r="4" spans="1:9" s="66" customFormat="1" ht="15.6" customHeight="1" x14ac:dyDescent="0.25">
      <c r="A4" s="67"/>
      <c r="B4" s="67"/>
      <c r="C4" s="67"/>
      <c r="D4" s="67"/>
      <c r="E4" s="67"/>
      <c r="F4" s="67"/>
      <c r="G4" s="67"/>
      <c r="H4" s="67"/>
      <c r="I4" s="67"/>
    </row>
    <row r="5" spans="1:9" s="71" customFormat="1" ht="33" customHeight="1" x14ac:dyDescent="0.25">
      <c r="A5" s="68" t="s">
        <v>178</v>
      </c>
      <c r="B5" s="69"/>
      <c r="C5" s="70"/>
      <c r="D5" s="68" t="s">
        <v>177</v>
      </c>
      <c r="E5" s="69"/>
      <c r="F5" s="69"/>
      <c r="G5" s="70"/>
      <c r="H5" s="68" t="s">
        <v>169</v>
      </c>
      <c r="I5" s="70"/>
    </row>
    <row r="6" spans="1:9" s="71" customFormat="1" ht="33" customHeight="1" x14ac:dyDescent="0.25">
      <c r="A6" s="68" t="s">
        <v>170</v>
      </c>
      <c r="B6" s="69"/>
      <c r="C6" s="70"/>
      <c r="D6" s="68" t="s">
        <v>171</v>
      </c>
      <c r="E6" s="69"/>
      <c r="F6" s="69"/>
      <c r="G6" s="70"/>
      <c r="H6" s="68" t="s">
        <v>182</v>
      </c>
      <c r="I6" s="70"/>
    </row>
    <row r="7" spans="1:9" s="71" customFormat="1" ht="33" customHeight="1" x14ac:dyDescent="0.25">
      <c r="A7" s="68" t="s">
        <v>180</v>
      </c>
      <c r="B7" s="69"/>
      <c r="C7" s="70"/>
      <c r="D7" s="68" t="s">
        <v>181</v>
      </c>
      <c r="E7" s="69"/>
      <c r="F7" s="69"/>
      <c r="G7" s="70"/>
      <c r="H7" s="68" t="s">
        <v>179</v>
      </c>
      <c r="I7" s="70"/>
    </row>
    <row r="8" spans="1:9" s="66" customFormat="1" ht="15.6" customHeight="1" x14ac:dyDescent="0.25">
      <c r="A8" s="19"/>
      <c r="B8" s="72"/>
      <c r="C8" s="19"/>
      <c r="D8" s="19"/>
      <c r="E8" s="19"/>
      <c r="F8" s="19"/>
      <c r="G8" s="19"/>
      <c r="H8" s="19"/>
      <c r="I8" s="19"/>
    </row>
    <row r="9" spans="1:9" s="66" customFormat="1" ht="15.75" x14ac:dyDescent="0.25">
      <c r="A9" s="48" t="s">
        <v>46</v>
      </c>
      <c r="B9" s="48" t="s">
        <v>47</v>
      </c>
      <c r="C9" s="48" t="s">
        <v>48</v>
      </c>
      <c r="D9" s="48" t="s">
        <v>172</v>
      </c>
      <c r="E9" s="48" t="s">
        <v>173</v>
      </c>
      <c r="F9" s="48" t="s">
        <v>174</v>
      </c>
      <c r="G9" s="48" t="s">
        <v>51</v>
      </c>
      <c r="H9" s="48"/>
      <c r="I9" s="48" t="s">
        <v>175</v>
      </c>
    </row>
    <row r="10" spans="1:9" s="66" customFormat="1" ht="63" x14ac:dyDescent="0.25">
      <c r="A10" s="48"/>
      <c r="B10" s="48"/>
      <c r="C10" s="48"/>
      <c r="D10" s="48"/>
      <c r="E10" s="48"/>
      <c r="F10" s="48"/>
      <c r="G10" s="45" t="s">
        <v>176</v>
      </c>
      <c r="H10" s="45" t="s">
        <v>54</v>
      </c>
      <c r="I10" s="48"/>
    </row>
    <row r="11" spans="1:9" ht="15.75" x14ac:dyDescent="0.25">
      <c r="A11" s="73">
        <v>1</v>
      </c>
      <c r="B11" s="46" t="s">
        <v>104</v>
      </c>
      <c r="C11" s="73"/>
      <c r="D11" s="46">
        <v>85</v>
      </c>
      <c r="E11" s="73"/>
      <c r="F11" s="73">
        <v>10</v>
      </c>
      <c r="G11" s="73"/>
      <c r="H11" s="73"/>
      <c r="I11" s="73"/>
    </row>
    <row r="12" spans="1:9" ht="15.75" x14ac:dyDescent="0.25">
      <c r="A12" s="73">
        <v>2</v>
      </c>
      <c r="B12" s="46" t="s">
        <v>104</v>
      </c>
      <c r="C12" s="73"/>
      <c r="D12" s="46">
        <v>52</v>
      </c>
      <c r="E12" s="73"/>
      <c r="F12" s="73">
        <v>6</v>
      </c>
      <c r="G12" s="73"/>
      <c r="H12" s="73"/>
      <c r="I12" s="73"/>
    </row>
    <row r="13" spans="1:9" ht="15.75" x14ac:dyDescent="0.25">
      <c r="A13" s="73">
        <v>3</v>
      </c>
      <c r="B13" s="46" t="s">
        <v>105</v>
      </c>
      <c r="C13" s="73"/>
      <c r="D13" s="46">
        <v>51</v>
      </c>
      <c r="E13" s="73"/>
      <c r="F13" s="73">
        <v>7.3</v>
      </c>
      <c r="G13" s="73"/>
      <c r="H13" s="73"/>
      <c r="I13" s="73"/>
    </row>
    <row r="14" spans="1:9" ht="15.75" x14ac:dyDescent="0.25">
      <c r="A14" s="73">
        <v>4</v>
      </c>
      <c r="B14" s="46" t="s">
        <v>104</v>
      </c>
      <c r="C14" s="73"/>
      <c r="D14" s="46">
        <v>63</v>
      </c>
      <c r="E14" s="73"/>
      <c r="F14" s="73">
        <v>6.5</v>
      </c>
      <c r="G14" s="73"/>
      <c r="H14" s="73"/>
      <c r="I14" s="73"/>
    </row>
    <row r="15" spans="1:9" ht="15.75" x14ac:dyDescent="0.25">
      <c r="A15" s="73">
        <v>5</v>
      </c>
      <c r="B15" s="46" t="s">
        <v>106</v>
      </c>
      <c r="C15" s="73"/>
      <c r="D15" s="46">
        <v>48</v>
      </c>
      <c r="E15" s="73"/>
      <c r="F15" s="73">
        <v>10</v>
      </c>
      <c r="G15" s="73"/>
      <c r="H15" s="73"/>
      <c r="I15" s="73"/>
    </row>
    <row r="16" spans="1:9" ht="15.75" x14ac:dyDescent="0.25">
      <c r="A16" s="73">
        <v>6</v>
      </c>
      <c r="B16" s="46" t="s">
        <v>106</v>
      </c>
      <c r="C16" s="73"/>
      <c r="D16" s="46">
        <v>43</v>
      </c>
      <c r="E16" s="73"/>
      <c r="F16" s="73">
        <v>9.5</v>
      </c>
      <c r="G16" s="73"/>
      <c r="H16" s="73"/>
      <c r="I16" s="73"/>
    </row>
    <row r="17" spans="1:9" ht="15.75" x14ac:dyDescent="0.25">
      <c r="A17" s="73">
        <v>7</v>
      </c>
      <c r="B17" s="46" t="s">
        <v>106</v>
      </c>
      <c r="C17" s="73"/>
      <c r="D17" s="46">
        <v>73</v>
      </c>
      <c r="E17" s="73"/>
      <c r="F17" s="73">
        <v>11</v>
      </c>
      <c r="G17" s="73"/>
      <c r="H17" s="73"/>
      <c r="I17" s="73"/>
    </row>
    <row r="18" spans="1:9" ht="15.75" x14ac:dyDescent="0.25">
      <c r="A18" s="73">
        <v>8</v>
      </c>
      <c r="B18" s="46" t="s">
        <v>106</v>
      </c>
      <c r="C18" s="73"/>
      <c r="D18" s="46">
        <v>61</v>
      </c>
      <c r="E18" s="73"/>
      <c r="F18" s="73">
        <v>10.5</v>
      </c>
      <c r="G18" s="73"/>
      <c r="H18" s="73"/>
      <c r="I18" s="73"/>
    </row>
    <row r="19" spans="1:9" ht="15.75" x14ac:dyDescent="0.25">
      <c r="A19" s="73">
        <v>9</v>
      </c>
      <c r="B19" s="46" t="s">
        <v>104</v>
      </c>
      <c r="C19" s="73"/>
      <c r="D19" s="46">
        <v>43</v>
      </c>
      <c r="E19" s="73"/>
      <c r="F19" s="73">
        <v>9</v>
      </c>
      <c r="G19" s="73"/>
      <c r="H19" s="73"/>
      <c r="I19" s="73"/>
    </row>
    <row r="20" spans="1:9" ht="15.75" x14ac:dyDescent="0.25">
      <c r="A20" s="73">
        <v>10</v>
      </c>
      <c r="B20" s="46" t="s">
        <v>104</v>
      </c>
      <c r="C20" s="73"/>
      <c r="D20" s="46">
        <v>70</v>
      </c>
      <c r="E20" s="73"/>
      <c r="F20" s="73">
        <v>8</v>
      </c>
      <c r="G20" s="73"/>
      <c r="H20" s="73"/>
      <c r="I20" s="73"/>
    </row>
    <row r="21" spans="1:9" ht="15.75" x14ac:dyDescent="0.25">
      <c r="A21" s="73">
        <v>11</v>
      </c>
      <c r="B21" s="46" t="s">
        <v>104</v>
      </c>
      <c r="C21" s="73"/>
      <c r="D21" s="46">
        <v>86</v>
      </c>
      <c r="E21" s="73"/>
      <c r="F21" s="73">
        <v>6</v>
      </c>
      <c r="G21" s="73"/>
      <c r="H21" s="73"/>
      <c r="I21" s="73"/>
    </row>
    <row r="22" spans="1:9" ht="15.75" x14ac:dyDescent="0.25">
      <c r="A22" s="73">
        <v>12</v>
      </c>
      <c r="B22" s="46" t="s">
        <v>107</v>
      </c>
      <c r="C22" s="73"/>
      <c r="D22" s="46">
        <v>39</v>
      </c>
      <c r="E22" s="73"/>
      <c r="F22" s="73">
        <v>5.5</v>
      </c>
      <c r="G22" s="73"/>
      <c r="H22" s="73"/>
      <c r="I22" s="73"/>
    </row>
    <row r="23" spans="1:9" ht="15.75" x14ac:dyDescent="0.25">
      <c r="A23" s="73">
        <v>13</v>
      </c>
      <c r="B23" s="46" t="s">
        <v>107</v>
      </c>
      <c r="C23" s="73"/>
      <c r="D23" s="46">
        <v>52</v>
      </c>
      <c r="E23" s="73"/>
      <c r="F23" s="73">
        <v>8.5</v>
      </c>
      <c r="G23" s="73"/>
      <c r="H23" s="73"/>
      <c r="I23" s="73"/>
    </row>
    <row r="24" spans="1:9" ht="15.75" x14ac:dyDescent="0.25">
      <c r="A24" s="73">
        <v>14</v>
      </c>
      <c r="B24" s="46" t="s">
        <v>104</v>
      </c>
      <c r="C24" s="73"/>
      <c r="D24" s="46">
        <v>88</v>
      </c>
      <c r="E24" s="73"/>
      <c r="F24" s="73">
        <v>9.5</v>
      </c>
      <c r="G24" s="73"/>
      <c r="H24" s="73"/>
      <c r="I24" s="73"/>
    </row>
    <row r="25" spans="1:9" ht="15.75" x14ac:dyDescent="0.25">
      <c r="A25" s="73">
        <v>15</v>
      </c>
      <c r="B25" s="46" t="s">
        <v>108</v>
      </c>
      <c r="C25" s="73"/>
      <c r="D25" s="46">
        <v>42</v>
      </c>
      <c r="E25" s="73"/>
      <c r="F25" s="73">
        <v>8.5</v>
      </c>
      <c r="G25" s="73"/>
      <c r="H25" s="73"/>
      <c r="I25" s="73"/>
    </row>
    <row r="26" spans="1:9" ht="15.75" x14ac:dyDescent="0.25">
      <c r="A26" s="73">
        <v>16</v>
      </c>
      <c r="B26" s="46" t="s">
        <v>104</v>
      </c>
      <c r="C26" s="73"/>
      <c r="D26" s="46">
        <v>74</v>
      </c>
      <c r="E26" s="73"/>
      <c r="F26" s="73">
        <v>10</v>
      </c>
      <c r="G26" s="73"/>
      <c r="H26" s="73"/>
      <c r="I26" s="73"/>
    </row>
    <row r="27" spans="1:9" ht="15.75" x14ac:dyDescent="0.25">
      <c r="A27" s="73">
        <v>17</v>
      </c>
      <c r="B27" s="46" t="s">
        <v>109</v>
      </c>
      <c r="C27" s="73"/>
      <c r="D27" s="46">
        <v>38</v>
      </c>
      <c r="E27" s="73"/>
      <c r="F27" s="73">
        <v>10.5</v>
      </c>
      <c r="G27" s="73"/>
      <c r="H27" s="73"/>
      <c r="I27" s="73"/>
    </row>
    <row r="28" spans="1:9" ht="15.75" x14ac:dyDescent="0.25">
      <c r="A28" s="73">
        <v>18</v>
      </c>
      <c r="B28" s="46" t="s">
        <v>110</v>
      </c>
      <c r="C28" s="73"/>
      <c r="D28" s="46">
        <v>109</v>
      </c>
      <c r="E28" s="73"/>
      <c r="F28" s="73">
        <v>15</v>
      </c>
      <c r="G28" s="73"/>
      <c r="H28" s="73"/>
      <c r="I28" s="73"/>
    </row>
    <row r="29" spans="1:9" ht="15.75" x14ac:dyDescent="0.25">
      <c r="A29" s="73">
        <v>19</v>
      </c>
      <c r="B29" s="46" t="s">
        <v>109</v>
      </c>
      <c r="C29" s="73"/>
      <c r="D29" s="46">
        <v>85</v>
      </c>
      <c r="E29" s="73"/>
      <c r="F29" s="73">
        <v>13</v>
      </c>
      <c r="G29" s="73"/>
      <c r="H29" s="73"/>
      <c r="I29" s="73"/>
    </row>
    <row r="30" spans="1:9" ht="15.75" x14ac:dyDescent="0.25">
      <c r="A30" s="73">
        <v>20</v>
      </c>
      <c r="B30" s="46" t="s">
        <v>104</v>
      </c>
      <c r="C30" s="73"/>
      <c r="D30" s="46">
        <v>38</v>
      </c>
      <c r="E30" s="73"/>
      <c r="F30" s="73">
        <v>8.5</v>
      </c>
      <c r="G30" s="73"/>
      <c r="H30" s="73"/>
      <c r="I30" s="73"/>
    </row>
    <row r="31" spans="1:9" ht="15.75" x14ac:dyDescent="0.25">
      <c r="A31" s="73">
        <v>21</v>
      </c>
      <c r="B31" s="46" t="s">
        <v>104</v>
      </c>
      <c r="C31" s="73"/>
      <c r="D31" s="46">
        <v>33</v>
      </c>
      <c r="E31" s="73"/>
      <c r="F31" s="73">
        <v>4</v>
      </c>
      <c r="G31" s="73"/>
      <c r="H31" s="73"/>
      <c r="I31" s="73"/>
    </row>
    <row r="32" spans="1:9" ht="15.75" x14ac:dyDescent="0.25">
      <c r="A32" s="73">
        <v>22</v>
      </c>
      <c r="B32" s="46" t="s">
        <v>76</v>
      </c>
      <c r="C32" s="73"/>
      <c r="D32" s="46">
        <v>73</v>
      </c>
      <c r="E32" s="73"/>
      <c r="F32" s="73">
        <v>12</v>
      </c>
      <c r="G32" s="73"/>
      <c r="H32" s="73"/>
      <c r="I32" s="73"/>
    </row>
    <row r="33" spans="1:9" ht="15.75" x14ac:dyDescent="0.25">
      <c r="A33" s="73">
        <v>23</v>
      </c>
      <c r="B33" s="46" t="s">
        <v>111</v>
      </c>
      <c r="C33" s="73"/>
      <c r="D33" s="46">
        <v>61</v>
      </c>
      <c r="E33" s="73"/>
      <c r="F33" s="73">
        <v>8.5</v>
      </c>
      <c r="G33" s="73"/>
      <c r="H33" s="73"/>
      <c r="I33" s="73"/>
    </row>
    <row r="34" spans="1:9" ht="15.75" x14ac:dyDescent="0.25">
      <c r="A34" s="73">
        <v>24</v>
      </c>
      <c r="B34" s="46" t="s">
        <v>104</v>
      </c>
      <c r="C34" s="73"/>
      <c r="D34" s="46">
        <v>43</v>
      </c>
      <c r="E34" s="73"/>
      <c r="F34" s="73">
        <v>8.5</v>
      </c>
      <c r="G34" s="73"/>
      <c r="H34" s="73"/>
      <c r="I34" s="73"/>
    </row>
    <row r="35" spans="1:9" ht="15.75" x14ac:dyDescent="0.25">
      <c r="A35" s="73">
        <v>25</v>
      </c>
      <c r="B35" s="46" t="s">
        <v>76</v>
      </c>
      <c r="C35" s="73"/>
      <c r="D35" s="46">
        <v>41</v>
      </c>
      <c r="E35" s="73"/>
      <c r="F35" s="73">
        <v>13</v>
      </c>
      <c r="G35" s="73"/>
      <c r="H35" s="73"/>
      <c r="I35" s="73"/>
    </row>
    <row r="36" spans="1:9" ht="15.75" x14ac:dyDescent="0.25">
      <c r="A36" s="73">
        <v>26</v>
      </c>
      <c r="B36" s="46" t="s">
        <v>76</v>
      </c>
      <c r="C36" s="73"/>
      <c r="D36" s="46">
        <v>56</v>
      </c>
      <c r="E36" s="73"/>
      <c r="F36" s="73">
        <v>12</v>
      </c>
      <c r="G36" s="73"/>
      <c r="H36" s="73"/>
      <c r="I36" s="73"/>
    </row>
    <row r="37" spans="1:9" ht="15.75" x14ac:dyDescent="0.25">
      <c r="A37" s="73">
        <v>27</v>
      </c>
      <c r="B37" s="46" t="s">
        <v>104</v>
      </c>
      <c r="C37" s="73"/>
      <c r="D37" s="46">
        <v>102</v>
      </c>
      <c r="E37" s="73"/>
      <c r="F37" s="73">
        <v>12</v>
      </c>
      <c r="G37" s="73"/>
      <c r="H37" s="73"/>
      <c r="I37" s="73"/>
    </row>
    <row r="38" spans="1:9" ht="15.75" x14ac:dyDescent="0.25">
      <c r="A38" s="73">
        <v>28</v>
      </c>
      <c r="B38" s="46" t="s">
        <v>104</v>
      </c>
      <c r="C38" s="73"/>
      <c r="D38" s="46">
        <v>48</v>
      </c>
      <c r="E38" s="73"/>
      <c r="F38" s="73">
        <v>9</v>
      </c>
      <c r="G38" s="73"/>
      <c r="H38" s="73"/>
      <c r="I38" s="73"/>
    </row>
    <row r="39" spans="1:9" ht="15.75" x14ac:dyDescent="0.25">
      <c r="A39" s="73">
        <v>29</v>
      </c>
      <c r="B39" s="46" t="s">
        <v>104</v>
      </c>
      <c r="C39" s="73"/>
      <c r="D39" s="46">
        <v>85</v>
      </c>
      <c r="E39" s="73"/>
      <c r="F39" s="73">
        <v>8.5</v>
      </c>
      <c r="G39" s="73"/>
      <c r="H39" s="73"/>
      <c r="I39" s="73"/>
    </row>
    <row r="40" spans="1:9" ht="15.75" x14ac:dyDescent="0.25">
      <c r="A40" s="73">
        <v>30</v>
      </c>
      <c r="B40" s="46" t="s">
        <v>105</v>
      </c>
      <c r="C40" s="73"/>
      <c r="D40" s="46">
        <v>48</v>
      </c>
      <c r="E40" s="73"/>
      <c r="F40" s="73">
        <v>8</v>
      </c>
      <c r="G40" s="73"/>
      <c r="H40" s="73"/>
      <c r="I40" s="73"/>
    </row>
    <row r="41" spans="1:9" ht="15.75" x14ac:dyDescent="0.25">
      <c r="A41" s="73">
        <v>31</v>
      </c>
      <c r="B41" s="46" t="s">
        <v>76</v>
      </c>
      <c r="C41" s="73"/>
      <c r="D41" s="46">
        <v>62</v>
      </c>
      <c r="E41" s="73"/>
      <c r="F41" s="73">
        <v>11</v>
      </c>
      <c r="G41" s="73"/>
      <c r="H41" s="73"/>
      <c r="I41" s="73"/>
    </row>
    <row r="42" spans="1:9" ht="15.75" x14ac:dyDescent="0.25">
      <c r="A42" s="73">
        <v>32</v>
      </c>
      <c r="B42" s="46" t="s">
        <v>104</v>
      </c>
      <c r="C42" s="73"/>
      <c r="D42" s="46">
        <v>33</v>
      </c>
      <c r="E42" s="73"/>
      <c r="F42" s="73">
        <v>4</v>
      </c>
      <c r="G42" s="73"/>
      <c r="H42" s="73"/>
      <c r="I42" s="73"/>
    </row>
    <row r="43" spans="1:9" ht="15.75" x14ac:dyDescent="0.25">
      <c r="A43" s="73">
        <v>33</v>
      </c>
      <c r="B43" s="46" t="s">
        <v>76</v>
      </c>
      <c r="C43" s="73"/>
      <c r="D43" s="46">
        <v>78</v>
      </c>
      <c r="E43" s="73"/>
      <c r="F43" s="73">
        <v>7.5</v>
      </c>
      <c r="G43" s="73"/>
      <c r="H43" s="73"/>
      <c r="I43" s="73"/>
    </row>
    <row r="44" spans="1:9" ht="15.75" x14ac:dyDescent="0.25">
      <c r="A44" s="73">
        <v>34</v>
      </c>
      <c r="B44" s="46" t="s">
        <v>104</v>
      </c>
      <c r="C44" s="73"/>
      <c r="D44" s="46">
        <v>40</v>
      </c>
      <c r="E44" s="73"/>
      <c r="F44" s="73">
        <v>6.5</v>
      </c>
      <c r="G44" s="73"/>
      <c r="H44" s="73"/>
      <c r="I44" s="73"/>
    </row>
    <row r="45" spans="1:9" ht="15.75" x14ac:dyDescent="0.25">
      <c r="A45" s="73">
        <v>35</v>
      </c>
      <c r="B45" s="46" t="s">
        <v>104</v>
      </c>
      <c r="C45" s="73"/>
      <c r="D45" s="46">
        <v>98</v>
      </c>
      <c r="E45" s="73"/>
      <c r="F45" s="73">
        <v>11</v>
      </c>
      <c r="G45" s="73"/>
      <c r="H45" s="73"/>
      <c r="I45" s="73"/>
    </row>
    <row r="46" spans="1:9" ht="15.75" x14ac:dyDescent="0.25">
      <c r="A46" s="73">
        <v>36</v>
      </c>
      <c r="B46" s="46" t="s">
        <v>104</v>
      </c>
      <c r="C46" s="73"/>
      <c r="D46" s="46">
        <v>81</v>
      </c>
      <c r="E46" s="73"/>
      <c r="F46" s="73">
        <v>9</v>
      </c>
      <c r="G46" s="73"/>
      <c r="H46" s="73"/>
      <c r="I46" s="73"/>
    </row>
    <row r="47" spans="1:9" ht="15.75" x14ac:dyDescent="0.25">
      <c r="A47" s="73">
        <v>37</v>
      </c>
      <c r="B47" s="46" t="s">
        <v>110</v>
      </c>
      <c r="C47" s="73"/>
      <c r="D47" s="46">
        <v>48</v>
      </c>
      <c r="E47" s="73"/>
      <c r="F47" s="73">
        <v>9.5</v>
      </c>
      <c r="G47" s="73"/>
      <c r="H47" s="73"/>
      <c r="I47" s="73"/>
    </row>
    <row r="48" spans="1:9" ht="15.75" x14ac:dyDescent="0.25">
      <c r="A48" s="73">
        <v>38</v>
      </c>
      <c r="B48" s="46" t="s">
        <v>130</v>
      </c>
      <c r="C48" s="73"/>
      <c r="D48" s="46">
        <v>31</v>
      </c>
      <c r="E48" s="73"/>
      <c r="F48" s="73">
        <v>7</v>
      </c>
      <c r="G48" s="73"/>
      <c r="H48" s="73"/>
      <c r="I48" s="73"/>
    </row>
    <row r="49" spans="1:9" ht="15.75" x14ac:dyDescent="0.25">
      <c r="A49" s="73">
        <v>39</v>
      </c>
      <c r="B49" s="46" t="s">
        <v>112</v>
      </c>
      <c r="C49" s="73"/>
      <c r="D49" s="46">
        <v>32</v>
      </c>
      <c r="E49" s="73"/>
      <c r="F49" s="73">
        <v>6</v>
      </c>
      <c r="G49" s="73"/>
      <c r="H49" s="73"/>
      <c r="I49" s="73"/>
    </row>
    <row r="50" spans="1:9" ht="15.75" x14ac:dyDescent="0.25">
      <c r="A50" s="73">
        <v>40</v>
      </c>
      <c r="B50" s="46" t="s">
        <v>104</v>
      </c>
      <c r="C50" s="73"/>
      <c r="D50" s="46">
        <v>36</v>
      </c>
      <c r="E50" s="73"/>
      <c r="F50" s="73">
        <v>5.5</v>
      </c>
      <c r="G50" s="73"/>
      <c r="H50" s="73"/>
      <c r="I50" s="73"/>
    </row>
    <row r="51" spans="1:9" ht="15.75" x14ac:dyDescent="0.25">
      <c r="A51" s="73">
        <v>41</v>
      </c>
      <c r="B51" s="46" t="s">
        <v>104</v>
      </c>
      <c r="C51" s="73"/>
      <c r="D51" s="46">
        <v>31</v>
      </c>
      <c r="E51" s="73"/>
      <c r="F51" s="73">
        <v>5.5</v>
      </c>
      <c r="G51" s="73"/>
      <c r="H51" s="73"/>
      <c r="I51" s="73"/>
    </row>
    <row r="52" spans="1:9" ht="15.75" x14ac:dyDescent="0.25">
      <c r="A52" s="73">
        <v>42</v>
      </c>
      <c r="B52" s="46" t="s">
        <v>110</v>
      </c>
      <c r="C52" s="73"/>
      <c r="D52" s="46">
        <v>94</v>
      </c>
      <c r="E52" s="73"/>
      <c r="F52" s="73">
        <v>11.5</v>
      </c>
      <c r="G52" s="73"/>
      <c r="H52" s="73"/>
      <c r="I52" s="73"/>
    </row>
    <row r="53" spans="1:9" ht="15.75" x14ac:dyDescent="0.25">
      <c r="A53" s="73">
        <v>43</v>
      </c>
      <c r="B53" s="46" t="s">
        <v>76</v>
      </c>
      <c r="C53" s="73"/>
      <c r="D53" s="46">
        <v>44</v>
      </c>
      <c r="E53" s="73"/>
      <c r="F53" s="73">
        <v>8</v>
      </c>
      <c r="G53" s="73"/>
      <c r="H53" s="73"/>
      <c r="I53" s="73"/>
    </row>
    <row r="54" spans="1:9" ht="15.75" x14ac:dyDescent="0.25">
      <c r="A54" s="73">
        <v>44</v>
      </c>
      <c r="B54" s="46" t="s">
        <v>104</v>
      </c>
      <c r="C54" s="73"/>
      <c r="D54" s="46">
        <v>38</v>
      </c>
      <c r="E54" s="73"/>
      <c r="F54" s="73">
        <v>6</v>
      </c>
      <c r="G54" s="73"/>
      <c r="H54" s="73"/>
      <c r="I54" s="73"/>
    </row>
    <row r="55" spans="1:9" ht="15.75" x14ac:dyDescent="0.25">
      <c r="A55" s="73">
        <v>45</v>
      </c>
      <c r="B55" s="46" t="s">
        <v>104</v>
      </c>
      <c r="C55" s="73"/>
      <c r="D55" s="46">
        <v>114</v>
      </c>
      <c r="E55" s="73"/>
      <c r="F55" s="73">
        <v>10</v>
      </c>
      <c r="G55" s="73"/>
      <c r="H55" s="73"/>
      <c r="I55" s="73"/>
    </row>
    <row r="56" spans="1:9" ht="15.75" x14ac:dyDescent="0.25">
      <c r="A56" s="73">
        <v>46</v>
      </c>
      <c r="B56" s="46" t="s">
        <v>104</v>
      </c>
      <c r="C56" s="73"/>
      <c r="D56" s="46">
        <v>83</v>
      </c>
      <c r="E56" s="73"/>
      <c r="F56" s="73">
        <v>11</v>
      </c>
      <c r="G56" s="73"/>
      <c r="H56" s="73"/>
      <c r="I56" s="73"/>
    </row>
    <row r="57" spans="1:9" ht="15.75" x14ac:dyDescent="0.25">
      <c r="A57" s="73">
        <v>47</v>
      </c>
      <c r="B57" s="46" t="s">
        <v>113</v>
      </c>
      <c r="C57" s="73"/>
      <c r="D57" s="46">
        <v>39</v>
      </c>
      <c r="E57" s="73"/>
      <c r="F57" s="73">
        <v>8</v>
      </c>
      <c r="G57" s="73"/>
      <c r="H57" s="73"/>
      <c r="I57" s="73"/>
    </row>
    <row r="58" spans="1:9" ht="15.75" x14ac:dyDescent="0.25">
      <c r="A58" s="73">
        <v>48</v>
      </c>
      <c r="B58" s="46" t="s">
        <v>104</v>
      </c>
      <c r="C58" s="73"/>
      <c r="D58" s="46">
        <v>73</v>
      </c>
      <c r="E58" s="73"/>
      <c r="F58" s="73">
        <v>14</v>
      </c>
      <c r="G58" s="73"/>
      <c r="H58" s="73"/>
      <c r="I58" s="73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24" right="0.17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2FA5-CF88-40FA-B941-46571F675838}">
  <dimension ref="A1:Q9"/>
  <sheetViews>
    <sheetView workbookViewId="0">
      <selection activeCell="D16" sqref="D16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4" customWidth="1"/>
  </cols>
  <sheetData>
    <row r="1" spans="1:17" s="75" customFormat="1" ht="20.25" x14ac:dyDescent="0.25">
      <c r="A1" s="74" t="s">
        <v>183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s="75" customFormat="1" ht="20.25" x14ac:dyDescent="0.25">
      <c r="A2" s="74" t="s">
        <v>184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s="75" customFormat="1" x14ac:dyDescent="0.25">
      <c r="A3" s="76"/>
    </row>
    <row r="4" spans="1:17" s="75" customFormat="1" ht="15.75" thickBot="1" x14ac:dyDescent="0.3">
      <c r="A4" s="76"/>
    </row>
    <row r="5" spans="1:17" s="75" customFormat="1" ht="16.5" thickBot="1" x14ac:dyDescent="0.3">
      <c r="A5" s="77" t="s">
        <v>46</v>
      </c>
      <c r="B5" s="77" t="s">
        <v>47</v>
      </c>
      <c r="C5" s="77" t="s">
        <v>48</v>
      </c>
      <c r="D5" s="77" t="s">
        <v>185</v>
      </c>
      <c r="E5" s="78" t="s">
        <v>186</v>
      </c>
      <c r="F5" s="79"/>
      <c r="G5" s="79"/>
      <c r="H5" s="79"/>
      <c r="I5" s="79"/>
      <c r="J5" s="79"/>
      <c r="K5" s="79"/>
      <c r="L5" s="79"/>
      <c r="M5" s="80"/>
      <c r="N5" s="77" t="s">
        <v>187</v>
      </c>
      <c r="O5" s="78" t="s">
        <v>188</v>
      </c>
      <c r="P5" s="80"/>
      <c r="Q5" s="77" t="s">
        <v>189</v>
      </c>
    </row>
    <row r="6" spans="1:17" s="75" customFormat="1" ht="15.75" x14ac:dyDescent="0.25">
      <c r="A6" s="81"/>
      <c r="B6" s="81"/>
      <c r="C6" s="81"/>
      <c r="D6" s="81"/>
      <c r="E6" s="82" t="s">
        <v>190</v>
      </c>
      <c r="F6" s="83"/>
      <c r="G6" s="84"/>
      <c r="H6" s="82" t="s">
        <v>191</v>
      </c>
      <c r="I6" s="83"/>
      <c r="J6" s="84"/>
      <c r="K6" s="82" t="s">
        <v>192</v>
      </c>
      <c r="L6" s="83"/>
      <c r="M6" s="84"/>
      <c r="N6" s="81"/>
      <c r="O6" s="77" t="s">
        <v>193</v>
      </c>
      <c r="P6" s="77" t="s">
        <v>194</v>
      </c>
      <c r="Q6" s="81"/>
    </row>
    <row r="7" spans="1:17" s="75" customFormat="1" ht="16.5" thickBot="1" x14ac:dyDescent="0.3">
      <c r="A7" s="81"/>
      <c r="B7" s="81"/>
      <c r="C7" s="85"/>
      <c r="D7" s="81"/>
      <c r="E7" s="86" t="s">
        <v>195</v>
      </c>
      <c r="F7" s="87"/>
      <c r="G7" s="88"/>
      <c r="H7" s="86" t="s">
        <v>196</v>
      </c>
      <c r="I7" s="87"/>
      <c r="J7" s="88"/>
      <c r="K7" s="86" t="s">
        <v>195</v>
      </c>
      <c r="L7" s="87"/>
      <c r="M7" s="88"/>
      <c r="N7" s="81"/>
      <c r="O7" s="81"/>
      <c r="P7" s="81"/>
      <c r="Q7" s="81"/>
    </row>
    <row r="8" spans="1:17" s="75" customFormat="1" ht="16.5" thickBot="1" x14ac:dyDescent="0.3">
      <c r="A8" s="89"/>
      <c r="B8" s="89"/>
      <c r="C8" s="89"/>
      <c r="D8" s="89"/>
      <c r="E8" s="90" t="s">
        <v>197</v>
      </c>
      <c r="F8" s="90" t="s">
        <v>198</v>
      </c>
      <c r="G8" s="90" t="s">
        <v>199</v>
      </c>
      <c r="H8" s="90" t="s">
        <v>197</v>
      </c>
      <c r="I8" s="90" t="s">
        <v>198</v>
      </c>
      <c r="J8" s="90" t="s">
        <v>199</v>
      </c>
      <c r="K8" s="90" t="s">
        <v>197</v>
      </c>
      <c r="L8" s="90" t="s">
        <v>198</v>
      </c>
      <c r="M8" s="90" t="s">
        <v>199</v>
      </c>
      <c r="N8" s="89"/>
      <c r="O8" s="89"/>
      <c r="P8" s="89"/>
      <c r="Q8" s="89"/>
    </row>
    <row r="9" spans="1:17" s="75" customFormat="1" ht="15.75" x14ac:dyDescent="0.25">
      <c r="A9" s="45">
        <v>1</v>
      </c>
      <c r="B9" s="91" t="s">
        <v>200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3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view="pageBreakPreview" topLeftCell="A10" zoomScale="85" zoomScaleSheetLayoutView="85" workbookViewId="0">
      <selection activeCell="B34" sqref="B34"/>
    </sheetView>
  </sheetViews>
  <sheetFormatPr defaultColWidth="9.140625" defaultRowHeight="15.75" x14ac:dyDescent="0.25"/>
  <cols>
    <col min="1" max="1" width="6.85546875" style="13" bestFit="1" customWidth="1"/>
    <col min="2" max="2" width="24" style="13" bestFit="1" customWidth="1"/>
    <col min="3" max="3" width="13.85546875" style="13" bestFit="1" customWidth="1"/>
    <col min="4" max="4" width="9.28515625" style="13" customWidth="1"/>
    <col min="5" max="5" width="7.7109375" style="13" customWidth="1"/>
    <col min="6" max="7" width="9.140625" style="13"/>
    <col min="8" max="8" width="18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x14ac:dyDescent="0.25">
      <c r="A1" s="60" t="s">
        <v>43</v>
      </c>
      <c r="B1" s="60"/>
      <c r="C1" s="60"/>
      <c r="D1" s="60"/>
      <c r="E1" s="60"/>
      <c r="F1" s="60"/>
      <c r="G1" s="60"/>
      <c r="H1" s="60"/>
    </row>
    <row r="2" spans="1:8" s="24" customFormat="1" x14ac:dyDescent="0.25">
      <c r="B2" s="25" t="s">
        <v>44</v>
      </c>
      <c r="F2" s="61" t="s">
        <v>45</v>
      </c>
      <c r="G2" s="61"/>
      <c r="H2" s="61"/>
    </row>
    <row r="3" spans="1:8" x14ac:dyDescent="0.25">
      <c r="A3" s="55" t="s">
        <v>46</v>
      </c>
      <c r="B3" s="55" t="s">
        <v>47</v>
      </c>
      <c r="C3" s="55" t="s">
        <v>48</v>
      </c>
      <c r="D3" s="55" t="s">
        <v>49</v>
      </c>
      <c r="E3" s="55" t="s">
        <v>50</v>
      </c>
      <c r="F3" s="53" t="s">
        <v>51</v>
      </c>
      <c r="G3" s="53"/>
      <c r="H3" s="55" t="s">
        <v>52</v>
      </c>
    </row>
    <row r="4" spans="1:8" ht="63" x14ac:dyDescent="0.25">
      <c r="A4" s="56"/>
      <c r="B4" s="56"/>
      <c r="C4" s="56"/>
      <c r="D4" s="56"/>
      <c r="E4" s="56"/>
      <c r="F4" s="18" t="s">
        <v>53</v>
      </c>
      <c r="G4" s="18" t="s">
        <v>54</v>
      </c>
      <c r="H4" s="56"/>
    </row>
    <row r="5" spans="1:8" x14ac:dyDescent="0.25">
      <c r="A5" s="11">
        <v>1</v>
      </c>
      <c r="B5" s="12" t="s">
        <v>104</v>
      </c>
      <c r="C5" s="12" t="s">
        <v>143</v>
      </c>
      <c r="D5" s="12">
        <v>2.2000000000000002</v>
      </c>
      <c r="E5" s="12">
        <v>1.5</v>
      </c>
      <c r="F5" s="12" t="s">
        <v>156</v>
      </c>
      <c r="G5" s="12">
        <v>2.8</v>
      </c>
      <c r="H5" s="12"/>
    </row>
    <row r="6" spans="1:8" x14ac:dyDescent="0.25">
      <c r="A6" s="11">
        <v>2</v>
      </c>
      <c r="B6" s="12" t="s">
        <v>121</v>
      </c>
      <c r="C6" s="12" t="s">
        <v>144</v>
      </c>
      <c r="D6" s="12">
        <v>2.5</v>
      </c>
      <c r="E6" s="12">
        <v>3</v>
      </c>
      <c r="F6" s="12" t="s">
        <v>159</v>
      </c>
      <c r="G6" s="12">
        <v>4</v>
      </c>
      <c r="H6" s="12"/>
    </row>
    <row r="7" spans="1:8" x14ac:dyDescent="0.25">
      <c r="A7" s="11">
        <v>3</v>
      </c>
      <c r="B7" s="12" t="s">
        <v>122</v>
      </c>
      <c r="C7" s="12" t="s">
        <v>145</v>
      </c>
      <c r="D7" s="12">
        <v>7</v>
      </c>
      <c r="E7" s="12">
        <v>4</v>
      </c>
      <c r="F7" s="12" t="s">
        <v>162</v>
      </c>
      <c r="G7" s="12">
        <v>32</v>
      </c>
      <c r="H7" s="12"/>
    </row>
    <row r="8" spans="1:8" x14ac:dyDescent="0.25">
      <c r="A8" s="11">
        <v>4</v>
      </c>
      <c r="B8" s="12" t="s">
        <v>121</v>
      </c>
      <c r="C8" s="12" t="s">
        <v>144</v>
      </c>
      <c r="D8" s="12">
        <v>3</v>
      </c>
      <c r="E8" s="12">
        <v>4</v>
      </c>
      <c r="F8" s="12" t="s">
        <v>163</v>
      </c>
      <c r="G8" s="12">
        <v>10</v>
      </c>
      <c r="H8" s="12"/>
    </row>
    <row r="9" spans="1:8" x14ac:dyDescent="0.25">
      <c r="A9" s="26"/>
      <c r="B9" s="27"/>
      <c r="C9" s="28"/>
      <c r="D9" s="29"/>
      <c r="E9" s="30"/>
    </row>
    <row r="10" spans="1:8" x14ac:dyDescent="0.25">
      <c r="A10" s="53" t="s">
        <v>55</v>
      </c>
      <c r="B10" s="53"/>
      <c r="C10" s="53"/>
      <c r="D10" s="53"/>
      <c r="E10" s="53"/>
      <c r="F10" s="53"/>
      <c r="G10" s="53"/>
      <c r="H10" s="53"/>
    </row>
    <row r="11" spans="1:8" ht="35.25" customHeight="1" x14ac:dyDescent="0.25">
      <c r="A11" s="11">
        <v>1</v>
      </c>
      <c r="B11" s="59" t="s">
        <v>56</v>
      </c>
      <c r="C11" s="59"/>
      <c r="D11" s="59"/>
      <c r="E11" s="59"/>
      <c r="F11" s="59"/>
      <c r="G11" s="59"/>
      <c r="H11" s="31" t="s">
        <v>141</v>
      </c>
    </row>
    <row r="12" spans="1:8" x14ac:dyDescent="0.25">
      <c r="A12" s="11">
        <v>2</v>
      </c>
      <c r="B12" s="59" t="s">
        <v>57</v>
      </c>
      <c r="C12" s="59"/>
      <c r="D12" s="59"/>
      <c r="E12" s="59"/>
      <c r="F12" s="59"/>
      <c r="G12" s="59"/>
      <c r="H12" s="31" t="s">
        <v>123</v>
      </c>
    </row>
    <row r="13" spans="1:8" x14ac:dyDescent="0.25">
      <c r="A13" s="11">
        <v>3</v>
      </c>
      <c r="B13" s="59" t="s">
        <v>58</v>
      </c>
      <c r="C13" s="59"/>
      <c r="D13" s="59"/>
      <c r="E13" s="59"/>
      <c r="F13" s="59"/>
      <c r="G13" s="59"/>
      <c r="H13" s="31">
        <v>0</v>
      </c>
    </row>
    <row r="14" spans="1:8" x14ac:dyDescent="0.25">
      <c r="A14" s="26"/>
      <c r="B14" s="26"/>
      <c r="C14" s="26"/>
      <c r="D14" s="26"/>
      <c r="E14" s="26"/>
      <c r="F14" s="26"/>
      <c r="G14" s="26"/>
      <c r="H14" s="32"/>
    </row>
    <row r="15" spans="1:8" x14ac:dyDescent="0.25">
      <c r="B15" s="33" t="str">
        <f>B2</f>
        <v xml:space="preserve">    Grid No:  </v>
      </c>
      <c r="F15" s="33" t="s">
        <v>59</v>
      </c>
      <c r="G15" s="33"/>
    </row>
    <row r="16" spans="1:8" x14ac:dyDescent="0.25">
      <c r="A16" s="53" t="s">
        <v>46</v>
      </c>
      <c r="B16" s="53" t="s">
        <v>47</v>
      </c>
      <c r="C16" s="53" t="s">
        <v>48</v>
      </c>
      <c r="D16" s="55" t="s">
        <v>49</v>
      </c>
      <c r="E16" s="53" t="s">
        <v>50</v>
      </c>
      <c r="F16" s="53" t="s">
        <v>51</v>
      </c>
      <c r="G16" s="53"/>
      <c r="H16" s="53" t="s">
        <v>52</v>
      </c>
    </row>
    <row r="17" spans="1:8" ht="63" x14ac:dyDescent="0.25">
      <c r="A17" s="53"/>
      <c r="B17" s="53"/>
      <c r="C17" s="53"/>
      <c r="D17" s="56"/>
      <c r="E17" s="53"/>
      <c r="F17" s="18" t="s">
        <v>53</v>
      </c>
      <c r="G17" s="18" t="s">
        <v>54</v>
      </c>
      <c r="H17" s="53"/>
    </row>
    <row r="18" spans="1:8" x14ac:dyDescent="0.25">
      <c r="A18" s="11">
        <v>1</v>
      </c>
      <c r="B18" s="18" t="s">
        <v>124</v>
      </c>
      <c r="C18" s="18" t="s">
        <v>146</v>
      </c>
      <c r="D18" s="18">
        <v>5</v>
      </c>
      <c r="E18" s="18">
        <v>4.5</v>
      </c>
      <c r="F18" s="18" t="s">
        <v>164</v>
      </c>
      <c r="G18" s="18">
        <v>20</v>
      </c>
      <c r="H18" s="18"/>
    </row>
    <row r="19" spans="1:8" x14ac:dyDescent="0.25">
      <c r="A19" s="11">
        <v>2</v>
      </c>
      <c r="B19" s="18" t="s">
        <v>122</v>
      </c>
      <c r="C19" s="18" t="s">
        <v>145</v>
      </c>
      <c r="D19" s="18">
        <v>6</v>
      </c>
      <c r="E19" s="18">
        <v>5</v>
      </c>
      <c r="F19" s="18" t="s">
        <v>165</v>
      </c>
      <c r="G19" s="18">
        <v>32</v>
      </c>
      <c r="H19" s="18"/>
    </row>
    <row r="20" spans="1:8" x14ac:dyDescent="0.25">
      <c r="A20" s="11">
        <v>3</v>
      </c>
      <c r="B20" s="18" t="s">
        <v>114</v>
      </c>
      <c r="C20" s="18" t="s">
        <v>147</v>
      </c>
      <c r="D20" s="18">
        <v>3</v>
      </c>
      <c r="E20" s="18">
        <v>2.5</v>
      </c>
      <c r="F20" s="18" t="s">
        <v>157</v>
      </c>
      <c r="G20" s="18">
        <v>5.5</v>
      </c>
      <c r="H20" s="18"/>
    </row>
    <row r="21" spans="1:8" x14ac:dyDescent="0.25">
      <c r="A21" s="11">
        <v>4</v>
      </c>
      <c r="B21" s="18" t="s">
        <v>104</v>
      </c>
      <c r="C21" s="18" t="s">
        <v>143</v>
      </c>
      <c r="D21" s="18">
        <v>2.8</v>
      </c>
      <c r="E21" s="18">
        <v>1.5</v>
      </c>
      <c r="F21" s="18" t="s">
        <v>156</v>
      </c>
      <c r="G21" s="18">
        <v>4.5</v>
      </c>
      <c r="H21" s="18"/>
    </row>
    <row r="22" spans="1:8" x14ac:dyDescent="0.25">
      <c r="A22" s="26"/>
      <c r="B22" s="34"/>
      <c r="C22" s="35"/>
      <c r="D22" s="26"/>
      <c r="E22" s="26"/>
      <c r="F22" s="26"/>
      <c r="G22" s="26"/>
      <c r="H22" s="26"/>
    </row>
    <row r="23" spans="1:8" x14ac:dyDescent="0.25">
      <c r="A23" s="53" t="s">
        <v>55</v>
      </c>
      <c r="B23" s="53"/>
      <c r="C23" s="53"/>
      <c r="D23" s="53"/>
      <c r="E23" s="53"/>
      <c r="F23" s="53"/>
      <c r="G23" s="53"/>
      <c r="H23" s="53"/>
    </row>
    <row r="24" spans="1:8" ht="45.75" customHeight="1" x14ac:dyDescent="0.25">
      <c r="A24" s="11">
        <v>1</v>
      </c>
      <c r="B24" s="59" t="s">
        <v>56</v>
      </c>
      <c r="C24" s="59"/>
      <c r="D24" s="59"/>
      <c r="E24" s="59"/>
      <c r="F24" s="59"/>
      <c r="G24" s="59"/>
      <c r="H24" s="11" t="s">
        <v>140</v>
      </c>
    </row>
    <row r="25" spans="1:8" x14ac:dyDescent="0.25">
      <c r="A25" s="11">
        <v>2</v>
      </c>
      <c r="B25" s="59" t="s">
        <v>57</v>
      </c>
      <c r="C25" s="59"/>
      <c r="D25" s="59"/>
      <c r="E25" s="59"/>
      <c r="F25" s="59"/>
      <c r="G25" s="59"/>
      <c r="H25" s="11" t="s">
        <v>125</v>
      </c>
    </row>
    <row r="26" spans="1:8" x14ac:dyDescent="0.25">
      <c r="A26" s="11">
        <v>3</v>
      </c>
      <c r="B26" s="59" t="s">
        <v>58</v>
      </c>
      <c r="C26" s="59"/>
      <c r="D26" s="59"/>
      <c r="E26" s="59"/>
      <c r="F26" s="59"/>
      <c r="G26" s="59"/>
      <c r="H26" s="11" t="s">
        <v>126</v>
      </c>
    </row>
    <row r="27" spans="1:8" x14ac:dyDescent="0.25">
      <c r="A27" s="26"/>
      <c r="B27" s="35"/>
      <c r="C27" s="35"/>
      <c r="D27" s="35"/>
      <c r="E27" s="35"/>
      <c r="F27" s="35"/>
      <c r="G27" s="35"/>
      <c r="H27" s="32"/>
    </row>
    <row r="28" spans="1:8" x14ac:dyDescent="0.25">
      <c r="B28" s="33" t="str">
        <f>B2</f>
        <v xml:space="preserve">    Grid No:  </v>
      </c>
      <c r="F28" s="25" t="s">
        <v>74</v>
      </c>
      <c r="G28" s="25"/>
    </row>
    <row r="29" spans="1:8" x14ac:dyDescent="0.25">
      <c r="A29" s="53" t="s">
        <v>46</v>
      </c>
      <c r="B29" s="53" t="s">
        <v>47</v>
      </c>
      <c r="C29" s="53" t="s">
        <v>48</v>
      </c>
      <c r="D29" s="55" t="s">
        <v>49</v>
      </c>
      <c r="E29" s="53" t="s">
        <v>50</v>
      </c>
      <c r="F29" s="53" t="s">
        <v>51</v>
      </c>
      <c r="G29" s="53"/>
      <c r="H29" s="53" t="s">
        <v>52</v>
      </c>
    </row>
    <row r="30" spans="1:8" ht="63" x14ac:dyDescent="0.25">
      <c r="A30" s="53"/>
      <c r="B30" s="53"/>
      <c r="C30" s="53"/>
      <c r="D30" s="56"/>
      <c r="E30" s="53"/>
      <c r="F30" s="18" t="s">
        <v>53</v>
      </c>
      <c r="G30" s="18" t="s">
        <v>54</v>
      </c>
      <c r="H30" s="53"/>
    </row>
    <row r="31" spans="1:8" s="24" customFormat="1" x14ac:dyDescent="0.25">
      <c r="A31" s="11">
        <v>1</v>
      </c>
      <c r="B31" s="36" t="s">
        <v>127</v>
      </c>
      <c r="C31" s="11" t="s">
        <v>148</v>
      </c>
      <c r="D31" s="11">
        <v>3</v>
      </c>
      <c r="E31" s="11">
        <v>3</v>
      </c>
      <c r="F31" s="11" t="s">
        <v>159</v>
      </c>
      <c r="G31" s="11">
        <v>7.5</v>
      </c>
      <c r="H31" s="11"/>
    </row>
    <row r="32" spans="1:8" s="24" customFormat="1" x14ac:dyDescent="0.25">
      <c r="A32" s="11">
        <v>2</v>
      </c>
      <c r="B32" s="36" t="s">
        <v>104</v>
      </c>
      <c r="C32" s="11" t="s">
        <v>143</v>
      </c>
      <c r="D32" s="11">
        <v>4</v>
      </c>
      <c r="E32" s="11">
        <v>2.5</v>
      </c>
      <c r="F32" s="11" t="s">
        <v>156</v>
      </c>
      <c r="G32" s="11">
        <v>8</v>
      </c>
      <c r="H32" s="11"/>
    </row>
    <row r="33" spans="1:8" s="24" customFormat="1" x14ac:dyDescent="0.25">
      <c r="A33" s="11">
        <v>3</v>
      </c>
      <c r="B33" s="36" t="s">
        <v>104</v>
      </c>
      <c r="C33" s="11" t="s">
        <v>143</v>
      </c>
      <c r="D33" s="11">
        <v>2.2000000000000002</v>
      </c>
      <c r="E33" s="11">
        <v>2.5</v>
      </c>
      <c r="F33" s="11" t="s">
        <v>156</v>
      </c>
      <c r="G33" s="11">
        <v>6.35</v>
      </c>
      <c r="H33" s="11"/>
    </row>
    <row r="34" spans="1:8" s="24" customFormat="1" x14ac:dyDescent="0.25">
      <c r="A34" s="11">
        <v>4</v>
      </c>
      <c r="B34" s="36" t="s">
        <v>104</v>
      </c>
      <c r="C34" s="11" t="s">
        <v>143</v>
      </c>
      <c r="D34" s="11">
        <v>2.5</v>
      </c>
      <c r="E34" s="11">
        <v>1.2</v>
      </c>
      <c r="F34" s="11" t="s">
        <v>156</v>
      </c>
      <c r="G34" s="11">
        <v>2</v>
      </c>
      <c r="H34" s="11"/>
    </row>
    <row r="35" spans="1:8" s="24" customFormat="1" x14ac:dyDescent="0.25">
      <c r="A35" s="11">
        <v>5</v>
      </c>
      <c r="B35" s="36" t="s">
        <v>104</v>
      </c>
      <c r="C35" s="11" t="s">
        <v>143</v>
      </c>
      <c r="D35" s="11">
        <v>3.5</v>
      </c>
      <c r="E35" s="11">
        <v>1.8</v>
      </c>
      <c r="F35" s="11" t="s">
        <v>156</v>
      </c>
      <c r="G35" s="11">
        <v>5.5</v>
      </c>
      <c r="H35" s="11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B37" s="33" t="str">
        <f>B2</f>
        <v xml:space="preserve">    Grid No:  </v>
      </c>
      <c r="F37" s="54" t="s">
        <v>75</v>
      </c>
      <c r="G37" s="54"/>
      <c r="H37" s="54"/>
    </row>
    <row r="38" spans="1:8" x14ac:dyDescent="0.25">
      <c r="A38" s="55" t="s">
        <v>46</v>
      </c>
      <c r="B38" s="55" t="s">
        <v>47</v>
      </c>
      <c r="C38" s="55" t="s">
        <v>48</v>
      </c>
      <c r="D38" s="55" t="s">
        <v>49</v>
      </c>
      <c r="E38" s="55" t="s">
        <v>50</v>
      </c>
      <c r="F38" s="57" t="s">
        <v>51</v>
      </c>
      <c r="G38" s="58"/>
      <c r="H38" s="55" t="s">
        <v>52</v>
      </c>
    </row>
    <row r="39" spans="1:8" ht="63" x14ac:dyDescent="0.25">
      <c r="A39" s="56"/>
      <c r="B39" s="56"/>
      <c r="C39" s="56"/>
      <c r="D39" s="56"/>
      <c r="E39" s="56"/>
      <c r="F39" s="18" t="s">
        <v>53</v>
      </c>
      <c r="G39" s="18" t="s">
        <v>54</v>
      </c>
      <c r="H39" s="56"/>
    </row>
    <row r="40" spans="1:8" s="24" customFormat="1" x14ac:dyDescent="0.25">
      <c r="A40" s="37">
        <v>1</v>
      </c>
      <c r="B40" s="36" t="s">
        <v>128</v>
      </c>
      <c r="C40" s="11" t="s">
        <v>149</v>
      </c>
      <c r="D40" s="37">
        <v>2.5</v>
      </c>
      <c r="E40" s="38">
        <v>2.5</v>
      </c>
      <c r="F40" s="23" t="s">
        <v>165</v>
      </c>
      <c r="G40" s="23">
        <v>5.5</v>
      </c>
      <c r="H40" s="23"/>
    </row>
    <row r="41" spans="1:8" s="24" customFormat="1" x14ac:dyDescent="0.25">
      <c r="A41" s="37">
        <v>2</v>
      </c>
      <c r="B41" s="36" t="s">
        <v>129</v>
      </c>
      <c r="C41" s="11"/>
      <c r="D41" s="37">
        <v>2.5</v>
      </c>
      <c r="E41" s="38">
        <v>3</v>
      </c>
      <c r="F41" s="23" t="s">
        <v>157</v>
      </c>
      <c r="G41" s="23">
        <v>5</v>
      </c>
      <c r="H41" s="23"/>
    </row>
    <row r="42" spans="1:8" s="24" customFormat="1" x14ac:dyDescent="0.25">
      <c r="A42" s="37">
        <v>3</v>
      </c>
      <c r="B42" s="36" t="s">
        <v>113</v>
      </c>
      <c r="C42" s="11" t="s">
        <v>150</v>
      </c>
      <c r="D42" s="37">
        <v>2.5</v>
      </c>
      <c r="E42" s="38">
        <v>2.5</v>
      </c>
      <c r="F42" s="23" t="s">
        <v>165</v>
      </c>
      <c r="G42" s="23">
        <v>6.5</v>
      </c>
      <c r="H42" s="23"/>
    </row>
  </sheetData>
  <mergeCells count="39"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10:H10"/>
    <mergeCell ref="B11:G11"/>
    <mergeCell ref="B12:G12"/>
    <mergeCell ref="B13:G13"/>
    <mergeCell ref="A16:A17"/>
    <mergeCell ref="B16:B17"/>
    <mergeCell ref="C16:C17"/>
    <mergeCell ref="D16:D17"/>
    <mergeCell ref="E16:E17"/>
    <mergeCell ref="F16:G16"/>
    <mergeCell ref="H16:H17"/>
    <mergeCell ref="A23:H23"/>
    <mergeCell ref="B24:G24"/>
    <mergeCell ref="B25:G25"/>
    <mergeCell ref="B26:G26"/>
    <mergeCell ref="A29:A30"/>
    <mergeCell ref="B29:B30"/>
    <mergeCell ref="C29:C30"/>
    <mergeCell ref="D29:D30"/>
    <mergeCell ref="E29:E30"/>
    <mergeCell ref="F29:G29"/>
    <mergeCell ref="H29:H30"/>
    <mergeCell ref="F37:H37"/>
    <mergeCell ref="A38:A39"/>
    <mergeCell ref="B38:B39"/>
    <mergeCell ref="C38:C39"/>
    <mergeCell ref="D38:D39"/>
    <mergeCell ref="E38:E39"/>
    <mergeCell ref="F38:G38"/>
    <mergeCell ref="H38:H39"/>
  </mergeCells>
  <printOptions horizontalCentered="1"/>
  <pageMargins left="0.15748031496062992" right="0.23622047244094491" top="0.39370078740157483" bottom="0.27559055118110237" header="0.15748031496062992" footer="0.15748031496062992"/>
  <pageSetup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tabSelected="1" view="pageBreakPreview" zoomScale="85" zoomScaleNormal="85" zoomScaleSheetLayoutView="85" workbookViewId="0">
      <selection activeCell="B3" sqref="B3:B5"/>
    </sheetView>
  </sheetViews>
  <sheetFormatPr defaultColWidth="9.140625" defaultRowHeight="15.75" x14ac:dyDescent="0.25"/>
  <cols>
    <col min="1" max="1" width="6.5703125" style="13" customWidth="1"/>
    <col min="2" max="2" width="26.85546875" style="13" bestFit="1" customWidth="1"/>
    <col min="3" max="3" width="13.85546875" style="28" bestFit="1" customWidth="1"/>
    <col min="4" max="4" width="9.140625" style="13"/>
    <col min="5" max="6" width="10.28515625" style="13" customWidth="1"/>
    <col min="7" max="7" width="23" style="13" customWidth="1"/>
    <col min="8" max="16384" width="9.140625" style="13"/>
  </cols>
  <sheetData>
    <row r="1" spans="1:7" x14ac:dyDescent="0.25">
      <c r="A1" s="60" t="s">
        <v>60</v>
      </c>
      <c r="B1" s="60"/>
      <c r="C1" s="60"/>
      <c r="D1" s="60"/>
      <c r="E1" s="60"/>
      <c r="F1" s="60"/>
      <c r="G1" s="60"/>
    </row>
    <row r="2" spans="1:7" x14ac:dyDescent="0.25">
      <c r="E2" s="61" t="s">
        <v>45</v>
      </c>
      <c r="F2" s="61"/>
      <c r="G2" s="61"/>
    </row>
    <row r="3" spans="1:7" x14ac:dyDescent="0.25">
      <c r="A3" s="53" t="s">
        <v>46</v>
      </c>
      <c r="B3" s="53" t="s">
        <v>47</v>
      </c>
      <c r="C3" s="52" t="s">
        <v>48</v>
      </c>
      <c r="D3" s="53" t="s">
        <v>61</v>
      </c>
      <c r="E3" s="53" t="s">
        <v>51</v>
      </c>
      <c r="F3" s="53"/>
      <c r="G3" s="53" t="s">
        <v>62</v>
      </c>
    </row>
    <row r="4" spans="1:7" ht="31.5" x14ac:dyDescent="0.25">
      <c r="A4" s="53"/>
      <c r="B4" s="53"/>
      <c r="C4" s="52"/>
      <c r="D4" s="53"/>
      <c r="E4" s="18" t="s">
        <v>63</v>
      </c>
      <c r="F4" s="18" t="s">
        <v>64</v>
      </c>
      <c r="G4" s="53"/>
    </row>
    <row r="5" spans="1:7" x14ac:dyDescent="0.25">
      <c r="A5" s="53"/>
      <c r="B5" s="53"/>
      <c r="C5" s="52"/>
      <c r="D5" s="53"/>
      <c r="E5" s="18" t="s">
        <v>65</v>
      </c>
      <c r="F5" s="18" t="s">
        <v>71</v>
      </c>
      <c r="G5" s="53"/>
    </row>
    <row r="6" spans="1:7" x14ac:dyDescent="0.25">
      <c r="A6" s="11">
        <v>1</v>
      </c>
      <c r="B6" s="18" t="s">
        <v>104</v>
      </c>
      <c r="C6" s="39" t="s">
        <v>143</v>
      </c>
      <c r="D6" s="18">
        <v>43</v>
      </c>
      <c r="E6" s="18" t="s">
        <v>156</v>
      </c>
      <c r="F6" s="18">
        <v>190</v>
      </c>
      <c r="G6" s="18"/>
    </row>
    <row r="7" spans="1:7" x14ac:dyDescent="0.25">
      <c r="A7" s="11">
        <v>2</v>
      </c>
      <c r="B7" s="18" t="s">
        <v>114</v>
      </c>
      <c r="C7" s="39" t="s">
        <v>147</v>
      </c>
      <c r="D7" s="18">
        <v>24</v>
      </c>
      <c r="E7" s="18" t="s">
        <v>157</v>
      </c>
      <c r="F7" s="18">
        <v>100</v>
      </c>
      <c r="G7" s="18"/>
    </row>
    <row r="8" spans="1:7" x14ac:dyDescent="0.25">
      <c r="A8" s="11">
        <v>3</v>
      </c>
      <c r="B8" s="18" t="s">
        <v>115</v>
      </c>
      <c r="C8" s="39" t="s">
        <v>151</v>
      </c>
      <c r="D8" s="18">
        <v>21</v>
      </c>
      <c r="E8" s="18" t="s">
        <v>157</v>
      </c>
      <c r="F8" s="18">
        <v>100</v>
      </c>
      <c r="G8" s="18"/>
    </row>
    <row r="9" spans="1:7" x14ac:dyDescent="0.25">
      <c r="A9" s="11">
        <v>4</v>
      </c>
      <c r="B9" s="18" t="s">
        <v>116</v>
      </c>
      <c r="C9" s="39" t="s">
        <v>152</v>
      </c>
      <c r="D9" s="18">
        <v>32</v>
      </c>
      <c r="E9" s="18" t="s">
        <v>158</v>
      </c>
      <c r="F9" s="18">
        <v>170</v>
      </c>
      <c r="G9" s="18"/>
    </row>
    <row r="10" spans="1:7" x14ac:dyDescent="0.25">
      <c r="A10" s="11">
        <v>5</v>
      </c>
      <c r="B10" s="18" t="s">
        <v>117</v>
      </c>
      <c r="C10" s="39"/>
      <c r="D10" s="18">
        <v>25</v>
      </c>
      <c r="E10" s="18" t="s">
        <v>159</v>
      </c>
      <c r="F10" s="18">
        <v>160</v>
      </c>
      <c r="G10" s="18"/>
    </row>
    <row r="11" spans="1:7" x14ac:dyDescent="0.25">
      <c r="A11" s="53" t="s">
        <v>55</v>
      </c>
      <c r="B11" s="53"/>
      <c r="C11" s="53"/>
      <c r="D11" s="53"/>
      <c r="E11" s="53"/>
      <c r="F11" s="53"/>
      <c r="G11" s="53"/>
    </row>
    <row r="12" spans="1:7" x14ac:dyDescent="0.25">
      <c r="A12" s="26"/>
      <c r="B12" s="32"/>
      <c r="C12" s="35"/>
      <c r="D12" s="26"/>
      <c r="E12" s="32"/>
      <c r="F12" s="32"/>
      <c r="G12" s="32"/>
    </row>
    <row r="13" spans="1:7" s="24" customFormat="1" x14ac:dyDescent="0.25">
      <c r="B13" s="40" t="s">
        <v>67</v>
      </c>
      <c r="C13" s="41"/>
      <c r="E13" s="60" t="s">
        <v>68</v>
      </c>
      <c r="F13" s="60"/>
      <c r="G13" s="60"/>
    </row>
    <row r="14" spans="1:7" x14ac:dyDescent="0.25">
      <c r="A14" s="53" t="s">
        <v>46</v>
      </c>
      <c r="B14" s="53" t="s">
        <v>47</v>
      </c>
      <c r="C14" s="62" t="s">
        <v>48</v>
      </c>
      <c r="D14" s="53" t="s">
        <v>61</v>
      </c>
      <c r="E14" s="53" t="s">
        <v>51</v>
      </c>
      <c r="F14" s="53"/>
      <c r="G14" s="53" t="s">
        <v>62</v>
      </c>
    </row>
    <row r="15" spans="1:7" ht="31.5" x14ac:dyDescent="0.25">
      <c r="A15" s="53"/>
      <c r="B15" s="53"/>
      <c r="C15" s="63"/>
      <c r="D15" s="53"/>
      <c r="E15" s="18" t="s">
        <v>63</v>
      </c>
      <c r="F15" s="18" t="s">
        <v>64</v>
      </c>
      <c r="G15" s="53"/>
    </row>
    <row r="16" spans="1:7" ht="31.5" x14ac:dyDescent="0.25">
      <c r="A16" s="53"/>
      <c r="B16" s="53"/>
      <c r="C16" s="64"/>
      <c r="D16" s="53"/>
      <c r="E16" s="18" t="s">
        <v>65</v>
      </c>
      <c r="F16" s="18" t="s">
        <v>66</v>
      </c>
      <c r="G16" s="53"/>
    </row>
    <row r="17" spans="1:7" s="24" customFormat="1" x14ac:dyDescent="0.25">
      <c r="A17" s="37">
        <v>1</v>
      </c>
      <c r="B17" s="23" t="s">
        <v>111</v>
      </c>
      <c r="C17" s="42" t="s">
        <v>153</v>
      </c>
      <c r="D17" s="37">
        <v>31</v>
      </c>
      <c r="E17" s="23" t="s">
        <v>160</v>
      </c>
      <c r="F17" s="23">
        <v>170</v>
      </c>
      <c r="G17" s="23"/>
    </row>
    <row r="18" spans="1:7" s="24" customFormat="1" x14ac:dyDescent="0.25">
      <c r="A18" s="37">
        <v>2</v>
      </c>
      <c r="B18" s="23" t="s">
        <v>118</v>
      </c>
      <c r="C18" s="42"/>
      <c r="D18" s="37">
        <v>25</v>
      </c>
      <c r="E18" s="23" t="s">
        <v>159</v>
      </c>
      <c r="F18" s="23">
        <v>150</v>
      </c>
      <c r="G18" s="23"/>
    </row>
    <row r="19" spans="1:7" s="24" customFormat="1" x14ac:dyDescent="0.25">
      <c r="A19" s="37">
        <v>3</v>
      </c>
      <c r="B19" s="23" t="s">
        <v>119</v>
      </c>
      <c r="C19" s="42" t="s">
        <v>154</v>
      </c>
      <c r="D19" s="37">
        <v>45</v>
      </c>
      <c r="E19" s="23" t="s">
        <v>161</v>
      </c>
      <c r="F19" s="23">
        <v>200</v>
      </c>
      <c r="G19" s="23"/>
    </row>
    <row r="20" spans="1:7" s="24" customFormat="1" x14ac:dyDescent="0.25">
      <c r="A20" s="37">
        <v>4</v>
      </c>
      <c r="B20" s="23" t="s">
        <v>120</v>
      </c>
      <c r="C20" s="42" t="s">
        <v>155</v>
      </c>
      <c r="D20" s="37">
        <v>22</v>
      </c>
      <c r="E20" s="23" t="s">
        <v>157</v>
      </c>
      <c r="F20" s="23">
        <v>120</v>
      </c>
      <c r="G20" s="23"/>
    </row>
    <row r="21" spans="1:7" s="24" customFormat="1" x14ac:dyDescent="0.25">
      <c r="A21" s="37">
        <v>5</v>
      </c>
      <c r="B21" s="23" t="s">
        <v>120</v>
      </c>
      <c r="C21" s="42" t="s">
        <v>155</v>
      </c>
      <c r="D21" s="37">
        <v>25</v>
      </c>
      <c r="E21" s="23" t="s">
        <v>157</v>
      </c>
      <c r="F21" s="23">
        <v>150</v>
      </c>
      <c r="G21" s="23"/>
    </row>
    <row r="22" spans="1:7" s="24" customFormat="1" x14ac:dyDescent="0.25">
      <c r="A22" s="37">
        <v>6</v>
      </c>
      <c r="B22" s="23" t="s">
        <v>120</v>
      </c>
      <c r="C22" s="42" t="s">
        <v>155</v>
      </c>
      <c r="D22" s="37">
        <v>15</v>
      </c>
      <c r="E22" s="23" t="s">
        <v>157</v>
      </c>
      <c r="F22" s="23">
        <v>80</v>
      </c>
      <c r="G22" s="23"/>
    </row>
  </sheetData>
  <mergeCells count="16">
    <mergeCell ref="A1:G1"/>
    <mergeCell ref="E2:G2"/>
    <mergeCell ref="A3:A5"/>
    <mergeCell ref="B3:B5"/>
    <mergeCell ref="C3:C5"/>
    <mergeCell ref="D3:D5"/>
    <mergeCell ref="E3:F3"/>
    <mergeCell ref="G3:G5"/>
    <mergeCell ref="A11:G11"/>
    <mergeCell ref="E13:G13"/>
    <mergeCell ref="A14:A16"/>
    <mergeCell ref="B14:B16"/>
    <mergeCell ref="C14:C16"/>
    <mergeCell ref="D14:D16"/>
    <mergeCell ref="E14:F14"/>
    <mergeCell ref="G14:G16"/>
  </mergeCells>
  <printOptions horizontalCentered="1"/>
  <pageMargins left="0.23622047244094491" right="0.39370078740157483" top="0.31496062992125984" bottom="0.19685039370078741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2024-10-25T11:14:36Z</cp:lastPrinted>
  <dcterms:created xsi:type="dcterms:W3CDTF">2023-09-21T06:16:02Z</dcterms:created>
  <dcterms:modified xsi:type="dcterms:W3CDTF">2024-10-25T11:14:37Z</dcterms:modified>
</cp:coreProperties>
</file>