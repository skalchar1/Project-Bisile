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88E1AFCE-455A-409B-ABDC-E0F7FC0273F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4" i="8"/>
  <c r="B27" i="8"/>
  <c r="B14" i="8"/>
</calcChain>
</file>

<file path=xl/sharedStrings.xml><?xml version="1.0" encoding="utf-8"?>
<sst xmlns="http://schemas.openxmlformats.org/spreadsheetml/2006/main" count="328" uniqueCount="203">
  <si>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</si>
  <si>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</si>
  <si>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</si>
  <si>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</si>
  <si>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</si>
  <si>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</si>
  <si>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</si>
  <si>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</si>
  <si>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</si>
  <si>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</si>
  <si>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</si>
  <si>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</si>
  <si>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</si>
  <si>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</si>
  <si>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</si>
  <si>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</si>
  <si>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</si>
  <si>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</si>
  <si>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</si>
  <si>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</si>
  <si>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</si>
  <si>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</si>
  <si>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</si>
  <si>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</si>
  <si>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</si>
  <si>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</si>
  <si>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</si>
  <si>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</si>
  <si>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</si>
  <si>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</si>
  <si>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</si>
  <si>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</si>
  <si>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</si>
  <si>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</si>
  <si>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</si>
  <si>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</si>
  <si>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</si>
  <si>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</si>
  <si>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</si>
  <si>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</si>
  <si>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</si>
  <si>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</si>
  <si>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</si>
  <si>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</si>
  <si>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</si>
  <si>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</si>
  <si>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</si>
  <si>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</si>
  <si>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</si>
  <si>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</si>
  <si>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</si>
  <si>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</si>
  <si>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</si>
  <si>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</si>
  <si>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</si>
  <si>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</si>
  <si>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</si>
  <si>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</si>
  <si>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</si>
  <si>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</si>
  <si>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</si>
  <si>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</si>
  <si>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</si>
  <si>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</si>
  <si>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</si>
  <si>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</si>
  <si>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</si>
  <si>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</si>
  <si>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</si>
  <si>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</si>
  <si>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</si>
  <si>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</si>
  <si>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</si>
  <si>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</si>
  <si>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</si>
  <si>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</si>
  <si>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Jamalabad fort route   upto     N  13.017085   E 75.278280   by vehicle then travel in the bearing of    5  degree upto a distance of    292 m to reach the grid.</t>
  </si>
  <si>
    <t>Aspect - NE</t>
  </si>
  <si>
    <t>Soil -Gravelly latterite soil</t>
  </si>
  <si>
    <t>Grasses - Themeda quadrivalvis , Opplessima sp , Digiteria sp</t>
  </si>
  <si>
    <t xml:space="preserve">Weeds - Cindrella nudiflora , Chromolaena odorata </t>
  </si>
  <si>
    <t xml:space="preserve">Herbs - Aegle marmelos , Ziziphus oenoplia , Rubia-cossinia chinensis </t>
  </si>
  <si>
    <t>Shrubs - Randia dumetorium,  Melanstoma malabarica</t>
  </si>
  <si>
    <t xml:space="preserve">Underwood species – Careya arborea , Terminalia paniculata </t>
  </si>
  <si>
    <t xml:space="preserve">Climbers - Getonia floribunda , Mussaenda frondosa </t>
  </si>
  <si>
    <t xml:space="preserve">NTFP yieding sps – Anacardium occidentale ,  Garcinia indica </t>
  </si>
  <si>
    <t xml:space="preserve">Carallia brachiata ,Acacia auriculiformis , Anacardium occidentale , Terminalia bellarica , Casuarina equisitifolia , Macaranga peltata </t>
  </si>
  <si>
    <t>655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</si>
  <si>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</si>
  <si>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</si>
  <si>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</si>
  <si>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</si>
  <si>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</si>
  <si>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</si>
  <si>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</si>
  <si>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Terminalia paniculata , Aporosa lindleyana , Xylia xylocarpa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</si>
  <si>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</si>
  <si>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</si>
  <si>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</si>
  <si>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</si>
  <si>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</si>
  <si>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</si>
  <si>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</si>
  <si>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</si>
  <si>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Xylia xylocarpa</t>
  </si>
  <si>
    <t>Terminalia paniculata</t>
  </si>
  <si>
    <t>Alseodaphne semicarpifolia</t>
  </si>
  <si>
    <t>Catunaregam spinosa</t>
  </si>
  <si>
    <t>Lannea coromondelica</t>
  </si>
  <si>
    <t>Holarrhena antidysenterica</t>
  </si>
  <si>
    <t>Terminalia tomentosa</t>
  </si>
  <si>
    <t>Aporosa lindleyana</t>
  </si>
  <si>
    <t>Kumusaluballi</t>
  </si>
  <si>
    <t>Vitex altissima</t>
  </si>
  <si>
    <t>Bambusa bambos</t>
  </si>
  <si>
    <t>Hemidesmus indicus</t>
  </si>
  <si>
    <t>Allophylus cobbe</t>
  </si>
  <si>
    <t>Getonia floribunda</t>
  </si>
  <si>
    <t xml:space="preserve">Themeda quadrivalvis </t>
  </si>
  <si>
    <t>Psychotria dalzelli</t>
  </si>
  <si>
    <t>Chromolaena odorata</t>
  </si>
  <si>
    <t>Aegle marmelos</t>
  </si>
  <si>
    <t>Ziziphus oenoplia</t>
  </si>
  <si>
    <t>Macaranga peltata</t>
  </si>
  <si>
    <t>Tabernamontana heyneana</t>
  </si>
  <si>
    <t>Leea indica</t>
  </si>
  <si>
    <t>Carallia brachiata'</t>
  </si>
  <si>
    <t>60g</t>
  </si>
  <si>
    <t>620g</t>
  </si>
  <si>
    <t>800g</t>
  </si>
  <si>
    <t>110g</t>
  </si>
  <si>
    <t>480g</t>
  </si>
  <si>
    <t>NIL</t>
  </si>
  <si>
    <t>Rattans – NIL</t>
  </si>
  <si>
    <t>Bamboos - NIL</t>
  </si>
  <si>
    <t>Canopy Dencity - 0.43</t>
  </si>
  <si>
    <t>Tract -Hilly</t>
  </si>
  <si>
    <t>Belthangady</t>
  </si>
  <si>
    <t xml:space="preserve">Naravi aranya vistarana kshetra </t>
  </si>
  <si>
    <t>II-23</t>
  </si>
  <si>
    <t xml:space="preserve">Texture-  Smooth </t>
  </si>
  <si>
    <t>Depth- Deep</t>
  </si>
  <si>
    <t>Mangalore</t>
  </si>
  <si>
    <t>Konana kivi</t>
  </si>
  <si>
    <t>Paragi</t>
  </si>
  <si>
    <t>Batla chandalike</t>
  </si>
  <si>
    <t>Maddarasa</t>
  </si>
  <si>
    <t>Salle</t>
  </si>
  <si>
    <t>Matti</t>
  </si>
  <si>
    <t>Nertige</t>
  </si>
  <si>
    <t>Jambe</t>
  </si>
  <si>
    <t>Kumsa</t>
  </si>
  <si>
    <t>Neltare</t>
  </si>
  <si>
    <t>Andi Punar</t>
  </si>
  <si>
    <t>Naviladi</t>
  </si>
  <si>
    <t>Bidiru</t>
  </si>
  <si>
    <t>Shatavari</t>
  </si>
  <si>
    <t>Kasa Balli</t>
  </si>
  <si>
    <t xml:space="preserve">Congress </t>
  </si>
  <si>
    <t>Bilva</t>
  </si>
  <si>
    <t>Leaves</t>
  </si>
  <si>
    <t>Fruit</t>
  </si>
  <si>
    <t>Latex</t>
  </si>
  <si>
    <t xml:space="preserve">Fruit </t>
  </si>
  <si>
    <t>Stem</t>
  </si>
  <si>
    <t>Pod</t>
  </si>
  <si>
    <t>Shoot</t>
  </si>
  <si>
    <t>Root</t>
  </si>
  <si>
    <t>Grass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</si>
  <si>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</si>
  <si>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</si>
  <si>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</si>
  <si>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</si>
  <si>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</si>
  <si>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</si>
  <si>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</si>
  <si>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</si>
  <si>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</si>
  <si>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</si>
  <si>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</si>
  <si>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</si>
  <si>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 II-23</t>
  </si>
  <si>
    <t>Grid No:6855</t>
  </si>
  <si>
    <t>LAT: 13.019704</t>
  </si>
  <si>
    <t>LONG: 75.278464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</si>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</sst>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2.57031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137</v>
      </c>
    </row>
    <row r="6" spans="1:3" ht="24.75" customHeight="1" x14ac:dyDescent="0.25">
      <c r="A6" s="4">
        <v>2</v>
      </c>
      <c r="B6" s="43" t="s">
        <v>7</v>
      </c>
      <c r="C6" s="8" t="s">
        <v>138</v>
      </c>
    </row>
    <row r="7" spans="1:3" ht="24.75" customHeight="1" x14ac:dyDescent="0.25">
      <c r="A7" s="4">
        <v>3</v>
      </c>
      <c r="B7" s="43" t="s">
        <v>8</v>
      </c>
      <c r="C7" s="8" t="s">
        <v>139</v>
      </c>
    </row>
    <row r="8" spans="1:3" ht="24.75" customHeight="1" x14ac:dyDescent="0.25">
      <c r="A8" s="4">
        <v>4</v>
      </c>
      <c r="B8" s="43" t="s">
        <v>9</v>
      </c>
      <c r="C8" s="8">
        <v>6855</v>
      </c>
    </row>
    <row r="9" spans="1:3" ht="24.75" customHeight="1" x14ac:dyDescent="0.25">
      <c r="A9" s="4">
        <v>5</v>
      </c>
      <c r="B9" s="43" t="s">
        <v>10</v>
      </c>
      <c r="C9" s="9">
        <v>13.019704000000001</v>
      </c>
    </row>
    <row r="10" spans="1:3" ht="24.75" customHeight="1" x14ac:dyDescent="0.25">
      <c r="A10" s="4">
        <v>6</v>
      </c>
      <c r="B10" s="43" t="s">
        <v>11</v>
      </c>
      <c r="C10" s="9">
        <v>75.278464</v>
      </c>
    </row>
    <row r="11" spans="1:3" ht="63" x14ac:dyDescent="0.25">
      <c r="A11" s="4">
        <v>7</v>
      </c>
      <c r="B11" s="43" t="s">
        <v>12</v>
      </c>
      <c r="C11" s="8" t="s">
        <v>76</v>
      </c>
    </row>
    <row r="12" spans="1:3" ht="47.25" x14ac:dyDescent="0.25">
      <c r="A12" s="4">
        <v>8</v>
      </c>
      <c r="B12" s="43" t="s">
        <v>13</v>
      </c>
      <c r="C12" s="10" t="s">
        <v>86</v>
      </c>
    </row>
    <row r="13" spans="1:3" ht="24.75" customHeight="1" x14ac:dyDescent="0.25">
      <c r="A13" s="48">
        <v>9</v>
      </c>
      <c r="B13" s="49" t="s">
        <v>14</v>
      </c>
      <c r="C13" s="6" t="s">
        <v>136</v>
      </c>
    </row>
    <row r="14" spans="1:3" ht="24.75" customHeight="1" x14ac:dyDescent="0.25">
      <c r="A14" s="48"/>
      <c r="B14" s="49"/>
      <c r="C14" s="6" t="s">
        <v>77</v>
      </c>
    </row>
    <row r="15" spans="1:3" ht="24.75" customHeight="1" x14ac:dyDescent="0.25">
      <c r="A15" s="48"/>
      <c r="B15" s="49"/>
      <c r="C15" s="6" t="s">
        <v>135</v>
      </c>
    </row>
    <row r="16" spans="1:3" ht="24.75" customHeight="1" x14ac:dyDescent="0.25">
      <c r="A16" s="48"/>
      <c r="B16" s="49"/>
      <c r="C16" s="6" t="s">
        <v>78</v>
      </c>
    </row>
    <row r="17" spans="1:3" ht="31.5" x14ac:dyDescent="0.25">
      <c r="A17" s="48"/>
      <c r="B17" s="49"/>
      <c r="C17" s="6" t="s">
        <v>79</v>
      </c>
    </row>
    <row r="18" spans="1:3" ht="24.75" customHeight="1" x14ac:dyDescent="0.25">
      <c r="A18" s="48"/>
      <c r="B18" s="49"/>
      <c r="C18" s="6" t="s">
        <v>80</v>
      </c>
    </row>
    <row r="19" spans="1:3" ht="24.75" customHeight="1" x14ac:dyDescent="0.25">
      <c r="A19" s="48"/>
      <c r="B19" s="49"/>
      <c r="C19" s="6" t="s">
        <v>134</v>
      </c>
    </row>
    <row r="20" spans="1:3" ht="31.5" x14ac:dyDescent="0.25">
      <c r="A20" s="48"/>
      <c r="B20" s="49"/>
      <c r="C20" s="6" t="s">
        <v>81</v>
      </c>
    </row>
    <row r="21" spans="1:3" ht="24.75" customHeight="1" x14ac:dyDescent="0.25">
      <c r="A21" s="48"/>
      <c r="B21" s="49"/>
      <c r="C21" s="6" t="s">
        <v>82</v>
      </c>
    </row>
    <row r="22" spans="1:3" ht="31.5" x14ac:dyDescent="0.25">
      <c r="A22" s="48"/>
      <c r="B22" s="49"/>
      <c r="C22" s="6" t="s">
        <v>83</v>
      </c>
    </row>
    <row r="23" spans="1:3" ht="24.75" customHeight="1" x14ac:dyDescent="0.25">
      <c r="A23" s="48"/>
      <c r="B23" s="49"/>
      <c r="C23" s="6" t="s">
        <v>84</v>
      </c>
    </row>
    <row r="24" spans="1:3" ht="24.75" customHeight="1" x14ac:dyDescent="0.25">
      <c r="A24" s="48"/>
      <c r="B24" s="49"/>
      <c r="C24" s="6" t="s">
        <v>133</v>
      </c>
    </row>
    <row r="25" spans="1:3" ht="31.5" x14ac:dyDescent="0.25">
      <c r="A25" s="48"/>
      <c r="B25" s="49"/>
      <c r="C25" s="6" t="s">
        <v>85</v>
      </c>
    </row>
    <row r="26" spans="1:3" ht="24.75" customHeight="1" x14ac:dyDescent="0.25">
      <c r="A26" s="4">
        <v>10</v>
      </c>
      <c r="B26" s="43" t="s">
        <v>15</v>
      </c>
      <c r="C26" s="6" t="s">
        <v>132</v>
      </c>
    </row>
    <row r="27" spans="1:3" ht="24.75" customHeight="1" x14ac:dyDescent="0.25">
      <c r="A27" s="4">
        <v>11</v>
      </c>
      <c r="B27" s="43" t="s">
        <v>16</v>
      </c>
      <c r="C27" s="6" t="s">
        <v>132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16" zoomScaleSheetLayoutView="100" workbookViewId="0">
      <selection activeCell="G32" sqref="G32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8.28515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142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3.2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3.25" customHeight="1" x14ac:dyDescent="0.25">
      <c r="A6" s="11">
        <v>2</v>
      </c>
      <c r="B6" s="44" t="s">
        <v>72</v>
      </c>
      <c r="C6" s="20"/>
    </row>
    <row r="7" spans="1:3" ht="23.2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3.25" customHeight="1" x14ac:dyDescent="0.25">
      <c r="A8" s="11">
        <v>4</v>
      </c>
      <c r="B8" s="44" t="s">
        <v>9</v>
      </c>
      <c r="C8" s="20">
        <f>'Form 1'!C8</f>
        <v>6855</v>
      </c>
    </row>
    <row r="9" spans="1:3" ht="23.25" customHeight="1" x14ac:dyDescent="0.25">
      <c r="A9" s="11">
        <v>5</v>
      </c>
      <c r="B9" s="44" t="s">
        <v>20</v>
      </c>
      <c r="C9" s="21">
        <f>'Form 1'!C9</f>
        <v>13.019704000000001</v>
      </c>
    </row>
    <row r="10" spans="1:3" ht="23.25" customHeight="1" x14ac:dyDescent="0.25">
      <c r="A10" s="11">
        <v>6</v>
      </c>
      <c r="B10" s="44" t="s">
        <v>21</v>
      </c>
      <c r="C10" s="21">
        <f>'Form 1'!C10</f>
        <v>75.278464</v>
      </c>
    </row>
    <row r="11" spans="1:3" ht="23.25" customHeight="1" x14ac:dyDescent="0.25">
      <c r="A11" s="11">
        <v>7</v>
      </c>
      <c r="B11" s="44" t="s">
        <v>22</v>
      </c>
      <c r="C11" s="20" t="s">
        <v>87</v>
      </c>
    </row>
    <row r="12" spans="1:3" ht="31.5" x14ac:dyDescent="0.25">
      <c r="A12" s="11">
        <v>8</v>
      </c>
      <c r="B12" s="44" t="s">
        <v>23</v>
      </c>
      <c r="C12" s="20" t="s">
        <v>88</v>
      </c>
    </row>
    <row r="13" spans="1:3" ht="23.25" customHeight="1" x14ac:dyDescent="0.25">
      <c r="A13" s="11">
        <v>9</v>
      </c>
      <c r="B13" s="44" t="s">
        <v>24</v>
      </c>
      <c r="C13" s="20" t="s">
        <v>89</v>
      </c>
    </row>
    <row r="14" spans="1:3" ht="31.5" x14ac:dyDescent="0.25">
      <c r="A14" s="11">
        <v>10</v>
      </c>
      <c r="B14" s="44" t="s">
        <v>25</v>
      </c>
      <c r="C14" s="20" t="s">
        <v>90</v>
      </c>
    </row>
    <row r="15" spans="1:3" ht="23.25" customHeight="1" x14ac:dyDescent="0.25">
      <c r="A15" s="11">
        <v>11</v>
      </c>
      <c r="B15" s="44" t="s">
        <v>26</v>
      </c>
      <c r="C15" s="22" t="s">
        <v>91</v>
      </c>
    </row>
    <row r="16" spans="1:3" ht="31.5" x14ac:dyDescent="0.25">
      <c r="A16" s="11">
        <v>12</v>
      </c>
      <c r="B16" s="44" t="s">
        <v>27</v>
      </c>
      <c r="C16" s="22" t="s">
        <v>92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3.25" customHeight="1" x14ac:dyDescent="0.25">
      <c r="A18" s="51">
        <v>14</v>
      </c>
      <c r="B18" s="52" t="s">
        <v>30</v>
      </c>
      <c r="C18" s="22" t="s">
        <v>140</v>
      </c>
    </row>
    <row r="19" spans="1:3" ht="23.25" customHeight="1" x14ac:dyDescent="0.25">
      <c r="A19" s="51"/>
      <c r="B19" s="52"/>
      <c r="C19" s="22" t="s">
        <v>141</v>
      </c>
    </row>
    <row r="20" spans="1:3" ht="23.25" customHeight="1" x14ac:dyDescent="0.25">
      <c r="A20" s="51"/>
      <c r="B20" s="52"/>
      <c r="C20" s="23" t="s">
        <v>93</v>
      </c>
    </row>
    <row r="21" spans="1:3" ht="23.25" customHeight="1" x14ac:dyDescent="0.25">
      <c r="A21" s="11">
        <v>15</v>
      </c>
      <c r="B21" s="44" t="s">
        <v>31</v>
      </c>
      <c r="C21" s="22" t="s">
        <v>94</v>
      </c>
    </row>
    <row r="22" spans="1:3" ht="31.5" x14ac:dyDescent="0.25">
      <c r="A22" s="11">
        <v>16</v>
      </c>
      <c r="B22" s="44" t="s">
        <v>32</v>
      </c>
      <c r="C22" s="22" t="s">
        <v>95</v>
      </c>
    </row>
    <row r="23" spans="1:3" ht="23.25" customHeight="1" x14ac:dyDescent="0.25">
      <c r="A23" s="11">
        <v>17</v>
      </c>
      <c r="B23" s="44" t="s">
        <v>70</v>
      </c>
      <c r="C23" s="22" t="s">
        <v>96</v>
      </c>
    </row>
    <row r="24" spans="1:3" ht="31.5" x14ac:dyDescent="0.25">
      <c r="A24" s="11">
        <v>18</v>
      </c>
      <c r="B24" s="44" t="s">
        <v>33</v>
      </c>
      <c r="C24" s="22" t="s">
        <v>97</v>
      </c>
    </row>
    <row r="25" spans="1:3" ht="23.25" customHeight="1" x14ac:dyDescent="0.25">
      <c r="A25" s="11">
        <v>19</v>
      </c>
      <c r="B25" s="44" t="s">
        <v>34</v>
      </c>
      <c r="C25" s="22" t="s">
        <v>98</v>
      </c>
    </row>
    <row r="26" spans="1:3" ht="23.25" customHeight="1" x14ac:dyDescent="0.25">
      <c r="A26" s="11">
        <v>20</v>
      </c>
      <c r="B26" s="44" t="s">
        <v>35</v>
      </c>
      <c r="C26" s="23" t="s">
        <v>99</v>
      </c>
    </row>
    <row r="27" spans="1:3" ht="23.25" customHeight="1" x14ac:dyDescent="0.25">
      <c r="A27" s="11">
        <v>21</v>
      </c>
      <c r="B27" s="44" t="s">
        <v>36</v>
      </c>
      <c r="C27" s="22" t="s">
        <v>100</v>
      </c>
    </row>
    <row r="28" spans="1:3" ht="23.25" customHeight="1" x14ac:dyDescent="0.25">
      <c r="A28" s="11">
        <v>22</v>
      </c>
      <c r="B28" s="44" t="s">
        <v>37</v>
      </c>
      <c r="C28" s="22" t="s">
        <v>101</v>
      </c>
    </row>
    <row r="29" spans="1:3" ht="23.25" customHeight="1" x14ac:dyDescent="0.25">
      <c r="A29" s="11">
        <v>23</v>
      </c>
      <c r="B29" s="44" t="s">
        <v>38</v>
      </c>
      <c r="C29" s="22" t="s">
        <v>101</v>
      </c>
    </row>
    <row r="30" spans="1:3" ht="23.25" customHeight="1" x14ac:dyDescent="0.25">
      <c r="A30" s="11">
        <v>24</v>
      </c>
      <c r="B30" s="44" t="s">
        <v>39</v>
      </c>
      <c r="C30" s="22" t="s">
        <v>102</v>
      </c>
    </row>
    <row r="31" spans="1:3" ht="23.25" customHeight="1" x14ac:dyDescent="0.25">
      <c r="A31" s="11">
        <v>25</v>
      </c>
      <c r="B31" s="44" t="s">
        <v>40</v>
      </c>
      <c r="C31" s="22" t="s">
        <v>132</v>
      </c>
    </row>
    <row r="32" spans="1:3" ht="23.25" customHeight="1" x14ac:dyDescent="0.25">
      <c r="A32" s="11">
        <v>26</v>
      </c>
      <c r="B32" s="44" t="s">
        <v>41</v>
      </c>
      <c r="C32" s="22" t="s">
        <v>132</v>
      </c>
    </row>
    <row r="33" spans="1:3" ht="23.25" customHeight="1" x14ac:dyDescent="0.25">
      <c r="A33" s="11">
        <v>27</v>
      </c>
      <c r="B33" s="44" t="s">
        <v>42</v>
      </c>
      <c r="C33" s="20" t="s">
        <v>103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1295-2944-435B-95B5-EF2C0F813D57}">
  <dimension ref="A1:I33"/>
  <sheetViews>
    <sheetView workbookViewId="0">
      <selection activeCell="E13" sqref="E13"/>
    </sheetView>
  </sheetViews>
  <sheetFormatPr defaultRowHeight="15" x14ac:dyDescent="0.25"/>
  <cols>
    <col min="2" max="2" width="25" bestFit="1" customWidth="1"/>
    <col min="9" max="9" width="12.7109375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169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170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181</v>
      </c>
      <c r="B5" s="69"/>
      <c r="C5" s="70"/>
      <c r="D5" s="68" t="s">
        <v>180</v>
      </c>
      <c r="E5" s="69"/>
      <c r="F5" s="69"/>
      <c r="G5" s="70"/>
      <c r="H5" s="68" t="s">
        <v>171</v>
      </c>
      <c r="I5" s="70"/>
    </row>
    <row r="6" spans="1:9" s="71" customFormat="1" ht="33" customHeight="1" x14ac:dyDescent="0.25">
      <c r="A6" s="68" t="s">
        <v>172</v>
      </c>
      <c r="B6" s="69"/>
      <c r="C6" s="70"/>
      <c r="D6" s="68" t="s">
        <v>173</v>
      </c>
      <c r="E6" s="69"/>
      <c r="F6" s="69"/>
      <c r="G6" s="70"/>
      <c r="H6" s="68" t="s">
        <v>174</v>
      </c>
      <c r="I6" s="70"/>
    </row>
    <row r="7" spans="1:9" s="71" customFormat="1" ht="33" customHeight="1" x14ac:dyDescent="0.25">
      <c r="A7" s="68" t="s">
        <v>183</v>
      </c>
      <c r="B7" s="69"/>
      <c r="C7" s="70"/>
      <c r="D7" s="68" t="s">
        <v>184</v>
      </c>
      <c r="E7" s="69"/>
      <c r="F7" s="69"/>
      <c r="G7" s="70"/>
      <c r="H7" s="68" t="s">
        <v>182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175</v>
      </c>
      <c r="E9" s="48" t="s">
        <v>176</v>
      </c>
      <c r="F9" s="48" t="s">
        <v>177</v>
      </c>
      <c r="G9" s="48" t="s">
        <v>51</v>
      </c>
      <c r="H9" s="48"/>
      <c r="I9" s="48" t="s">
        <v>178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179</v>
      </c>
      <c r="H10" s="45" t="s">
        <v>54</v>
      </c>
      <c r="I10" s="48"/>
    </row>
    <row r="11" spans="1:9" ht="15.75" x14ac:dyDescent="0.25">
      <c r="A11" s="73">
        <v>1</v>
      </c>
      <c r="B11" s="46" t="s">
        <v>104</v>
      </c>
      <c r="C11" s="73"/>
      <c r="D11" s="46">
        <v>41</v>
      </c>
      <c r="E11" s="73"/>
      <c r="F11" s="73">
        <v>6</v>
      </c>
      <c r="G11" s="73"/>
      <c r="H11" s="73"/>
      <c r="I11" s="73"/>
    </row>
    <row r="12" spans="1:9" ht="15.75" x14ac:dyDescent="0.25">
      <c r="A12" s="73">
        <v>2</v>
      </c>
      <c r="B12" s="46" t="s">
        <v>104</v>
      </c>
      <c r="C12" s="73"/>
      <c r="D12" s="46">
        <v>43</v>
      </c>
      <c r="E12" s="73"/>
      <c r="F12" s="73">
        <v>6.5</v>
      </c>
      <c r="G12" s="73"/>
      <c r="H12" s="73"/>
      <c r="I12" s="73"/>
    </row>
    <row r="13" spans="1:9" ht="15.75" x14ac:dyDescent="0.25">
      <c r="A13" s="73">
        <v>3</v>
      </c>
      <c r="B13" s="46" t="s">
        <v>105</v>
      </c>
      <c r="C13" s="73"/>
      <c r="D13" s="46">
        <v>38</v>
      </c>
      <c r="E13" s="73"/>
      <c r="F13" s="73">
        <v>5</v>
      </c>
      <c r="G13" s="73"/>
      <c r="H13" s="73"/>
      <c r="I13" s="73"/>
    </row>
    <row r="14" spans="1:9" ht="15.75" x14ac:dyDescent="0.25">
      <c r="A14" s="73">
        <v>4</v>
      </c>
      <c r="B14" s="46" t="s">
        <v>105</v>
      </c>
      <c r="C14" s="73"/>
      <c r="D14" s="46">
        <v>43</v>
      </c>
      <c r="E14" s="73"/>
      <c r="F14" s="73">
        <v>6</v>
      </c>
      <c r="G14" s="73"/>
      <c r="H14" s="73"/>
      <c r="I14" s="73"/>
    </row>
    <row r="15" spans="1:9" ht="15.75" x14ac:dyDescent="0.25">
      <c r="A15" s="73">
        <v>5</v>
      </c>
      <c r="B15" s="46" t="s">
        <v>106</v>
      </c>
      <c r="C15" s="73"/>
      <c r="D15" s="46">
        <v>48</v>
      </c>
      <c r="E15" s="73"/>
      <c r="F15" s="73">
        <v>7.5</v>
      </c>
      <c r="G15" s="73"/>
      <c r="H15" s="73"/>
      <c r="I15" s="73"/>
    </row>
    <row r="16" spans="1:9" ht="15.75" x14ac:dyDescent="0.25">
      <c r="A16" s="73">
        <v>6</v>
      </c>
      <c r="B16" s="46" t="s">
        <v>107</v>
      </c>
      <c r="C16" s="73"/>
      <c r="D16" s="46">
        <v>39</v>
      </c>
      <c r="E16" s="73"/>
      <c r="F16" s="73">
        <v>5.5</v>
      </c>
      <c r="G16" s="73"/>
      <c r="H16" s="73"/>
      <c r="I16" s="73"/>
    </row>
    <row r="17" spans="1:9" ht="15.75" x14ac:dyDescent="0.25">
      <c r="A17" s="73">
        <v>7</v>
      </c>
      <c r="B17" s="46" t="s">
        <v>105</v>
      </c>
      <c r="C17" s="73"/>
      <c r="D17" s="46">
        <v>53</v>
      </c>
      <c r="E17" s="73"/>
      <c r="F17" s="73">
        <v>7</v>
      </c>
      <c r="G17" s="73"/>
      <c r="H17" s="73"/>
      <c r="I17" s="73"/>
    </row>
    <row r="18" spans="1:9" ht="15.75" x14ac:dyDescent="0.25">
      <c r="A18" s="73">
        <v>8</v>
      </c>
      <c r="B18" s="46" t="s">
        <v>108</v>
      </c>
      <c r="C18" s="73"/>
      <c r="D18" s="46">
        <v>58</v>
      </c>
      <c r="E18" s="73"/>
      <c r="F18" s="73">
        <v>13</v>
      </c>
      <c r="G18" s="73"/>
      <c r="H18" s="73"/>
      <c r="I18" s="73"/>
    </row>
    <row r="19" spans="1:9" ht="15.75" x14ac:dyDescent="0.25">
      <c r="A19" s="73">
        <v>9</v>
      </c>
      <c r="B19" s="46" t="s">
        <v>105</v>
      </c>
      <c r="C19" s="73"/>
      <c r="D19" s="46">
        <v>54</v>
      </c>
      <c r="E19" s="73"/>
      <c r="F19" s="73">
        <v>10.5</v>
      </c>
      <c r="G19" s="73"/>
      <c r="H19" s="73"/>
      <c r="I19" s="73"/>
    </row>
    <row r="20" spans="1:9" ht="15.75" x14ac:dyDescent="0.25">
      <c r="A20" s="73">
        <v>10</v>
      </c>
      <c r="B20" s="46" t="s">
        <v>104</v>
      </c>
      <c r="C20" s="73"/>
      <c r="D20" s="46">
        <v>46</v>
      </c>
      <c r="E20" s="73"/>
      <c r="F20" s="73">
        <v>13</v>
      </c>
      <c r="G20" s="73"/>
      <c r="H20" s="73"/>
      <c r="I20" s="73"/>
    </row>
    <row r="21" spans="1:9" ht="15.75" x14ac:dyDescent="0.25">
      <c r="A21" s="73">
        <v>11</v>
      </c>
      <c r="B21" s="46" t="s">
        <v>105</v>
      </c>
      <c r="C21" s="73"/>
      <c r="D21" s="46">
        <v>32</v>
      </c>
      <c r="E21" s="73"/>
      <c r="F21" s="73">
        <v>6.5</v>
      </c>
      <c r="G21" s="73"/>
      <c r="H21" s="73"/>
      <c r="I21" s="73"/>
    </row>
    <row r="22" spans="1:9" ht="15.75" x14ac:dyDescent="0.25">
      <c r="A22" s="73">
        <v>12</v>
      </c>
      <c r="B22" s="46" t="s">
        <v>109</v>
      </c>
      <c r="C22" s="73"/>
      <c r="D22" s="46">
        <v>34</v>
      </c>
      <c r="E22" s="73"/>
      <c r="F22" s="73">
        <v>5.5</v>
      </c>
      <c r="G22" s="73"/>
      <c r="H22" s="73"/>
      <c r="I22" s="73"/>
    </row>
    <row r="23" spans="1:9" ht="15.75" x14ac:dyDescent="0.25">
      <c r="A23" s="73">
        <v>13</v>
      </c>
      <c r="B23" s="46" t="s">
        <v>109</v>
      </c>
      <c r="C23" s="73"/>
      <c r="D23" s="46">
        <v>33</v>
      </c>
      <c r="E23" s="73"/>
      <c r="F23" s="73">
        <v>6</v>
      </c>
      <c r="G23" s="73"/>
      <c r="H23" s="73"/>
      <c r="I23" s="73"/>
    </row>
    <row r="24" spans="1:9" ht="15.75" x14ac:dyDescent="0.25">
      <c r="A24" s="73">
        <v>14</v>
      </c>
      <c r="B24" s="46" t="s">
        <v>110</v>
      </c>
      <c r="C24" s="73"/>
      <c r="D24" s="46">
        <v>48</v>
      </c>
      <c r="E24" s="73"/>
      <c r="F24" s="73">
        <v>8</v>
      </c>
      <c r="G24" s="73"/>
      <c r="H24" s="73"/>
      <c r="I24" s="73"/>
    </row>
    <row r="25" spans="1:9" ht="15.75" x14ac:dyDescent="0.25">
      <c r="A25" s="73">
        <v>15</v>
      </c>
      <c r="B25" s="46" t="s">
        <v>111</v>
      </c>
      <c r="C25" s="73"/>
      <c r="D25" s="46">
        <v>38</v>
      </c>
      <c r="E25" s="73"/>
      <c r="F25" s="73">
        <v>5</v>
      </c>
      <c r="G25" s="73"/>
      <c r="H25" s="73"/>
      <c r="I25" s="73"/>
    </row>
    <row r="26" spans="1:9" ht="15.75" x14ac:dyDescent="0.25">
      <c r="A26" s="73">
        <v>16</v>
      </c>
      <c r="B26" s="46" t="s">
        <v>104</v>
      </c>
      <c r="C26" s="73"/>
      <c r="D26" s="46">
        <v>48</v>
      </c>
      <c r="E26" s="73"/>
      <c r="F26" s="73">
        <v>9</v>
      </c>
      <c r="G26" s="73"/>
      <c r="H26" s="73"/>
      <c r="I26" s="73"/>
    </row>
    <row r="27" spans="1:9" ht="15.75" x14ac:dyDescent="0.25">
      <c r="A27" s="73">
        <v>17</v>
      </c>
      <c r="B27" s="46" t="s">
        <v>104</v>
      </c>
      <c r="C27" s="73"/>
      <c r="D27" s="46">
        <v>44</v>
      </c>
      <c r="E27" s="73"/>
      <c r="F27" s="73">
        <v>10</v>
      </c>
      <c r="G27" s="73"/>
      <c r="H27" s="73"/>
      <c r="I27" s="73"/>
    </row>
    <row r="28" spans="1:9" ht="15.75" x14ac:dyDescent="0.25">
      <c r="A28" s="73">
        <v>18</v>
      </c>
      <c r="B28" s="46" t="s">
        <v>105</v>
      </c>
      <c r="C28" s="73"/>
      <c r="D28" s="46">
        <v>51</v>
      </c>
      <c r="E28" s="73"/>
      <c r="F28" s="73">
        <v>9</v>
      </c>
      <c r="G28" s="73"/>
      <c r="H28" s="73"/>
      <c r="I28" s="73"/>
    </row>
    <row r="29" spans="1:9" ht="15.75" x14ac:dyDescent="0.25">
      <c r="A29" s="73">
        <v>19</v>
      </c>
      <c r="B29" s="46" t="s">
        <v>105</v>
      </c>
      <c r="C29" s="73"/>
      <c r="D29" s="46">
        <v>49</v>
      </c>
      <c r="E29" s="73"/>
      <c r="F29" s="73">
        <v>10</v>
      </c>
      <c r="G29" s="73"/>
      <c r="H29" s="73"/>
      <c r="I29" s="73"/>
    </row>
    <row r="30" spans="1:9" ht="15.75" x14ac:dyDescent="0.25">
      <c r="A30" s="73">
        <v>20</v>
      </c>
      <c r="B30" s="46" t="s">
        <v>105</v>
      </c>
      <c r="C30" s="73"/>
      <c r="D30" s="46">
        <v>32</v>
      </c>
      <c r="E30" s="73"/>
      <c r="F30" s="73">
        <v>6.5</v>
      </c>
      <c r="G30" s="73"/>
      <c r="H30" s="73"/>
      <c r="I30" s="73"/>
    </row>
    <row r="31" spans="1:9" ht="15.75" x14ac:dyDescent="0.25">
      <c r="A31" s="73">
        <v>21</v>
      </c>
      <c r="B31" s="46" t="s">
        <v>112</v>
      </c>
      <c r="C31" s="73"/>
      <c r="D31" s="46">
        <v>34</v>
      </c>
      <c r="E31" s="73"/>
      <c r="F31" s="73">
        <v>1.5</v>
      </c>
      <c r="G31" s="73"/>
      <c r="H31" s="73"/>
      <c r="I31" s="73"/>
    </row>
    <row r="32" spans="1:9" ht="15.75" x14ac:dyDescent="0.25">
      <c r="A32" s="73">
        <v>22</v>
      </c>
      <c r="B32" s="46" t="s">
        <v>105</v>
      </c>
      <c r="C32" s="73"/>
      <c r="D32" s="46">
        <v>36</v>
      </c>
      <c r="E32" s="73"/>
      <c r="F32" s="73">
        <v>6.5</v>
      </c>
      <c r="G32" s="73"/>
      <c r="H32" s="73"/>
      <c r="I32" s="73"/>
    </row>
    <row r="33" spans="1:9" ht="15.75" x14ac:dyDescent="0.25">
      <c r="A33" s="73">
        <v>23</v>
      </c>
      <c r="B33" s="46" t="s">
        <v>106</v>
      </c>
      <c r="C33" s="73"/>
      <c r="D33" s="46">
        <v>38</v>
      </c>
      <c r="E33" s="73"/>
      <c r="F33" s="73">
        <v>7</v>
      </c>
      <c r="G33" s="73"/>
      <c r="H33" s="73"/>
      <c r="I33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17" right="0.28000000000000003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55BD-94BD-4F77-87B1-B079639E8F36}">
  <dimension ref="A1:Q9"/>
  <sheetViews>
    <sheetView workbookViewId="0">
      <selection sqref="A1:XFD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5" customFormat="1" ht="20.25" x14ac:dyDescent="0.25">
      <c r="A1" s="74" t="s">
        <v>185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186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187</v>
      </c>
      <c r="E5" s="78" t="s">
        <v>188</v>
      </c>
      <c r="F5" s="79"/>
      <c r="G5" s="79"/>
      <c r="H5" s="79"/>
      <c r="I5" s="79"/>
      <c r="J5" s="79"/>
      <c r="K5" s="79"/>
      <c r="L5" s="79"/>
      <c r="M5" s="80"/>
      <c r="N5" s="77" t="s">
        <v>189</v>
      </c>
      <c r="O5" s="78" t="s">
        <v>190</v>
      </c>
      <c r="P5" s="80"/>
      <c r="Q5" s="77" t="s">
        <v>191</v>
      </c>
    </row>
    <row r="6" spans="1:17" s="75" customFormat="1" ht="15.75" x14ac:dyDescent="0.25">
      <c r="A6" s="81"/>
      <c r="B6" s="81"/>
      <c r="C6" s="81"/>
      <c r="D6" s="81"/>
      <c r="E6" s="82" t="s">
        <v>192</v>
      </c>
      <c r="F6" s="83"/>
      <c r="G6" s="84"/>
      <c r="H6" s="82" t="s">
        <v>193</v>
      </c>
      <c r="I6" s="83"/>
      <c r="J6" s="84"/>
      <c r="K6" s="82" t="s">
        <v>194</v>
      </c>
      <c r="L6" s="83"/>
      <c r="M6" s="84"/>
      <c r="N6" s="81"/>
      <c r="O6" s="77" t="s">
        <v>195</v>
      </c>
      <c r="P6" s="77" t="s">
        <v>196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197</v>
      </c>
      <c r="F7" s="87"/>
      <c r="G7" s="88"/>
      <c r="H7" s="86" t="s">
        <v>198</v>
      </c>
      <c r="I7" s="87"/>
      <c r="J7" s="88"/>
      <c r="K7" s="86" t="s">
        <v>197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199</v>
      </c>
      <c r="F8" s="90" t="s">
        <v>200</v>
      </c>
      <c r="G8" s="90" t="s">
        <v>201</v>
      </c>
      <c r="H8" s="90" t="s">
        <v>199</v>
      </c>
      <c r="I8" s="90" t="s">
        <v>200</v>
      </c>
      <c r="J8" s="90" t="s">
        <v>201</v>
      </c>
      <c r="K8" s="90" t="s">
        <v>199</v>
      </c>
      <c r="L8" s="90" t="s">
        <v>200</v>
      </c>
      <c r="M8" s="90" t="s">
        <v>201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202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view="pageBreakPreview" zoomScaleSheetLayoutView="100" workbookViewId="0">
      <selection activeCell="I11" sqref="I11"/>
    </sheetView>
  </sheetViews>
  <sheetFormatPr defaultColWidth="9.140625" defaultRowHeight="15.75" x14ac:dyDescent="0.25"/>
  <cols>
    <col min="1" max="1" width="6.85546875" style="13" bestFit="1" customWidth="1"/>
    <col min="2" max="2" width="27.7109375" style="13" bestFit="1" customWidth="1"/>
    <col min="3" max="3" width="15.28515625" style="13" bestFit="1" customWidth="1"/>
    <col min="4" max="4" width="9.28515625" style="13" customWidth="1"/>
    <col min="5" max="5" width="7.7109375" style="13" customWidth="1"/>
    <col min="6" max="7" width="9.140625" style="13"/>
    <col min="8" max="8" width="16.425781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119</v>
      </c>
      <c r="C5" s="12" t="s">
        <v>143</v>
      </c>
      <c r="D5" s="12">
        <v>3.5</v>
      </c>
      <c r="E5" s="12">
        <v>2.5</v>
      </c>
      <c r="F5" s="12" t="s">
        <v>160</v>
      </c>
      <c r="G5" s="12">
        <v>6.5</v>
      </c>
      <c r="H5" s="12"/>
    </row>
    <row r="6" spans="1:8" x14ac:dyDescent="0.25">
      <c r="A6" s="11">
        <v>2</v>
      </c>
      <c r="B6" s="12" t="s">
        <v>122</v>
      </c>
      <c r="C6" s="12" t="s">
        <v>144</v>
      </c>
      <c r="D6" s="12">
        <v>2.2000000000000002</v>
      </c>
      <c r="E6" s="12">
        <v>3</v>
      </c>
      <c r="F6" s="12" t="s">
        <v>161</v>
      </c>
      <c r="G6" s="12">
        <v>4.5</v>
      </c>
      <c r="H6" s="12"/>
    </row>
    <row r="7" spans="1:8" x14ac:dyDescent="0.25">
      <c r="A7" s="11">
        <v>3</v>
      </c>
      <c r="B7" s="12" t="s">
        <v>123</v>
      </c>
      <c r="C7" s="12" t="s">
        <v>145</v>
      </c>
      <c r="D7" s="12">
        <v>6.5</v>
      </c>
      <c r="E7" s="12">
        <v>3.5</v>
      </c>
      <c r="F7" s="12" t="s">
        <v>160</v>
      </c>
      <c r="G7" s="12">
        <v>20</v>
      </c>
      <c r="H7" s="12"/>
    </row>
    <row r="8" spans="1:8" x14ac:dyDescent="0.25">
      <c r="A8" s="26"/>
      <c r="B8" s="27"/>
      <c r="C8" s="28"/>
      <c r="D8" s="29"/>
      <c r="E8" s="30"/>
    </row>
    <row r="9" spans="1:8" x14ac:dyDescent="0.25">
      <c r="A9" s="57" t="s">
        <v>55</v>
      </c>
      <c r="B9" s="57"/>
      <c r="C9" s="57"/>
      <c r="D9" s="57"/>
      <c r="E9" s="57"/>
      <c r="F9" s="57"/>
      <c r="G9" s="57"/>
      <c r="H9" s="57"/>
    </row>
    <row r="10" spans="1:8" x14ac:dyDescent="0.25">
      <c r="A10" s="11">
        <v>1</v>
      </c>
      <c r="B10" s="58" t="s">
        <v>56</v>
      </c>
      <c r="C10" s="58"/>
      <c r="D10" s="58"/>
      <c r="E10" s="58"/>
      <c r="F10" s="58"/>
      <c r="G10" s="58"/>
      <c r="H10" s="31" t="s">
        <v>130</v>
      </c>
    </row>
    <row r="11" spans="1:8" x14ac:dyDescent="0.25">
      <c r="A11" s="11">
        <v>2</v>
      </c>
      <c r="B11" s="58" t="s">
        <v>57</v>
      </c>
      <c r="C11" s="58"/>
      <c r="D11" s="58"/>
      <c r="E11" s="58"/>
      <c r="F11" s="58"/>
      <c r="G11" s="58"/>
      <c r="H11" s="31" t="s">
        <v>131</v>
      </c>
    </row>
    <row r="12" spans="1:8" x14ac:dyDescent="0.25">
      <c r="A12" s="11">
        <v>3</v>
      </c>
      <c r="B12" s="58" t="s">
        <v>58</v>
      </c>
      <c r="C12" s="58"/>
      <c r="D12" s="58"/>
      <c r="E12" s="58"/>
      <c r="F12" s="58"/>
      <c r="G12" s="58"/>
      <c r="H12" s="31">
        <v>0</v>
      </c>
    </row>
    <row r="13" spans="1:8" x14ac:dyDescent="0.25">
      <c r="A13" s="26"/>
      <c r="B13" s="26"/>
      <c r="C13" s="26"/>
      <c r="D13" s="26"/>
      <c r="E13" s="26"/>
      <c r="F13" s="26"/>
      <c r="G13" s="26"/>
      <c r="H13" s="32"/>
    </row>
    <row r="14" spans="1:8" x14ac:dyDescent="0.25">
      <c r="B14" s="33" t="str">
        <f>B2</f>
        <v xml:space="preserve">    Grid No:  </v>
      </c>
      <c r="F14" s="33" t="s">
        <v>59</v>
      </c>
      <c r="G14" s="33"/>
    </row>
    <row r="15" spans="1:8" x14ac:dyDescent="0.25">
      <c r="A15" s="57" t="s">
        <v>46</v>
      </c>
      <c r="B15" s="57" t="s">
        <v>47</v>
      </c>
      <c r="C15" s="57" t="s">
        <v>48</v>
      </c>
      <c r="D15" s="55" t="s">
        <v>49</v>
      </c>
      <c r="E15" s="57" t="s">
        <v>50</v>
      </c>
      <c r="F15" s="57" t="s">
        <v>51</v>
      </c>
      <c r="G15" s="57"/>
      <c r="H15" s="57" t="s">
        <v>52</v>
      </c>
    </row>
    <row r="16" spans="1:8" ht="63" x14ac:dyDescent="0.25">
      <c r="A16" s="57"/>
      <c r="B16" s="57"/>
      <c r="C16" s="57"/>
      <c r="D16" s="56"/>
      <c r="E16" s="57"/>
      <c r="F16" s="18" t="s">
        <v>53</v>
      </c>
      <c r="G16" s="18" t="s">
        <v>54</v>
      </c>
      <c r="H16" s="57"/>
    </row>
    <row r="17" spans="1:8" x14ac:dyDescent="0.25">
      <c r="A17" s="11">
        <v>1</v>
      </c>
      <c r="B17" s="18" t="s">
        <v>124</v>
      </c>
      <c r="C17" s="18" t="s">
        <v>146</v>
      </c>
      <c r="D17" s="18">
        <v>6</v>
      </c>
      <c r="E17" s="18">
        <v>3</v>
      </c>
      <c r="F17" s="18" t="s">
        <v>162</v>
      </c>
      <c r="G17" s="18">
        <v>22</v>
      </c>
      <c r="H17" s="18"/>
    </row>
    <row r="18" spans="1:8" x14ac:dyDescent="0.25">
      <c r="A18" s="11">
        <v>2</v>
      </c>
      <c r="B18" s="18" t="s">
        <v>111</v>
      </c>
      <c r="C18" s="18" t="s">
        <v>147</v>
      </c>
      <c r="D18" s="18">
        <v>3.5</v>
      </c>
      <c r="E18" s="18">
        <v>2.5</v>
      </c>
      <c r="F18" s="18" t="s">
        <v>161</v>
      </c>
      <c r="G18" s="18">
        <v>6.5</v>
      </c>
      <c r="H18" s="18"/>
    </row>
    <row r="19" spans="1:8" x14ac:dyDescent="0.25">
      <c r="A19" s="11">
        <v>3</v>
      </c>
      <c r="B19" s="18" t="s">
        <v>105</v>
      </c>
      <c r="C19" s="18" t="s">
        <v>148</v>
      </c>
      <c r="D19" s="18">
        <v>5</v>
      </c>
      <c r="E19" s="18">
        <v>3</v>
      </c>
      <c r="F19" s="18" t="s">
        <v>160</v>
      </c>
      <c r="G19" s="18">
        <v>15.6</v>
      </c>
      <c r="H19" s="18"/>
    </row>
    <row r="20" spans="1:8" x14ac:dyDescent="0.25">
      <c r="A20" s="11">
        <v>7.5</v>
      </c>
      <c r="B20" s="18" t="s">
        <v>111</v>
      </c>
      <c r="C20" s="18" t="s">
        <v>147</v>
      </c>
      <c r="D20" s="18">
        <v>3.5</v>
      </c>
      <c r="E20" s="18">
        <v>3</v>
      </c>
      <c r="F20" s="18" t="s">
        <v>161</v>
      </c>
      <c r="G20" s="18">
        <v>7.5</v>
      </c>
      <c r="H20" s="18"/>
    </row>
    <row r="21" spans="1:8" x14ac:dyDescent="0.25">
      <c r="A21" s="26"/>
      <c r="B21" s="34"/>
      <c r="C21" s="35"/>
      <c r="D21" s="26"/>
      <c r="E21" s="26"/>
      <c r="F21" s="26"/>
      <c r="G21" s="26"/>
      <c r="H21" s="26"/>
    </row>
    <row r="22" spans="1:8" x14ac:dyDescent="0.25">
      <c r="A22" s="57" t="s">
        <v>55</v>
      </c>
      <c r="B22" s="57"/>
      <c r="C22" s="57"/>
      <c r="D22" s="57"/>
      <c r="E22" s="57"/>
      <c r="F22" s="57"/>
      <c r="G22" s="57"/>
      <c r="H22" s="57"/>
    </row>
    <row r="23" spans="1:8" x14ac:dyDescent="0.25">
      <c r="A23" s="11">
        <v>1</v>
      </c>
      <c r="B23" s="58" t="s">
        <v>56</v>
      </c>
      <c r="C23" s="58"/>
      <c r="D23" s="58"/>
      <c r="E23" s="58"/>
      <c r="F23" s="58"/>
      <c r="G23" s="58"/>
      <c r="H23" s="11" t="s">
        <v>127</v>
      </c>
    </row>
    <row r="24" spans="1:8" x14ac:dyDescent="0.25">
      <c r="A24" s="11">
        <v>2</v>
      </c>
      <c r="B24" s="58" t="s">
        <v>57</v>
      </c>
      <c r="C24" s="58"/>
      <c r="D24" s="58"/>
      <c r="E24" s="58"/>
      <c r="F24" s="58"/>
      <c r="G24" s="58"/>
      <c r="H24" s="11" t="s">
        <v>128</v>
      </c>
    </row>
    <row r="25" spans="1:8" x14ac:dyDescent="0.25">
      <c r="A25" s="11">
        <v>3</v>
      </c>
      <c r="B25" s="58" t="s">
        <v>58</v>
      </c>
      <c r="C25" s="58"/>
      <c r="D25" s="58"/>
      <c r="E25" s="58"/>
      <c r="F25" s="58"/>
      <c r="G25" s="58"/>
      <c r="H25" s="11" t="s">
        <v>129</v>
      </c>
    </row>
    <row r="26" spans="1:8" x14ac:dyDescent="0.25">
      <c r="A26" s="26"/>
      <c r="B26" s="35"/>
      <c r="C26" s="35"/>
      <c r="D26" s="35"/>
      <c r="E26" s="35"/>
      <c r="F26" s="35"/>
      <c r="G26" s="35"/>
      <c r="H26" s="32"/>
    </row>
    <row r="27" spans="1:8" x14ac:dyDescent="0.25">
      <c r="B27" s="33" t="str">
        <f>B2</f>
        <v xml:space="preserve">    Grid No:  </v>
      </c>
      <c r="F27" s="25" t="s">
        <v>74</v>
      </c>
      <c r="G27" s="25"/>
    </row>
    <row r="28" spans="1:8" x14ac:dyDescent="0.25">
      <c r="A28" s="57" t="s">
        <v>46</v>
      </c>
      <c r="B28" s="57" t="s">
        <v>47</v>
      </c>
      <c r="C28" s="57" t="s">
        <v>48</v>
      </c>
      <c r="D28" s="55" t="s">
        <v>49</v>
      </c>
      <c r="E28" s="57" t="s">
        <v>50</v>
      </c>
      <c r="F28" s="57" t="s">
        <v>51</v>
      </c>
      <c r="G28" s="57"/>
      <c r="H28" s="57" t="s">
        <v>52</v>
      </c>
    </row>
    <row r="29" spans="1:8" ht="63" x14ac:dyDescent="0.25">
      <c r="A29" s="57"/>
      <c r="B29" s="57"/>
      <c r="C29" s="57"/>
      <c r="D29" s="56"/>
      <c r="E29" s="57"/>
      <c r="F29" s="18" t="s">
        <v>53</v>
      </c>
      <c r="G29" s="18" t="s">
        <v>54</v>
      </c>
      <c r="H29" s="57"/>
    </row>
    <row r="30" spans="1:8" s="24" customFormat="1" x14ac:dyDescent="0.25">
      <c r="A30" s="11">
        <v>1</v>
      </c>
      <c r="B30" s="36" t="s">
        <v>111</v>
      </c>
      <c r="C30" s="11" t="s">
        <v>147</v>
      </c>
      <c r="D30" s="11">
        <v>3</v>
      </c>
      <c r="E30" s="11">
        <v>3.5</v>
      </c>
      <c r="F30" s="11" t="s">
        <v>163</v>
      </c>
      <c r="G30" s="11">
        <v>8.5</v>
      </c>
      <c r="H30" s="11"/>
    </row>
    <row r="31" spans="1:8" s="24" customFormat="1" x14ac:dyDescent="0.25">
      <c r="A31" s="11">
        <v>2</v>
      </c>
      <c r="B31" s="36" t="s">
        <v>125</v>
      </c>
      <c r="C31" s="11" t="s">
        <v>149</v>
      </c>
      <c r="D31" s="11">
        <v>2.5</v>
      </c>
      <c r="E31" s="11">
        <v>2</v>
      </c>
      <c r="F31" s="11" t="s">
        <v>164</v>
      </c>
      <c r="G31" s="11">
        <v>4.5</v>
      </c>
      <c r="H31" s="11"/>
    </row>
    <row r="32" spans="1:8" s="24" customFormat="1" x14ac:dyDescent="0.25">
      <c r="A32" s="11">
        <v>3</v>
      </c>
      <c r="B32" s="36" t="s">
        <v>104</v>
      </c>
      <c r="C32" s="11" t="s">
        <v>150</v>
      </c>
      <c r="D32" s="11">
        <v>2.5</v>
      </c>
      <c r="E32" s="11">
        <v>1.5</v>
      </c>
      <c r="F32" s="11" t="s">
        <v>165</v>
      </c>
      <c r="G32" s="11">
        <v>2</v>
      </c>
      <c r="H32" s="11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B34" s="33" t="str">
        <f>B2</f>
        <v xml:space="preserve">    Grid No:  </v>
      </c>
      <c r="F34" s="59" t="s">
        <v>75</v>
      </c>
      <c r="G34" s="59"/>
      <c r="H34" s="59"/>
    </row>
    <row r="35" spans="1:8" x14ac:dyDescent="0.25">
      <c r="A35" s="55" t="s">
        <v>46</v>
      </c>
      <c r="B35" s="55" t="s">
        <v>47</v>
      </c>
      <c r="C35" s="55" t="s">
        <v>48</v>
      </c>
      <c r="D35" s="55" t="s">
        <v>49</v>
      </c>
      <c r="E35" s="55" t="s">
        <v>50</v>
      </c>
      <c r="F35" s="60" t="s">
        <v>51</v>
      </c>
      <c r="G35" s="61"/>
      <c r="H35" s="55" t="s">
        <v>52</v>
      </c>
    </row>
    <row r="36" spans="1:8" ht="63" x14ac:dyDescent="0.25">
      <c r="A36" s="56"/>
      <c r="B36" s="56"/>
      <c r="C36" s="56"/>
      <c r="D36" s="56"/>
      <c r="E36" s="56"/>
      <c r="F36" s="18" t="s">
        <v>53</v>
      </c>
      <c r="G36" s="18" t="s">
        <v>54</v>
      </c>
      <c r="H36" s="56"/>
    </row>
    <row r="37" spans="1:8" s="24" customFormat="1" x14ac:dyDescent="0.25">
      <c r="A37" s="37">
        <v>1</v>
      </c>
      <c r="B37" s="36" t="s">
        <v>117</v>
      </c>
      <c r="C37" s="11" t="s">
        <v>151</v>
      </c>
      <c r="D37" s="37">
        <v>4</v>
      </c>
      <c r="E37" s="38">
        <v>8</v>
      </c>
      <c r="F37" s="23" t="s">
        <v>164</v>
      </c>
      <c r="G37" s="23">
        <v>30.5</v>
      </c>
      <c r="H37" s="23"/>
    </row>
    <row r="38" spans="1:8" s="24" customFormat="1" x14ac:dyDescent="0.25">
      <c r="A38" s="37">
        <v>2</v>
      </c>
      <c r="B38" s="36" t="s">
        <v>106</v>
      </c>
      <c r="C38" s="11" t="s">
        <v>152</v>
      </c>
      <c r="D38" s="37">
        <v>6</v>
      </c>
      <c r="E38" s="38">
        <v>5</v>
      </c>
      <c r="F38" s="23" t="s">
        <v>164</v>
      </c>
      <c r="G38" s="23">
        <v>36</v>
      </c>
      <c r="H38" s="23"/>
    </row>
    <row r="39" spans="1:8" s="24" customFormat="1" x14ac:dyDescent="0.25">
      <c r="A39" s="37">
        <v>3</v>
      </c>
      <c r="B39" s="36" t="s">
        <v>126</v>
      </c>
      <c r="C39" s="11" t="s">
        <v>153</v>
      </c>
      <c r="D39" s="37">
        <v>2.5</v>
      </c>
      <c r="E39" s="38">
        <v>3</v>
      </c>
      <c r="F39" s="23" t="s">
        <v>164</v>
      </c>
      <c r="G39" s="23">
        <v>5</v>
      </c>
      <c r="H39" s="23"/>
    </row>
    <row r="40" spans="1:8" s="24" customFormat="1" x14ac:dyDescent="0.25">
      <c r="A40" s="37">
        <v>4</v>
      </c>
      <c r="B40" s="36" t="s">
        <v>105</v>
      </c>
      <c r="C40" s="11" t="s">
        <v>148</v>
      </c>
      <c r="D40" s="37">
        <v>3</v>
      </c>
      <c r="E40" s="38">
        <v>3.5</v>
      </c>
      <c r="F40" s="23" t="s">
        <v>160</v>
      </c>
      <c r="G40" s="23">
        <v>8</v>
      </c>
      <c r="H40" s="23"/>
    </row>
  </sheetData>
  <mergeCells count="39">
    <mergeCell ref="H28:H29"/>
    <mergeCell ref="F34:H34"/>
    <mergeCell ref="A35:A36"/>
    <mergeCell ref="B35:B36"/>
    <mergeCell ref="C35:C36"/>
    <mergeCell ref="D35:D36"/>
    <mergeCell ref="E35:E36"/>
    <mergeCell ref="F35:G35"/>
    <mergeCell ref="H35:H36"/>
    <mergeCell ref="A28:A29"/>
    <mergeCell ref="B28:B29"/>
    <mergeCell ref="C28:C29"/>
    <mergeCell ref="D28:D29"/>
    <mergeCell ref="E28:E29"/>
    <mergeCell ref="F28:G28"/>
    <mergeCell ref="H15:H16"/>
    <mergeCell ref="A22:H22"/>
    <mergeCell ref="B23:G23"/>
    <mergeCell ref="B24:G24"/>
    <mergeCell ref="B25:G25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view="pageBreakPreview" zoomScale="85" zoomScaleNormal="85" zoomScaleSheetLayoutView="85" workbookViewId="0">
      <selection activeCell="I13" sqref="I13"/>
    </sheetView>
  </sheetViews>
  <sheetFormatPr defaultColWidth="9.140625" defaultRowHeight="15.75" x14ac:dyDescent="0.25"/>
  <cols>
    <col min="1" max="1" width="6.5703125" style="13" customWidth="1"/>
    <col min="2" max="2" width="22.5703125" style="13" bestFit="1" customWidth="1"/>
    <col min="3" max="3" width="12.42578125" style="28" bestFit="1" customWidth="1"/>
    <col min="4" max="4" width="9.140625" style="13"/>
    <col min="5" max="6" width="10.28515625" style="13" customWidth="1"/>
    <col min="7" max="7" width="19.71093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113</v>
      </c>
      <c r="C6" s="39" t="s">
        <v>154</v>
      </c>
      <c r="D6" s="18">
        <v>20</v>
      </c>
      <c r="E6" s="18" t="s">
        <v>160</v>
      </c>
      <c r="F6" s="18">
        <v>100</v>
      </c>
      <c r="G6" s="18"/>
    </row>
    <row r="7" spans="1:7" x14ac:dyDescent="0.25">
      <c r="A7" s="11">
        <v>2</v>
      </c>
      <c r="B7" s="18" t="s">
        <v>114</v>
      </c>
      <c r="C7" s="39" t="s">
        <v>155</v>
      </c>
      <c r="D7" s="18">
        <v>5</v>
      </c>
      <c r="E7" s="18" t="s">
        <v>166</v>
      </c>
      <c r="F7" s="18">
        <v>12</v>
      </c>
      <c r="G7" s="18"/>
    </row>
    <row r="8" spans="1:7" x14ac:dyDescent="0.25">
      <c r="A8" s="11">
        <v>3</v>
      </c>
      <c r="B8" s="18" t="s">
        <v>105</v>
      </c>
      <c r="C8" s="39" t="s">
        <v>148</v>
      </c>
      <c r="D8" s="18">
        <v>43</v>
      </c>
      <c r="E8" s="18" t="s">
        <v>160</v>
      </c>
      <c r="F8" s="18">
        <v>195</v>
      </c>
      <c r="G8" s="18"/>
    </row>
    <row r="9" spans="1:7" x14ac:dyDescent="0.25">
      <c r="A9" s="11">
        <v>4</v>
      </c>
      <c r="B9" s="18" t="s">
        <v>115</v>
      </c>
      <c r="C9" s="39" t="s">
        <v>156</v>
      </c>
      <c r="D9" s="18">
        <v>61</v>
      </c>
      <c r="E9" s="18" t="s">
        <v>167</v>
      </c>
      <c r="F9" s="18">
        <v>220</v>
      </c>
      <c r="G9" s="18"/>
    </row>
    <row r="10" spans="1:7" x14ac:dyDescent="0.25">
      <c r="A10" s="11">
        <v>5</v>
      </c>
      <c r="B10" s="18" t="s">
        <v>116</v>
      </c>
      <c r="C10" s="39" t="s">
        <v>157</v>
      </c>
      <c r="D10" s="18">
        <v>10</v>
      </c>
      <c r="E10" s="18" t="s">
        <v>160</v>
      </c>
      <c r="F10" s="18">
        <v>35</v>
      </c>
      <c r="G10" s="18"/>
    </row>
    <row r="11" spans="1:7" x14ac:dyDescent="0.25">
      <c r="A11" s="11">
        <v>6</v>
      </c>
      <c r="B11" s="18" t="s">
        <v>117</v>
      </c>
      <c r="C11" s="39" t="s">
        <v>151</v>
      </c>
      <c r="D11" s="18">
        <v>22</v>
      </c>
      <c r="E11" s="18" t="s">
        <v>164</v>
      </c>
      <c r="F11" s="18">
        <v>110</v>
      </c>
      <c r="G11" s="18"/>
    </row>
    <row r="12" spans="1:7" x14ac:dyDescent="0.25">
      <c r="A12" s="11">
        <v>7</v>
      </c>
      <c r="B12" s="18" t="s">
        <v>118</v>
      </c>
      <c r="C12" s="39"/>
      <c r="D12" s="18">
        <v>25</v>
      </c>
      <c r="E12" s="18" t="s">
        <v>168</v>
      </c>
      <c r="F12" s="18">
        <v>152</v>
      </c>
      <c r="G12" s="18"/>
    </row>
    <row r="13" spans="1:7" x14ac:dyDescent="0.25">
      <c r="A13" s="57" t="s">
        <v>55</v>
      </c>
      <c r="B13" s="57"/>
      <c r="C13" s="57"/>
      <c r="D13" s="57"/>
      <c r="E13" s="57"/>
      <c r="F13" s="57"/>
      <c r="G13" s="57"/>
    </row>
    <row r="14" spans="1:7" x14ac:dyDescent="0.25">
      <c r="A14" s="26"/>
      <c r="B14" s="32"/>
      <c r="C14" s="35"/>
      <c r="D14" s="26"/>
      <c r="E14" s="32"/>
      <c r="F14" s="32"/>
      <c r="G14" s="32"/>
    </row>
    <row r="15" spans="1:7" s="24" customFormat="1" x14ac:dyDescent="0.25">
      <c r="B15" s="40" t="s">
        <v>67</v>
      </c>
      <c r="C15" s="41"/>
      <c r="E15" s="53" t="s">
        <v>68</v>
      </c>
      <c r="F15" s="53"/>
      <c r="G15" s="53"/>
    </row>
    <row r="16" spans="1:7" x14ac:dyDescent="0.25">
      <c r="A16" s="57" t="s">
        <v>46</v>
      </c>
      <c r="B16" s="57" t="s">
        <v>47</v>
      </c>
      <c r="C16" s="62" t="s">
        <v>48</v>
      </c>
      <c r="D16" s="57" t="s">
        <v>61</v>
      </c>
      <c r="E16" s="57" t="s">
        <v>51</v>
      </c>
      <c r="F16" s="57"/>
      <c r="G16" s="57" t="s">
        <v>62</v>
      </c>
    </row>
    <row r="17" spans="1:7" ht="31.5" x14ac:dyDescent="0.25">
      <c r="A17" s="57"/>
      <c r="B17" s="57"/>
      <c r="C17" s="63"/>
      <c r="D17" s="57"/>
      <c r="E17" s="18" t="s">
        <v>63</v>
      </c>
      <c r="F17" s="18" t="s">
        <v>64</v>
      </c>
      <c r="G17" s="57"/>
    </row>
    <row r="18" spans="1:7" ht="31.5" x14ac:dyDescent="0.25">
      <c r="A18" s="57"/>
      <c r="B18" s="57"/>
      <c r="C18" s="64"/>
      <c r="D18" s="57"/>
      <c r="E18" s="18" t="s">
        <v>65</v>
      </c>
      <c r="F18" s="18" t="s">
        <v>66</v>
      </c>
      <c r="G18" s="57"/>
    </row>
    <row r="19" spans="1:7" s="24" customFormat="1" x14ac:dyDescent="0.25">
      <c r="A19" s="37">
        <v>1</v>
      </c>
      <c r="B19" s="23" t="s">
        <v>104</v>
      </c>
      <c r="C19" s="42" t="s">
        <v>150</v>
      </c>
      <c r="D19" s="37">
        <v>35</v>
      </c>
      <c r="E19" s="23" t="s">
        <v>165</v>
      </c>
      <c r="F19" s="23">
        <v>180</v>
      </c>
      <c r="G19" s="23"/>
    </row>
    <row r="20" spans="1:7" s="24" customFormat="1" x14ac:dyDescent="0.25">
      <c r="A20" s="37">
        <v>2</v>
      </c>
      <c r="B20" s="23" t="s">
        <v>119</v>
      </c>
      <c r="C20" s="42" t="s">
        <v>143</v>
      </c>
      <c r="D20" s="37">
        <v>31</v>
      </c>
      <c r="E20" s="23" t="s">
        <v>160</v>
      </c>
      <c r="F20" s="23">
        <v>175</v>
      </c>
      <c r="G20" s="23"/>
    </row>
    <row r="21" spans="1:7" s="24" customFormat="1" x14ac:dyDescent="0.25">
      <c r="A21" s="37">
        <v>3</v>
      </c>
      <c r="B21" s="23" t="s">
        <v>120</v>
      </c>
      <c r="C21" s="42" t="s">
        <v>158</v>
      </c>
      <c r="D21" s="37">
        <v>25</v>
      </c>
      <c r="E21" s="23" t="s">
        <v>160</v>
      </c>
      <c r="F21" s="23">
        <v>155</v>
      </c>
      <c r="G21" s="23"/>
    </row>
    <row r="22" spans="1:7" s="24" customFormat="1" x14ac:dyDescent="0.25">
      <c r="A22" s="37">
        <v>4</v>
      </c>
      <c r="B22" s="23" t="s">
        <v>120</v>
      </c>
      <c r="C22" s="42" t="s">
        <v>158</v>
      </c>
      <c r="D22" s="37">
        <v>20</v>
      </c>
      <c r="E22" s="23" t="s">
        <v>160</v>
      </c>
      <c r="F22" s="23">
        <v>106</v>
      </c>
      <c r="G22" s="23"/>
    </row>
    <row r="23" spans="1:7" s="24" customFormat="1" x14ac:dyDescent="0.25">
      <c r="A23" s="37">
        <v>5</v>
      </c>
      <c r="B23" s="23" t="s">
        <v>120</v>
      </c>
      <c r="C23" s="42" t="s">
        <v>158</v>
      </c>
      <c r="D23" s="37">
        <v>19</v>
      </c>
      <c r="E23" s="23" t="s">
        <v>160</v>
      </c>
      <c r="F23" s="23">
        <v>108</v>
      </c>
      <c r="G23" s="23"/>
    </row>
    <row r="24" spans="1:7" s="24" customFormat="1" x14ac:dyDescent="0.25">
      <c r="A24" s="37">
        <v>6</v>
      </c>
      <c r="B24" s="23" t="s">
        <v>121</v>
      </c>
      <c r="C24" s="42" t="s">
        <v>159</v>
      </c>
      <c r="D24" s="37">
        <v>15</v>
      </c>
      <c r="E24" s="23" t="s">
        <v>160</v>
      </c>
      <c r="F24" s="23">
        <v>85</v>
      </c>
      <c r="G24" s="23"/>
    </row>
  </sheetData>
  <mergeCells count="16">
    <mergeCell ref="A13:G13"/>
    <mergeCell ref="E15:G15"/>
    <mergeCell ref="A16:A18"/>
    <mergeCell ref="B16:B18"/>
    <mergeCell ref="C16:C18"/>
    <mergeCell ref="D16:D18"/>
    <mergeCell ref="E16:F16"/>
    <mergeCell ref="G16:G1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2024-10-25T10:45:21Z</cp:lastPrinted>
  <dcterms:created xsi:type="dcterms:W3CDTF">2023-09-21T06:16:02Z</dcterms:created>
  <dcterms:modified xsi:type="dcterms:W3CDTF">2024-10-25T10:45:22Z</dcterms:modified>
</cp:coreProperties>
</file>