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ladamani Aranya Kshetra II-42 #\"/>
    </mc:Choice>
  </mc:AlternateContent>
  <xr:revisionPtr revIDLastSave="0" documentId="13_ncr:1_{7DE3CA71-5517-4A12-BFEE-D8E437C32D2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<sst xmlns="http://schemas.openxmlformats.org/spreadsheetml/2006/main" count="488" uniqueCount="329">
  <si>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</si>
  <si>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</si>
  <si>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</si>
  <si>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</si>
  <si>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</si>
  <si>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</si>
  <si>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</si>
  <si>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</si>
  <si>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</si>
  <si>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</si>
  <si>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</si>
  <si>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</si>
  <si>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</si>
  <si>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</si>
  <si>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</si>
  <si>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</si>
  <si>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</si>
  <si>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</si>
  <si>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</si>
  <si>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</si>
  <si>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</si>
  <si>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</si>
  <si>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</si>
  <si>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</si>
  <si>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</si>
  <si>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</si>
  <si>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</si>
  <si>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</si>
  <si>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</si>
  <si>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</si>
  <si>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</si>
  <si>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</si>
  <si>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</si>
  <si>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</si>
  <si>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</si>
  <si>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</si>
  <si>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</si>
  <si>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</si>
  <si>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</si>
  <si>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</si>
  <si>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</si>
  <si>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</si>
  <si>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</si>
  <si>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</si>
  <si>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</si>
  <si>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</si>
  <si>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</si>
  <si>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</si>
  <si>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</si>
  <si>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</si>
  <si>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</si>
  <si>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</si>
  <si>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</si>
  <si>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</si>
  <si>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</si>
  <si>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</si>
  <si>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</si>
  <si>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</si>
  <si>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</si>
  <si>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</si>
  <si>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</si>
  <si>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</si>
  <si>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</si>
  <si>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</si>
  <si>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</si>
  <si>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</si>
  <si>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</si>
  <si>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</si>
  <si>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</si>
  <si>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</si>
  <si>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</si>
  <si>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</si>
  <si>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</si>
  <si>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</si>
  <si>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</si>
  <si>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</si>
  <si>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</si>
  <si>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</si>
  <si>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</si>
  <si>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</si>
  <si>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</si>
  <si>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</si>
  <si>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</si>
  <si>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</si>
  <si>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</si>
  <si>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</si>
  <si>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</si>
  <si>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</si>
  <si>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</si>
  <si>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</si>
  <si>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</si>
  <si>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</si>
  <si>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</si>
  <si>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</si>
  <si>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</si>
  <si>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</si>
  <si>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</si>
  <si>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</si>
  <si>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</si>
  <si>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</si>
  <si>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</si>
  <si>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</si>
  <si>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</si>
  <si>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</si>
  <si>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</si>
  <si>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</si>
  <si>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</si>
  <si>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</si>
  <si>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</si>
  <si>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</si>
  <si>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</si>
  <si>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</si>
  <si>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</si>
  <si>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</si>
  <si>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</si>
  <si>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</si>
  <si>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</si>
  <si>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</si>
  <si>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</si>
  <si>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</si>
  <si>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</si>
  <si>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</si>
  <si>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</si>
  <si>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</si>
  <si>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</si>
  <si>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</si>
  <si>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</si>
  <si>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</si>
  <si>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</si>
  <si>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</si>
  <si>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</si>
  <si>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</si>
  <si>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</si>
  <si>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</si>
  <si>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</si>
  <si>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</si>
  <si>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</si>
  <si>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</si>
  <si>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</si>
  <si>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</si>
  <si>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</si>
  <si>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</si>
  <si>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</si>
  <si>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</si>
  <si>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</si>
  <si>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</si>
  <si>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</si>
  <si>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</si>
  <si>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</si>
  <si>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</si>
  <si>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</si>
  <si>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</si>
  <si>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</si>
  <si>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</si>
  <si>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</si>
  <si>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</si>
  <si>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</si>
  <si>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</si>
  <si>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</si>
  <si>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</si>
  <si>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</si>
  <si>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</si>
  <si>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</si>
  <si>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</si>
  <si>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</si>
  <si>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</si>
  <si>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</si>
  <si>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</si>
  <si>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</si>
  <si>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</si>
  <si>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</si>
  <si>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</si>
  <si>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</si>
  <si>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</si>
  <si>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</si>
  <si>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</si>
  <si>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</si>
  <si>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</si>
  <si>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</si>
  <si>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</si>
  <si>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</si>
  <si>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</si>
  <si>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</si>
  <si>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</si>
  <si>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</si>
  <si>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</si>
  <si>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</si>
  <si>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</si>
  <si>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</si>
  <si>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</si>
  <si>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</si>
  <si>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</si>
  <si>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</si>
  <si>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</si>
  <si>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</si>
  <si>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</si>
  <si>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</si>
  <si>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</si>
  <si>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</si>
  <si>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</si>
  <si>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</si>
  <si>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</si>
  <si>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</si>
  <si>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</si>
  <si>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</si>
  <si>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</si>
  <si>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</si>
  <si>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</si>
  <si>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</si>
  <si>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</si>
  <si>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</si>
  <si>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</si>
  <si>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</si>
  <si>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</si>
  <si>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</si>
  <si>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</si>
  <si>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</si>
  <si>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</si>
  <si>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</si>
  <si>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</si>
  <si>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</si>
  <si>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</si>
  <si>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</si>
  <si>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</si>
  <si>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</si>
  <si>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</si>
  <si>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</si>
  <si>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</si>
  <si>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</si>
  <si>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</si>
  <si>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</si>
  <si>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</si>
  <si>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</si>
  <si>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</si>
  <si>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</si>
  <si>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</si>
  <si>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</si>
  <si>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</si>
  <si>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</si>
  <si>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</si>
  <si>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</si>
  <si>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</si>
  <si>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</si>
  <si>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0.5-0.75</t>
  </si>
  <si>
    <t>length of the log (m)</t>
  </si>
  <si>
    <t>NIL</t>
  </si>
  <si>
    <t>Mangalore</t>
  </si>
  <si>
    <t xml:space="preserve">Terminalia paniculata , Ziziphus regusa , Xylia xylocarpa , Holigarna arnattiana , Hopea ponga </t>
  </si>
  <si>
    <t>Soil -   Gravelly Red soil</t>
  </si>
  <si>
    <t xml:space="preserve">Grasses -  Heteropogon sp, Digiteria sp </t>
  </si>
  <si>
    <t xml:space="preserve">Weeds -  Chromolaena odorata , Urena labota </t>
  </si>
  <si>
    <t>Bamboos -  NIL</t>
  </si>
  <si>
    <t>Herbs -  Mimosa pudica , Oxalis corniculata</t>
  </si>
  <si>
    <t xml:space="preserve">Shrubs - Ziziphus oenoplia , Ziziphus regusa </t>
  </si>
  <si>
    <t xml:space="preserve">Underwood species –  Tabernamontana heyneana </t>
  </si>
  <si>
    <t xml:space="preserve">Climbers - Pothos scandens ,Piper nigrum </t>
  </si>
  <si>
    <t>Rattans –NIL</t>
  </si>
  <si>
    <t xml:space="preserve">NTFP yieding sps –Ziziphus regusa </t>
  </si>
  <si>
    <t>Moderate</t>
  </si>
  <si>
    <t>6m</t>
  </si>
  <si>
    <t>Texture- Moderately coarse</t>
  </si>
  <si>
    <t>Depth- Shallow</t>
  </si>
  <si>
    <t>Permiability-Poor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</si>
  <si>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</si>
  <si>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</si>
  <si>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</si>
  <si>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 xml:space="preserve">Terminalia paniculata , Holigarna arnattiana , Xylia xylocarpa 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</si>
  <si>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</si>
  <si>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</si>
  <si>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</si>
  <si>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</si>
  <si>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</si>
  <si>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 xml:space="preserve">Terminalia paniculata </t>
  </si>
  <si>
    <t xml:space="preserve">Aporosa lindleyana </t>
  </si>
  <si>
    <t xml:space="preserve">Tabernamontana heyneana </t>
  </si>
  <si>
    <t>Holigarna arnattiana</t>
  </si>
  <si>
    <t>Xylia xylocarpa</t>
  </si>
  <si>
    <t xml:space="preserve">Hopea ponga </t>
  </si>
  <si>
    <t>Terminalia paniculata</t>
  </si>
  <si>
    <t>Sapindus Leritta</t>
  </si>
  <si>
    <t>Aporosa lindleyana</t>
  </si>
  <si>
    <t xml:space="preserve">Psychotria flavida </t>
  </si>
  <si>
    <t>Kaadu coffee</t>
  </si>
  <si>
    <t>Haiga</t>
  </si>
  <si>
    <t xml:space="preserve">Ziziphus oenoplia </t>
  </si>
  <si>
    <t xml:space="preserve">Caryota urens </t>
  </si>
  <si>
    <t>Baine</t>
  </si>
  <si>
    <t>111g</t>
  </si>
  <si>
    <t>632g</t>
  </si>
  <si>
    <t>789g</t>
  </si>
  <si>
    <t>229g</t>
  </si>
  <si>
    <t>2.9Kg</t>
  </si>
  <si>
    <t xml:space="preserve">Holigarna arnattiana </t>
  </si>
  <si>
    <t>Salle</t>
  </si>
  <si>
    <t>Holegere</t>
  </si>
  <si>
    <t>94g</t>
  </si>
  <si>
    <t>442g</t>
  </si>
  <si>
    <t>537g</t>
  </si>
  <si>
    <t>220g</t>
  </si>
  <si>
    <t>9.3Kg</t>
  </si>
  <si>
    <t xml:space="preserve">Xylia xylocarpa </t>
  </si>
  <si>
    <t>Maddarasa</t>
  </si>
  <si>
    <t>Jambe</t>
  </si>
  <si>
    <t xml:space="preserve">Memecylon talbotianum </t>
  </si>
  <si>
    <t xml:space="preserve">Actinodaphne hookeri </t>
  </si>
  <si>
    <t xml:space="preserve">Sudugenasu </t>
  </si>
  <si>
    <t>Travel from Ujire towards Gumkallu Neriya  up to N  12.9165102°  E  75.2769095° by vehicle and then walk   276 m in the bearing of  43  degree to reach the grid.</t>
  </si>
  <si>
    <t>603 ft</t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</si>
  <si>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</si>
  <si>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</si>
  <si>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</si>
  <si>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Fungi, Inscects, Humans</t>
  </si>
  <si>
    <t>Tract -  Gently rolling</t>
  </si>
  <si>
    <t>Aspect -  NO fix</t>
  </si>
  <si>
    <t>Canopy Dencity -  0.68</t>
  </si>
  <si>
    <t>Belthangady</t>
  </si>
  <si>
    <t>Naladamani Aranya Kshetra</t>
  </si>
  <si>
    <t>II-42</t>
  </si>
  <si>
    <t xml:space="preserve">Congress </t>
  </si>
  <si>
    <t>Paragi</t>
  </si>
  <si>
    <t>Leaves</t>
  </si>
  <si>
    <t xml:space="preserve">Flower </t>
  </si>
  <si>
    <t>Fruit</t>
  </si>
  <si>
    <t xml:space="preserve">Fruit </t>
  </si>
  <si>
    <t>Resin</t>
  </si>
  <si>
    <t>Latex</t>
  </si>
  <si>
    <t>Pod</t>
  </si>
  <si>
    <t xml:space="preserve">Pod </t>
  </si>
  <si>
    <t>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</si>
</sst>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9" sqref="C9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246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315</v>
      </c>
    </row>
    <row r="6" spans="1:3" ht="39" customHeight="1" x14ac:dyDescent="0.3">
      <c r="A6" s="4">
        <v>2</v>
      </c>
      <c r="B6" s="51" t="s">
        <v>7</v>
      </c>
      <c r="C6" s="8" t="s">
        <v>316</v>
      </c>
    </row>
    <row r="7" spans="1:3" ht="39" customHeight="1" x14ac:dyDescent="0.3">
      <c r="A7" s="4">
        <v>3</v>
      </c>
      <c r="B7" s="51" t="s">
        <v>8</v>
      </c>
      <c r="C7" s="8" t="s">
        <v>317</v>
      </c>
    </row>
    <row r="8" spans="1:3" ht="39" customHeight="1" x14ac:dyDescent="0.3">
      <c r="A8" s="4">
        <v>4</v>
      </c>
      <c r="B8" s="51" t="s">
        <v>9</v>
      </c>
      <c r="C8" s="8">
        <v>5424</v>
      </c>
    </row>
    <row r="9" spans="1:3" ht="39" customHeight="1" x14ac:dyDescent="0.3">
      <c r="A9" s="4">
        <v>5</v>
      </c>
      <c r="B9" s="51" t="s">
        <v>10</v>
      </c>
      <c r="C9" s="9">
        <v>12.9179742</v>
      </c>
    </row>
    <row r="10" spans="1:3" ht="39" customHeight="1" x14ac:dyDescent="0.3">
      <c r="A10" s="4">
        <v>6</v>
      </c>
      <c r="B10" s="51" t="s">
        <v>11</v>
      </c>
      <c r="C10" s="9">
        <v>75.278350000000003</v>
      </c>
    </row>
    <row r="11" spans="1:3" ht="141.75" customHeight="1" x14ac:dyDescent="0.3">
      <c r="A11" s="4">
        <v>7</v>
      </c>
      <c r="B11" s="51" t="s">
        <v>12</v>
      </c>
      <c r="C11" s="9" t="s">
        <v>306</v>
      </c>
    </row>
    <row r="12" spans="1:3" ht="98.25" customHeight="1" x14ac:dyDescent="0.3">
      <c r="A12" s="4">
        <v>8</v>
      </c>
      <c r="B12" s="51" t="s">
        <v>13</v>
      </c>
      <c r="C12" s="10" t="s">
        <v>247</v>
      </c>
    </row>
    <row r="13" spans="1:3" ht="32.25" customHeight="1" x14ac:dyDescent="0.3">
      <c r="A13" s="54">
        <v>9</v>
      </c>
      <c r="B13" s="55" t="s">
        <v>14</v>
      </c>
      <c r="C13" s="6" t="s">
        <v>312</v>
      </c>
    </row>
    <row r="14" spans="1:3" ht="32.25" customHeight="1" x14ac:dyDescent="0.3">
      <c r="A14" s="54"/>
      <c r="B14" s="55"/>
      <c r="C14" s="6" t="s">
        <v>313</v>
      </c>
    </row>
    <row r="15" spans="1:3" ht="32.25" customHeight="1" x14ac:dyDescent="0.3">
      <c r="A15" s="54"/>
      <c r="B15" s="55"/>
      <c r="C15" s="6" t="s">
        <v>314</v>
      </c>
    </row>
    <row r="16" spans="1:3" ht="32.25" customHeight="1" x14ac:dyDescent="0.3">
      <c r="A16" s="54"/>
      <c r="B16" s="55"/>
      <c r="C16" s="6" t="s">
        <v>248</v>
      </c>
    </row>
    <row r="17" spans="1:3" ht="32.25" customHeight="1" x14ac:dyDescent="0.3">
      <c r="A17" s="54"/>
      <c r="B17" s="55"/>
      <c r="C17" s="6" t="s">
        <v>249</v>
      </c>
    </row>
    <row r="18" spans="1:3" ht="32.25" customHeight="1" x14ac:dyDescent="0.3">
      <c r="A18" s="54"/>
      <c r="B18" s="55"/>
      <c r="C18" s="6" t="s">
        <v>250</v>
      </c>
    </row>
    <row r="19" spans="1:3" ht="32.25" customHeight="1" x14ac:dyDescent="0.3">
      <c r="A19" s="54"/>
      <c r="B19" s="55"/>
      <c r="C19" s="6" t="s">
        <v>251</v>
      </c>
    </row>
    <row r="20" spans="1:3" ht="57.75" customHeight="1" x14ac:dyDescent="0.3">
      <c r="A20" s="54"/>
      <c r="B20" s="55"/>
      <c r="C20" s="6" t="s">
        <v>252</v>
      </c>
    </row>
    <row r="21" spans="1:3" ht="63" customHeight="1" x14ac:dyDescent="0.3">
      <c r="A21" s="54"/>
      <c r="B21" s="55"/>
      <c r="C21" s="6" t="s">
        <v>253</v>
      </c>
    </row>
    <row r="22" spans="1:3" ht="63" customHeight="1" x14ac:dyDescent="0.3">
      <c r="A22" s="54"/>
      <c r="B22" s="55"/>
      <c r="C22" s="6" t="s">
        <v>254</v>
      </c>
    </row>
    <row r="23" spans="1:3" ht="63" customHeight="1" x14ac:dyDescent="0.3">
      <c r="A23" s="54"/>
      <c r="B23" s="55"/>
      <c r="C23" s="6" t="s">
        <v>255</v>
      </c>
    </row>
    <row r="24" spans="1:3" ht="63" customHeight="1" x14ac:dyDescent="0.3">
      <c r="A24" s="54"/>
      <c r="B24" s="55"/>
      <c r="C24" s="6" t="s">
        <v>256</v>
      </c>
    </row>
    <row r="25" spans="1:3" ht="63" customHeight="1" x14ac:dyDescent="0.3">
      <c r="A25" s="54"/>
      <c r="B25" s="55"/>
      <c r="C25" s="6" t="s">
        <v>257</v>
      </c>
    </row>
    <row r="26" spans="1:3" ht="49.5" customHeight="1" x14ac:dyDescent="0.3">
      <c r="A26" s="4">
        <v>10</v>
      </c>
      <c r="B26" s="51" t="s">
        <v>15</v>
      </c>
      <c r="C26" s="6" t="s">
        <v>245</v>
      </c>
    </row>
    <row r="27" spans="1:3" ht="53.25" customHeight="1" x14ac:dyDescent="0.3">
      <c r="A27" s="4">
        <v>11</v>
      </c>
      <c r="B27" s="51" t="s">
        <v>16</v>
      </c>
      <c r="C27" s="6" t="s">
        <v>258</v>
      </c>
    </row>
    <row r="28" spans="1:3" s="13" customFormat="1" ht="51" customHeight="1" x14ac:dyDescent="0.3">
      <c r="A28" s="18">
        <v>12</v>
      </c>
      <c r="B28" s="52" t="s">
        <v>217</v>
      </c>
      <c r="C28" s="20">
        <v>2</v>
      </c>
    </row>
    <row r="29" spans="1:3" s="13" customFormat="1" ht="51.75" customHeight="1" x14ac:dyDescent="0.3">
      <c r="A29" s="18">
        <v>13</v>
      </c>
      <c r="B29" s="52" t="s">
        <v>218</v>
      </c>
      <c r="C29" s="12" t="s">
        <v>259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12" sqref="C12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tr">
        <f>'Form 1'!C3</f>
        <v>Mangalore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222</v>
      </c>
      <c r="C6" s="20"/>
    </row>
    <row r="7" spans="1:3" ht="32.25" customHeight="1" x14ac:dyDescent="0.3">
      <c r="A7" s="11">
        <v>3</v>
      </c>
      <c r="B7" s="52" t="s">
        <v>219</v>
      </c>
      <c r="C7" s="20" t="str">
        <f>'Form 1'!C6</f>
        <v>Naladamani Aranya Kshetra</v>
      </c>
    </row>
    <row r="8" spans="1:3" ht="32.25" customHeight="1" x14ac:dyDescent="0.3">
      <c r="A8" s="11">
        <v>4</v>
      </c>
      <c r="B8" s="52" t="s">
        <v>9</v>
      </c>
      <c r="C8" s="20">
        <f>'Form 1'!C8</f>
        <v>5424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12.9179742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75.278350000000003</v>
      </c>
    </row>
    <row r="11" spans="1:3" ht="32.25" customHeight="1" x14ac:dyDescent="0.3">
      <c r="A11" s="11">
        <v>7</v>
      </c>
      <c r="B11" s="52" t="s">
        <v>22</v>
      </c>
      <c r="C11" s="20" t="s">
        <v>307</v>
      </c>
    </row>
    <row r="12" spans="1:3" ht="43.5" customHeight="1" x14ac:dyDescent="0.3">
      <c r="A12" s="11">
        <v>8</v>
      </c>
      <c r="B12" s="52" t="s">
        <v>23</v>
      </c>
      <c r="C12" s="20" t="s">
        <v>241</v>
      </c>
    </row>
    <row r="13" spans="1:3" ht="43.5" customHeight="1" x14ac:dyDescent="0.3">
      <c r="A13" s="11">
        <v>9</v>
      </c>
      <c r="B13" s="52" t="s">
        <v>24</v>
      </c>
      <c r="C13" s="20" t="s">
        <v>242</v>
      </c>
    </row>
    <row r="14" spans="1:3" ht="38.25" customHeight="1" x14ac:dyDescent="0.3">
      <c r="A14" s="11">
        <v>10</v>
      </c>
      <c r="B14" s="52" t="s">
        <v>25</v>
      </c>
      <c r="C14" s="20" t="s">
        <v>308</v>
      </c>
    </row>
    <row r="15" spans="1:3" ht="25.5" customHeight="1" x14ac:dyDescent="0.3">
      <c r="A15" s="11">
        <v>11</v>
      </c>
      <c r="B15" s="52" t="s">
        <v>26</v>
      </c>
      <c r="C15" s="22" t="s">
        <v>309</v>
      </c>
    </row>
    <row r="16" spans="1:3" ht="37.5" customHeight="1" x14ac:dyDescent="0.3">
      <c r="A16" s="11">
        <v>12</v>
      </c>
      <c r="B16" s="52" t="s">
        <v>27</v>
      </c>
      <c r="C16" s="22" t="s">
        <v>310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260</v>
      </c>
    </row>
    <row r="19" spans="1:3" ht="30.75" customHeight="1" x14ac:dyDescent="0.3">
      <c r="A19" s="57"/>
      <c r="B19" s="58"/>
      <c r="C19" s="22" t="s">
        <v>261</v>
      </c>
    </row>
    <row r="20" spans="1:3" ht="30.75" customHeight="1" x14ac:dyDescent="0.3">
      <c r="A20" s="57"/>
      <c r="B20" s="58"/>
      <c r="C20" s="23" t="s">
        <v>262</v>
      </c>
    </row>
    <row r="21" spans="1:3" ht="36" customHeight="1" x14ac:dyDescent="0.3">
      <c r="A21" s="11">
        <v>15</v>
      </c>
      <c r="B21" s="52" t="s">
        <v>31</v>
      </c>
      <c r="C21" s="22" t="s">
        <v>263</v>
      </c>
    </row>
    <row r="22" spans="1:3" ht="54.75" customHeight="1" x14ac:dyDescent="0.3">
      <c r="A22" s="11">
        <v>16</v>
      </c>
      <c r="B22" s="52" t="s">
        <v>32</v>
      </c>
      <c r="C22" s="22" t="s">
        <v>266</v>
      </c>
    </row>
    <row r="23" spans="1:3" ht="15.6" x14ac:dyDescent="0.3">
      <c r="A23" s="11">
        <v>17</v>
      </c>
      <c r="B23" s="52" t="s">
        <v>220</v>
      </c>
      <c r="C23" s="22" t="s">
        <v>264</v>
      </c>
    </row>
    <row r="24" spans="1:3" ht="35.25" customHeight="1" x14ac:dyDescent="0.3">
      <c r="A24" s="11">
        <v>18</v>
      </c>
      <c r="B24" s="52" t="s">
        <v>33</v>
      </c>
      <c r="C24" s="22" t="s">
        <v>265</v>
      </c>
    </row>
    <row r="25" spans="1:3" ht="72.75" customHeight="1" x14ac:dyDescent="0.3">
      <c r="A25" s="11">
        <v>19</v>
      </c>
      <c r="B25" s="52" t="s">
        <v>34</v>
      </c>
      <c r="C25" s="22" t="s">
        <v>311</v>
      </c>
    </row>
    <row r="26" spans="1:3" ht="30" customHeight="1" x14ac:dyDescent="0.3">
      <c r="A26" s="11">
        <v>20</v>
      </c>
      <c r="B26" s="52" t="s">
        <v>35</v>
      </c>
      <c r="C26" s="23" t="s">
        <v>267</v>
      </c>
    </row>
    <row r="27" spans="1:3" ht="30" customHeight="1" x14ac:dyDescent="0.3">
      <c r="A27" s="11">
        <v>21</v>
      </c>
      <c r="B27" s="52" t="s">
        <v>36</v>
      </c>
      <c r="C27" s="22" t="s">
        <v>268</v>
      </c>
    </row>
    <row r="28" spans="1:3" ht="30" customHeight="1" x14ac:dyDescent="0.3">
      <c r="A28" s="11">
        <v>22</v>
      </c>
      <c r="B28" s="52" t="s">
        <v>37</v>
      </c>
      <c r="C28" s="22" t="s">
        <v>269</v>
      </c>
    </row>
    <row r="29" spans="1:3" ht="32.25" customHeight="1" x14ac:dyDescent="0.3">
      <c r="A29" s="11">
        <v>23</v>
      </c>
      <c r="B29" s="52" t="s">
        <v>38</v>
      </c>
      <c r="C29" s="22" t="s">
        <v>269</v>
      </c>
    </row>
    <row r="30" spans="1:3" ht="62.25" customHeight="1" x14ac:dyDescent="0.3">
      <c r="A30" s="11">
        <v>24</v>
      </c>
      <c r="B30" s="52" t="s">
        <v>39</v>
      </c>
      <c r="C30" s="22" t="s">
        <v>270</v>
      </c>
    </row>
    <row r="31" spans="1:3" ht="72.75" customHeight="1" x14ac:dyDescent="0.3">
      <c r="A31" s="11">
        <v>25</v>
      </c>
      <c r="B31" s="52" t="s">
        <v>40</v>
      </c>
      <c r="C31" s="22" t="s">
        <v>245</v>
      </c>
    </row>
    <row r="32" spans="1:3" ht="60" customHeight="1" x14ac:dyDescent="0.3">
      <c r="A32" s="11">
        <v>26</v>
      </c>
      <c r="B32" s="52" t="s">
        <v>41</v>
      </c>
      <c r="C32" s="22" t="s">
        <v>245</v>
      </c>
    </row>
    <row r="33" spans="1:3" ht="60" customHeight="1" x14ac:dyDescent="0.3">
      <c r="A33" s="11">
        <v>27</v>
      </c>
      <c r="B33" s="52" t="s">
        <v>42</v>
      </c>
      <c r="C33" s="20" t="s">
        <v>271</v>
      </c>
    </row>
    <row r="34" spans="1:3" ht="57.75" customHeight="1" x14ac:dyDescent="0.3">
      <c r="A34" s="11">
        <v>28</v>
      </c>
      <c r="B34" s="52" t="s">
        <v>43</v>
      </c>
      <c r="C34" s="22" t="s">
        <v>245</v>
      </c>
    </row>
    <row r="35" spans="1:3" ht="59.25" customHeight="1" x14ac:dyDescent="0.3">
      <c r="A35" s="11">
        <v>29</v>
      </c>
      <c r="B35" s="52" t="s">
        <v>44</v>
      </c>
      <c r="C35" s="22" t="s">
        <v>245</v>
      </c>
    </row>
    <row r="36" spans="1:3" ht="66" customHeight="1" x14ac:dyDescent="0.3">
      <c r="A36" s="11">
        <v>30</v>
      </c>
      <c r="B36" s="52" t="s">
        <v>223</v>
      </c>
      <c r="C36" s="22" t="s">
        <v>243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9"/>
  <sheetViews>
    <sheetView view="pageBreakPreview" topLeftCell="A22" zoomScale="60" zoomScaleNormal="70" workbookViewId="0">
      <selection activeCell="R15" sqref="R15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272</v>
      </c>
      <c r="C12" s="24"/>
      <c r="D12" s="24">
        <v>136</v>
      </c>
      <c r="E12" s="24"/>
      <c r="F12" s="24"/>
      <c r="G12" s="24"/>
      <c r="H12" s="24"/>
      <c r="I12" s="24">
        <v>7</v>
      </c>
      <c r="J12" s="24">
        <v>6.5</v>
      </c>
      <c r="K12" s="24">
        <f>L12+M12+R12</f>
        <v>14</v>
      </c>
      <c r="L12" s="24">
        <v>3</v>
      </c>
      <c r="M12" s="24">
        <v>4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3">
      <c r="A13" s="24">
        <f t="shared" ref="A13:A29" si="0">ROW()-11</f>
        <v>2</v>
      </c>
      <c r="B13" s="24" t="s">
        <v>273</v>
      </c>
      <c r="C13" s="24"/>
      <c r="D13" s="24">
        <v>39</v>
      </c>
      <c r="E13" s="24"/>
      <c r="F13" s="24"/>
      <c r="G13" s="24"/>
      <c r="H13" s="24"/>
      <c r="I13" s="24">
        <v>4</v>
      </c>
      <c r="J13" s="24">
        <v>3.5</v>
      </c>
      <c r="K13" s="24">
        <f t="shared" ref="K13:K29" si="1">L13+M13+R13</f>
        <v>10</v>
      </c>
      <c r="L13" s="24">
        <v>3</v>
      </c>
      <c r="M13" s="24">
        <v>3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274</v>
      </c>
      <c r="C14" s="24"/>
      <c r="D14" s="24">
        <v>43</v>
      </c>
      <c r="E14" s="24"/>
      <c r="F14" s="24"/>
      <c r="G14" s="24"/>
      <c r="H14" s="24"/>
      <c r="I14" s="24">
        <v>4.5</v>
      </c>
      <c r="J14" s="24">
        <v>3.5</v>
      </c>
      <c r="K14" s="24">
        <f t="shared" si="1"/>
        <v>7.2</v>
      </c>
      <c r="L14" s="24">
        <v>2</v>
      </c>
      <c r="M14" s="24">
        <v>3.2</v>
      </c>
      <c r="N14" s="24"/>
      <c r="O14" s="24"/>
      <c r="P14" s="24"/>
      <c r="Q14" s="24"/>
      <c r="R14" s="24">
        <v>2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275</v>
      </c>
      <c r="C15" s="24"/>
      <c r="D15" s="24">
        <v>71</v>
      </c>
      <c r="E15" s="24"/>
      <c r="F15" s="24"/>
      <c r="G15" s="24"/>
      <c r="H15" s="24"/>
      <c r="I15" s="24">
        <v>4</v>
      </c>
      <c r="J15" s="24">
        <v>5</v>
      </c>
      <c r="K15" s="24">
        <f t="shared" si="1"/>
        <v>13</v>
      </c>
      <c r="L15" s="24">
        <v>3</v>
      </c>
      <c r="M15" s="24">
        <v>4</v>
      </c>
      <c r="N15" s="24"/>
      <c r="O15" s="24"/>
      <c r="P15" s="24"/>
      <c r="Q15" s="24"/>
      <c r="R15" s="24">
        <v>6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273</v>
      </c>
      <c r="C16" s="24"/>
      <c r="D16" s="24">
        <v>39</v>
      </c>
      <c r="E16" s="24"/>
      <c r="F16" s="24"/>
      <c r="G16" s="24"/>
      <c r="H16" s="24"/>
      <c r="I16" s="24">
        <v>5</v>
      </c>
      <c r="J16" s="24">
        <v>4</v>
      </c>
      <c r="K16" s="24">
        <f t="shared" si="1"/>
        <v>11</v>
      </c>
      <c r="L16" s="24">
        <v>3</v>
      </c>
      <c r="M16" s="24">
        <v>4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275</v>
      </c>
      <c r="C17" s="24"/>
      <c r="D17" s="24">
        <v>79</v>
      </c>
      <c r="E17" s="24"/>
      <c r="F17" s="24"/>
      <c r="G17" s="24"/>
      <c r="H17" s="24"/>
      <c r="I17" s="24">
        <v>4</v>
      </c>
      <c r="J17" s="24">
        <v>3.5</v>
      </c>
      <c r="K17" s="24">
        <f t="shared" si="1"/>
        <v>12</v>
      </c>
      <c r="L17" s="24">
        <v>3</v>
      </c>
      <c r="M17" s="24">
        <v>2</v>
      </c>
      <c r="N17" s="24"/>
      <c r="O17" s="24"/>
      <c r="P17" s="24"/>
      <c r="Q17" s="24"/>
      <c r="R17" s="24">
        <v>7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273</v>
      </c>
      <c r="C18" s="24"/>
      <c r="D18" s="24">
        <v>86</v>
      </c>
      <c r="E18" s="24"/>
      <c r="F18" s="24"/>
      <c r="G18" s="24"/>
      <c r="H18" s="24"/>
      <c r="I18" s="24">
        <v>5.5</v>
      </c>
      <c r="J18" s="24">
        <v>7.5</v>
      </c>
      <c r="K18" s="24">
        <f t="shared" si="1"/>
        <v>12</v>
      </c>
      <c r="L18" s="24">
        <v>5</v>
      </c>
      <c r="M18" s="24">
        <v>3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275</v>
      </c>
      <c r="C19" s="24"/>
      <c r="D19" s="24">
        <v>101</v>
      </c>
      <c r="E19" s="24"/>
      <c r="F19" s="24"/>
      <c r="G19" s="24"/>
      <c r="H19" s="24"/>
      <c r="I19" s="24">
        <v>8</v>
      </c>
      <c r="J19" s="24">
        <v>6</v>
      </c>
      <c r="K19" s="24">
        <f t="shared" si="1"/>
        <v>14</v>
      </c>
      <c r="L19" s="24">
        <v>3</v>
      </c>
      <c r="M19" s="24">
        <v>4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274</v>
      </c>
      <c r="C20" s="24"/>
      <c r="D20" s="24">
        <v>51</v>
      </c>
      <c r="E20" s="24"/>
      <c r="F20" s="24"/>
      <c r="G20" s="24"/>
      <c r="H20" s="24"/>
      <c r="I20" s="24">
        <v>4.5</v>
      </c>
      <c r="J20" s="24">
        <v>5</v>
      </c>
      <c r="K20" s="24">
        <f t="shared" si="1"/>
        <v>10</v>
      </c>
      <c r="L20" s="24">
        <v>3</v>
      </c>
      <c r="M20" s="24">
        <v>3</v>
      </c>
      <c r="N20" s="24"/>
      <c r="O20" s="24"/>
      <c r="P20" s="24"/>
      <c r="Q20" s="24"/>
      <c r="R20" s="24">
        <v>4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273</v>
      </c>
      <c r="C21" s="24"/>
      <c r="D21" s="24">
        <v>59</v>
      </c>
      <c r="E21" s="24"/>
      <c r="F21" s="24"/>
      <c r="G21" s="24"/>
      <c r="H21" s="24"/>
      <c r="I21" s="24">
        <v>5</v>
      </c>
      <c r="J21" s="24">
        <v>6</v>
      </c>
      <c r="K21" s="24">
        <f t="shared" si="1"/>
        <v>11</v>
      </c>
      <c r="L21" s="24">
        <v>3</v>
      </c>
      <c r="M21" s="24">
        <v>4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276</v>
      </c>
      <c r="C22" s="24"/>
      <c r="D22" s="24">
        <v>146</v>
      </c>
      <c r="E22" s="24"/>
      <c r="F22" s="24"/>
      <c r="G22" s="24"/>
      <c r="H22" s="24"/>
      <c r="I22" s="24">
        <v>8</v>
      </c>
      <c r="J22" s="24">
        <v>7</v>
      </c>
      <c r="K22" s="24">
        <f t="shared" si="1"/>
        <v>14</v>
      </c>
      <c r="L22" s="24">
        <v>4</v>
      </c>
      <c r="M22" s="24">
        <v>5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276</v>
      </c>
      <c r="C23" s="24"/>
      <c r="D23" s="24">
        <v>183</v>
      </c>
      <c r="E23" s="24"/>
      <c r="F23" s="24"/>
      <c r="G23" s="24"/>
      <c r="H23" s="24"/>
      <c r="I23" s="24">
        <v>8</v>
      </c>
      <c r="J23" s="24">
        <v>9</v>
      </c>
      <c r="K23" s="24">
        <f t="shared" si="1"/>
        <v>15</v>
      </c>
      <c r="L23" s="24">
        <v>4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277</v>
      </c>
      <c r="C24" s="24"/>
      <c r="D24" s="24">
        <v>73</v>
      </c>
      <c r="E24" s="24"/>
      <c r="F24" s="24"/>
      <c r="G24" s="24"/>
      <c r="H24" s="24"/>
      <c r="I24" s="24">
        <v>6</v>
      </c>
      <c r="J24" s="24">
        <v>5.5</v>
      </c>
      <c r="K24" s="24">
        <f t="shared" si="1"/>
        <v>12</v>
      </c>
      <c r="L24" s="24">
        <v>3</v>
      </c>
      <c r="M24" s="24">
        <v>4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278</v>
      </c>
      <c r="C25" s="24"/>
      <c r="D25" s="24">
        <v>189</v>
      </c>
      <c r="E25" s="24"/>
      <c r="F25" s="24"/>
      <c r="G25" s="24"/>
      <c r="H25" s="24"/>
      <c r="I25" s="24">
        <v>6.5</v>
      </c>
      <c r="J25" s="24">
        <v>6.5</v>
      </c>
      <c r="K25" s="24">
        <f t="shared" si="1"/>
        <v>12.5</v>
      </c>
      <c r="L25" s="24">
        <v>3</v>
      </c>
      <c r="M25" s="24">
        <v>3.5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3">
      <c r="A26" s="24">
        <f t="shared" si="0"/>
        <v>15</v>
      </c>
      <c r="B26" s="24" t="s">
        <v>279</v>
      </c>
      <c r="C26" s="24"/>
      <c r="D26" s="24">
        <v>66</v>
      </c>
      <c r="E26" s="24"/>
      <c r="F26" s="24"/>
      <c r="G26" s="24"/>
      <c r="H26" s="24"/>
      <c r="I26" s="24">
        <v>6.5</v>
      </c>
      <c r="J26" s="24">
        <v>5.5</v>
      </c>
      <c r="K26" s="24">
        <f t="shared" si="1"/>
        <v>11</v>
      </c>
      <c r="L26" s="24">
        <v>3</v>
      </c>
      <c r="M26" s="24">
        <v>4</v>
      </c>
      <c r="N26" s="24"/>
      <c r="O26" s="24"/>
      <c r="P26" s="24"/>
      <c r="Q26" s="24"/>
      <c r="R26" s="24">
        <v>4</v>
      </c>
      <c r="S26" s="24"/>
      <c r="T26" s="24"/>
    </row>
    <row r="27" spans="1:20" ht="40.5" customHeight="1" x14ac:dyDescent="0.3">
      <c r="A27" s="24">
        <f t="shared" si="0"/>
        <v>16</v>
      </c>
      <c r="B27" s="24" t="s">
        <v>280</v>
      </c>
      <c r="C27" s="24"/>
      <c r="D27" s="24">
        <v>74</v>
      </c>
      <c r="E27" s="24"/>
      <c r="F27" s="24"/>
      <c r="G27" s="24"/>
      <c r="H27" s="24"/>
      <c r="I27" s="24">
        <v>4</v>
      </c>
      <c r="J27" s="24">
        <v>5</v>
      </c>
      <c r="K27" s="24">
        <f t="shared" si="1"/>
        <v>10</v>
      </c>
      <c r="L27" s="24">
        <v>3</v>
      </c>
      <c r="M27" s="24">
        <v>3</v>
      </c>
      <c r="N27" s="24"/>
      <c r="O27" s="24"/>
      <c r="P27" s="24"/>
      <c r="Q27" s="24"/>
      <c r="R27" s="24">
        <v>4</v>
      </c>
      <c r="S27" s="24"/>
      <c r="T27" s="24"/>
    </row>
    <row r="28" spans="1:20" ht="40.5" customHeight="1" x14ac:dyDescent="0.3">
      <c r="A28" s="24">
        <f t="shared" si="0"/>
        <v>17</v>
      </c>
      <c r="B28" s="24" t="s">
        <v>277</v>
      </c>
      <c r="C28" s="24"/>
      <c r="D28" s="24">
        <v>99</v>
      </c>
      <c r="E28" s="24"/>
      <c r="F28" s="24"/>
      <c r="G28" s="24"/>
      <c r="H28" s="24"/>
      <c r="I28" s="24">
        <v>6</v>
      </c>
      <c r="J28" s="24">
        <v>7</v>
      </c>
      <c r="K28" s="24">
        <f t="shared" si="1"/>
        <v>14</v>
      </c>
      <c r="L28" s="24">
        <v>3</v>
      </c>
      <c r="M28" s="24">
        <v>4</v>
      </c>
      <c r="N28" s="24"/>
      <c r="O28" s="24"/>
      <c r="P28" s="24"/>
      <c r="Q28" s="24"/>
      <c r="R28" s="24">
        <v>7</v>
      </c>
      <c r="S28" s="24"/>
      <c r="T28" s="24"/>
    </row>
    <row r="29" spans="1:20" ht="40.5" customHeight="1" x14ac:dyDescent="0.3">
      <c r="A29" s="24">
        <f t="shared" si="0"/>
        <v>18</v>
      </c>
      <c r="B29" s="24" t="s">
        <v>273</v>
      </c>
      <c r="C29" s="24"/>
      <c r="D29" s="24">
        <v>129</v>
      </c>
      <c r="E29" s="24"/>
      <c r="F29" s="24"/>
      <c r="G29" s="24"/>
      <c r="H29" s="24"/>
      <c r="I29" s="24">
        <v>7.5</v>
      </c>
      <c r="J29" s="24">
        <v>6.5</v>
      </c>
      <c r="K29" s="24">
        <f t="shared" si="1"/>
        <v>10</v>
      </c>
      <c r="L29" s="24">
        <v>5</v>
      </c>
      <c r="M29" s="24">
        <v>3</v>
      </c>
      <c r="N29" s="24"/>
      <c r="O29" s="24"/>
      <c r="P29" s="24"/>
      <c r="Q29" s="24"/>
      <c r="R29" s="24">
        <v>2</v>
      </c>
      <c r="S29" s="24"/>
      <c r="T29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21" zoomScaleSheetLayoutView="100" workbookViewId="0">
      <selection activeCell="F101" sqref="F101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277</v>
      </c>
      <c r="C5" s="12" t="s">
        <v>283</v>
      </c>
      <c r="D5" s="12">
        <v>5.5</v>
      </c>
      <c r="E5" s="12">
        <v>4.5</v>
      </c>
      <c r="F5" s="12" t="s">
        <v>321</v>
      </c>
      <c r="G5" s="12">
        <v>17</v>
      </c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287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288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289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290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291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273</v>
      </c>
      <c r="C38" s="18" t="s">
        <v>293</v>
      </c>
      <c r="D38" s="18">
        <v>7.5</v>
      </c>
      <c r="E38" s="18">
        <v>6</v>
      </c>
      <c r="F38" s="18" t="s">
        <v>323</v>
      </c>
      <c r="G38" s="18">
        <v>49</v>
      </c>
      <c r="H38" s="18"/>
    </row>
    <row r="39" spans="1:8" ht="36" customHeight="1" x14ac:dyDescent="0.3">
      <c r="A39" s="11">
        <v>2</v>
      </c>
      <c r="B39" s="18" t="s">
        <v>273</v>
      </c>
      <c r="C39" s="18" t="s">
        <v>293</v>
      </c>
      <c r="D39" s="18">
        <v>8.1999999999999993</v>
      </c>
      <c r="E39" s="18">
        <v>5.5</v>
      </c>
      <c r="F39" s="18" t="s">
        <v>323</v>
      </c>
      <c r="G39" s="18">
        <v>37</v>
      </c>
      <c r="H39" s="18"/>
    </row>
    <row r="40" spans="1:8" ht="36" customHeight="1" x14ac:dyDescent="0.3">
      <c r="A40" s="11">
        <v>3</v>
      </c>
      <c r="B40" s="18" t="s">
        <v>273</v>
      </c>
      <c r="C40" s="18" t="s">
        <v>293</v>
      </c>
      <c r="D40" s="18">
        <v>5</v>
      </c>
      <c r="E40" s="18">
        <v>4</v>
      </c>
      <c r="F40" s="18" t="s">
        <v>323</v>
      </c>
      <c r="G40" s="18">
        <v>21.5</v>
      </c>
      <c r="H40" s="18"/>
    </row>
    <row r="41" spans="1:8" ht="36" customHeight="1" x14ac:dyDescent="0.3">
      <c r="A41" s="11">
        <v>4</v>
      </c>
      <c r="B41" s="18" t="s">
        <v>292</v>
      </c>
      <c r="C41" s="18" t="s">
        <v>294</v>
      </c>
      <c r="D41" s="18">
        <v>6.2</v>
      </c>
      <c r="E41" s="18">
        <v>4.5</v>
      </c>
      <c r="F41" s="18" t="s">
        <v>324</v>
      </c>
      <c r="G41" s="18">
        <v>29</v>
      </c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295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296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297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298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299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239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274</v>
      </c>
      <c r="C69" s="11" t="s">
        <v>301</v>
      </c>
      <c r="D69" s="11">
        <v>6.8</v>
      </c>
      <c r="E69" s="11">
        <v>5.5</v>
      </c>
      <c r="F69" s="11" t="s">
        <v>325</v>
      </c>
      <c r="G69" s="11">
        <v>31</v>
      </c>
      <c r="H69" s="11"/>
    </row>
    <row r="70" spans="1:8" s="28" customFormat="1" ht="41.25" customHeight="1" x14ac:dyDescent="0.3">
      <c r="A70" s="11">
        <v>2</v>
      </c>
      <c r="B70" s="40" t="s">
        <v>300</v>
      </c>
      <c r="C70" s="11" t="s">
        <v>302</v>
      </c>
      <c r="D70" s="11">
        <v>5.5</v>
      </c>
      <c r="E70" s="11">
        <v>4.5</v>
      </c>
      <c r="F70" s="11" t="s">
        <v>326</v>
      </c>
      <c r="G70" s="11">
        <v>21</v>
      </c>
      <c r="H70" s="11"/>
    </row>
    <row r="71" spans="1:8" s="28" customFormat="1" ht="41.25" customHeight="1" x14ac:dyDescent="0.3">
      <c r="A71" s="11">
        <v>3</v>
      </c>
      <c r="B71" s="40" t="s">
        <v>300</v>
      </c>
      <c r="C71" s="11" t="s">
        <v>302</v>
      </c>
      <c r="D71" s="11">
        <v>4.9000000000000004</v>
      </c>
      <c r="E71" s="11">
        <v>3.5</v>
      </c>
      <c r="F71" s="11" t="s">
        <v>326</v>
      </c>
      <c r="G71" s="11">
        <v>18</v>
      </c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240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280</v>
      </c>
      <c r="C96" s="11" t="s">
        <v>293</v>
      </c>
      <c r="D96" s="41">
        <v>4.8</v>
      </c>
      <c r="E96" s="42">
        <v>3</v>
      </c>
      <c r="F96" s="23" t="s">
        <v>323</v>
      </c>
      <c r="G96" s="23">
        <v>16</v>
      </c>
      <c r="H96" s="23"/>
    </row>
    <row r="97" spans="1:8" s="28" customFormat="1" ht="39" customHeight="1" x14ac:dyDescent="0.3">
      <c r="A97" s="41">
        <v>2</v>
      </c>
      <c r="B97" s="40" t="s">
        <v>303</v>
      </c>
      <c r="C97" s="11"/>
      <c r="D97" s="41">
        <v>6.2</v>
      </c>
      <c r="E97" s="42">
        <v>5</v>
      </c>
      <c r="F97" s="23" t="s">
        <v>323</v>
      </c>
      <c r="G97" s="23">
        <v>30.2</v>
      </c>
      <c r="H97" s="23"/>
    </row>
    <row r="98" spans="1:8" s="28" customFormat="1" ht="39" customHeight="1" x14ac:dyDescent="0.3">
      <c r="A98" s="41">
        <v>3</v>
      </c>
      <c r="B98" s="40" t="s">
        <v>276</v>
      </c>
      <c r="C98" s="11" t="s">
        <v>302</v>
      </c>
      <c r="D98" s="41">
        <v>7.5</v>
      </c>
      <c r="E98" s="42">
        <v>6</v>
      </c>
      <c r="F98" s="23" t="s">
        <v>327</v>
      </c>
      <c r="G98" s="23">
        <v>38</v>
      </c>
      <c r="H98" s="23"/>
    </row>
    <row r="99" spans="1:8" s="28" customFormat="1" ht="39" customHeight="1" x14ac:dyDescent="0.3">
      <c r="A99" s="41">
        <v>4</v>
      </c>
      <c r="B99" s="40" t="s">
        <v>304</v>
      </c>
      <c r="C99" s="11" t="s">
        <v>305</v>
      </c>
      <c r="D99" s="41">
        <v>3.5</v>
      </c>
      <c r="E99" s="42">
        <v>3</v>
      </c>
      <c r="F99" s="23" t="s">
        <v>328</v>
      </c>
      <c r="G99" s="23">
        <v>7.6</v>
      </c>
      <c r="H99" s="23"/>
    </row>
    <row r="100" spans="1:8" s="28" customFormat="1" ht="39" customHeight="1" x14ac:dyDescent="0.3">
      <c r="A100" s="41">
        <v>5</v>
      </c>
      <c r="B100" s="40" t="s">
        <v>304</v>
      </c>
      <c r="C100" s="11" t="s">
        <v>305</v>
      </c>
      <c r="D100" s="41">
        <v>4.8</v>
      </c>
      <c r="E100" s="42">
        <v>4</v>
      </c>
      <c r="F100" s="23" t="s">
        <v>328</v>
      </c>
      <c r="G100" s="23">
        <v>20.5</v>
      </c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45" sqref="E45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221</v>
      </c>
      <c r="G5" s="78"/>
    </row>
    <row r="6" spans="1:7" ht="45.6" customHeight="1" x14ac:dyDescent="0.3">
      <c r="A6" s="11">
        <v>1</v>
      </c>
      <c r="B6" s="18" t="s">
        <v>281</v>
      </c>
      <c r="C6" s="45" t="s">
        <v>282</v>
      </c>
      <c r="D6" s="18">
        <v>25</v>
      </c>
      <c r="E6" s="18" t="s">
        <v>320</v>
      </c>
      <c r="F6" s="18">
        <v>160</v>
      </c>
      <c r="G6" s="18"/>
    </row>
    <row r="7" spans="1:7" ht="45.6" customHeight="1" x14ac:dyDescent="0.3">
      <c r="A7" s="11">
        <v>2</v>
      </c>
      <c r="B7" s="18" t="s">
        <v>281</v>
      </c>
      <c r="C7" s="45" t="s">
        <v>282</v>
      </c>
      <c r="D7" s="18">
        <v>31</v>
      </c>
      <c r="E7" s="18" t="s">
        <v>320</v>
      </c>
      <c r="F7" s="18">
        <v>180</v>
      </c>
      <c r="G7" s="18"/>
    </row>
    <row r="8" spans="1:7" ht="45.6" customHeight="1" x14ac:dyDescent="0.3">
      <c r="A8" s="11">
        <v>3</v>
      </c>
      <c r="B8" s="18" t="s">
        <v>281</v>
      </c>
      <c r="C8" s="45" t="s">
        <v>282</v>
      </c>
      <c r="D8" s="18">
        <v>34</v>
      </c>
      <c r="E8" s="18" t="s">
        <v>320</v>
      </c>
      <c r="F8" s="18">
        <v>175</v>
      </c>
      <c r="G8" s="18"/>
    </row>
    <row r="9" spans="1:7" ht="45.6" customHeight="1" x14ac:dyDescent="0.3">
      <c r="A9" s="11">
        <v>4</v>
      </c>
      <c r="B9" s="18" t="s">
        <v>281</v>
      </c>
      <c r="C9" s="45" t="s">
        <v>282</v>
      </c>
      <c r="D9" s="18">
        <v>46</v>
      </c>
      <c r="E9" s="18" t="s">
        <v>320</v>
      </c>
      <c r="F9" s="18">
        <v>215</v>
      </c>
      <c r="G9" s="18"/>
    </row>
    <row r="10" spans="1:7" ht="45.6" customHeight="1" x14ac:dyDescent="0.3">
      <c r="A10" s="11">
        <v>5</v>
      </c>
      <c r="B10" s="18" t="s">
        <v>277</v>
      </c>
      <c r="C10" s="45" t="s">
        <v>283</v>
      </c>
      <c r="D10" s="18">
        <v>23</v>
      </c>
      <c r="E10" s="18" t="s">
        <v>321</v>
      </c>
      <c r="F10" s="18">
        <v>135</v>
      </c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270</v>
      </c>
      <c r="C39" s="48" t="s">
        <v>318</v>
      </c>
      <c r="D39" s="41">
        <v>2</v>
      </c>
      <c r="E39" s="23" t="s">
        <v>320</v>
      </c>
      <c r="F39" s="23">
        <v>10</v>
      </c>
      <c r="G39" s="23"/>
    </row>
    <row r="40" spans="1:7" s="28" customFormat="1" ht="45.6" customHeight="1" x14ac:dyDescent="0.3">
      <c r="A40" s="41">
        <v>2</v>
      </c>
      <c r="B40" s="23" t="s">
        <v>270</v>
      </c>
      <c r="C40" s="48" t="s">
        <v>318</v>
      </c>
      <c r="D40" s="41">
        <v>25</v>
      </c>
      <c r="E40" s="23" t="s">
        <v>320</v>
      </c>
      <c r="F40" s="23">
        <v>158</v>
      </c>
      <c r="G40" s="23"/>
    </row>
    <row r="41" spans="1:7" s="28" customFormat="1" ht="45.6" customHeight="1" x14ac:dyDescent="0.3">
      <c r="A41" s="41">
        <v>3</v>
      </c>
      <c r="B41" s="23" t="s">
        <v>270</v>
      </c>
      <c r="C41" s="48" t="s">
        <v>318</v>
      </c>
      <c r="D41" s="41">
        <v>41</v>
      </c>
      <c r="E41" s="23" t="s">
        <v>320</v>
      </c>
      <c r="F41" s="23">
        <v>198</v>
      </c>
      <c r="G41" s="23"/>
    </row>
    <row r="42" spans="1:7" s="28" customFormat="1" ht="45.6" customHeight="1" x14ac:dyDescent="0.3">
      <c r="A42" s="41">
        <v>4</v>
      </c>
      <c r="B42" s="23" t="s">
        <v>270</v>
      </c>
      <c r="C42" s="48" t="s">
        <v>318</v>
      </c>
      <c r="D42" s="41">
        <v>49</v>
      </c>
      <c r="E42" s="23" t="s">
        <v>320</v>
      </c>
      <c r="F42" s="23">
        <v>205</v>
      </c>
      <c r="G42" s="23"/>
    </row>
    <row r="43" spans="1:7" s="28" customFormat="1" ht="45.6" customHeight="1" x14ac:dyDescent="0.3">
      <c r="A43" s="41">
        <v>5</v>
      </c>
      <c r="B43" s="23" t="s">
        <v>284</v>
      </c>
      <c r="C43" s="48" t="s">
        <v>319</v>
      </c>
      <c r="D43" s="41">
        <v>31</v>
      </c>
      <c r="E43" s="23" t="s">
        <v>322</v>
      </c>
      <c r="F43" s="23">
        <v>175</v>
      </c>
      <c r="G43" s="23"/>
    </row>
    <row r="44" spans="1:7" s="28" customFormat="1" ht="45.6" customHeight="1" x14ac:dyDescent="0.3">
      <c r="A44" s="41">
        <v>6</v>
      </c>
      <c r="B44" s="23" t="s">
        <v>285</v>
      </c>
      <c r="C44" s="48" t="s">
        <v>286</v>
      </c>
      <c r="D44" s="41">
        <v>23</v>
      </c>
      <c r="E44" s="23" t="s">
        <v>322</v>
      </c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244</v>
      </c>
    </row>
    <row r="11" spans="1:11" ht="24.75" customHeight="1" x14ac:dyDescent="0.3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225</v>
      </c>
      <c r="B1" s="53"/>
      <c r="C1" s="53"/>
      <c r="D1" s="53"/>
      <c r="E1" s="53"/>
    </row>
    <row r="2" spans="1:8" ht="25.5" customHeight="1" x14ac:dyDescent="0.3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235</v>
      </c>
      <c r="B19" s="53"/>
      <c r="C19" s="53"/>
      <c r="D19" s="53"/>
      <c r="E19" s="53"/>
    </row>
    <row r="20" spans="1:5" ht="36" customHeight="1" x14ac:dyDescent="0.3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2024-07-13T09:57:45Z</dcterms:modified>
</cp:coreProperties>
</file>