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ladamani Aranya Kshetra II-42 #\"/>
    </mc:Choice>
  </mc:AlternateContent>
  <xr:revisionPtr revIDLastSave="0" documentId="13_ncr:1_{17F0123B-EF69-4A3F-819E-36754BA235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1">'Form II'!$A$1:$C$36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<sst xmlns="http://schemas.openxmlformats.org/spreadsheetml/2006/main" count="443" uniqueCount="327">
  <si>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</si>
  <si>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</si>
  <si>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</si>
  <si>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</si>
  <si>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</si>
  <si>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</si>
  <si>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</si>
  <si>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</si>
  <si>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</si>
  <si>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</si>
  <si>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</si>
  <si>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</si>
  <si>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</si>
  <si>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</si>
  <si>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</si>
  <si>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</si>
  <si>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</si>
  <si>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</si>
  <si>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</si>
  <si>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</si>
  <si>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</si>
  <si>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</si>
  <si>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</si>
  <si>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</si>
  <si>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</si>
  <si>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</si>
  <si>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</si>
  <si>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</si>
  <si>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</si>
  <si>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</si>
  <si>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</si>
  <si>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</si>
  <si>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</si>
  <si>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</si>
  <si>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</si>
  <si>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</si>
  <si>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</si>
  <si>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</si>
  <si>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</si>
  <si>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</si>
  <si>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</si>
  <si>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</si>
  <si>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</si>
  <si>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</si>
  <si>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</si>
  <si>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</si>
  <si>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</si>
  <si>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</si>
  <si>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</si>
  <si>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</si>
  <si>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</si>
  <si>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</si>
  <si>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</si>
  <si>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</si>
  <si>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</si>
  <si>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</si>
  <si>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</si>
  <si>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</si>
  <si>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</si>
  <si>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</si>
  <si>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</si>
  <si>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</si>
  <si>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</si>
  <si>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</si>
  <si>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</si>
  <si>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</si>
  <si>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</si>
  <si>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</si>
  <si>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</si>
  <si>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</si>
  <si>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</si>
  <si>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</si>
  <si>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</si>
  <si>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</si>
  <si>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</si>
  <si>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</si>
  <si>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</si>
  <si>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</si>
  <si>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</si>
  <si>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</si>
  <si>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</si>
  <si>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</si>
  <si>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</si>
  <si>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</si>
  <si>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</si>
  <si>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</si>
  <si>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</si>
  <si>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</si>
  <si>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</si>
  <si>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</si>
  <si>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</si>
  <si>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</si>
  <si>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</si>
  <si>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</si>
  <si>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</si>
  <si>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</si>
  <si>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</si>
  <si>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</si>
  <si>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</si>
  <si>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</si>
  <si>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</si>
  <si>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</si>
  <si>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</si>
  <si>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</si>
  <si>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</si>
  <si>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</si>
  <si>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</si>
  <si>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</si>
  <si>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</si>
  <si>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</si>
  <si>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</si>
  <si>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</si>
  <si>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</si>
  <si>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</si>
  <si>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</si>
  <si>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</si>
  <si>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</si>
  <si>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</si>
  <si>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</si>
  <si>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</si>
  <si>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</si>
  <si>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</si>
  <si>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</si>
  <si>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</si>
  <si>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</si>
  <si>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</si>
  <si>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</si>
  <si>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</si>
  <si>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</si>
  <si>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</si>
  <si>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</si>
  <si>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</si>
  <si>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</si>
  <si>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</si>
  <si>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</si>
  <si>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</si>
  <si>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</si>
  <si>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</si>
  <si>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</si>
  <si>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</si>
  <si>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</si>
  <si>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</si>
  <si>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</si>
  <si>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</si>
  <si>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</si>
  <si>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</si>
  <si>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</si>
  <si>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</si>
  <si>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</si>
  <si>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</si>
  <si>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</si>
  <si>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</si>
  <si>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</si>
  <si>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</si>
  <si>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</si>
  <si>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</si>
  <si>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</si>
  <si>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</si>
  <si>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</si>
  <si>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</si>
  <si>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</si>
  <si>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</si>
  <si>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</si>
  <si>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</si>
  <si>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</si>
  <si>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</si>
  <si>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</si>
  <si>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</si>
  <si>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</si>
  <si>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</si>
  <si>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</si>
  <si>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</si>
  <si>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</si>
  <si>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</si>
  <si>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</si>
  <si>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</si>
  <si>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</si>
  <si>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</si>
  <si>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</si>
  <si>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</si>
  <si>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</si>
  <si>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</si>
  <si>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</si>
  <si>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</si>
  <si>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</si>
  <si>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</si>
  <si>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</si>
  <si>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</si>
  <si>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</si>
  <si>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</si>
  <si>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</si>
  <si>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</si>
  <si>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</si>
  <si>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</si>
  <si>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</si>
  <si>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</si>
  <si>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</si>
  <si>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</si>
  <si>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</si>
  <si>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</si>
  <si>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</si>
  <si>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</si>
  <si>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</si>
  <si>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</si>
  <si>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</si>
  <si>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</si>
  <si>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</si>
  <si>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</si>
  <si>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</si>
  <si>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</si>
  <si>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</si>
  <si>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</si>
  <si>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</si>
  <si>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</si>
  <si>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</si>
  <si>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</si>
  <si>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</si>
  <si>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</si>
  <si>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</si>
  <si>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</si>
  <si>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</si>
  <si>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</si>
  <si>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</si>
  <si>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</si>
  <si>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</si>
  <si>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</si>
  <si>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</si>
  <si>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</si>
  <si>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</si>
  <si>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</si>
  <si>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</si>
  <si>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</si>
  <si>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</si>
  <si>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</si>
  <si>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</si>
  <si>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</si>
  <si>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</si>
  <si>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</si>
  <si>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</si>
  <si>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</si>
  <si>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</si>
  <si>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</si>
  <si>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</si>
  <si>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Jarige Bail (through Nala Shri Durgaparmeshwari temple)    upto     N  12.930944   E 75.265795   by vehicle then travel in the bearing of  297 degree upto a distance of  150m to reach the grid.</t>
  </si>
  <si>
    <t xml:space="preserve">Syzygium caryophyllateum, Acacia auriculiformis,  Garcinia indica </t>
  </si>
  <si>
    <t>Tract - Undulating</t>
  </si>
  <si>
    <t>Aspect - No fixed aspect</t>
  </si>
  <si>
    <t>Soil - Red gravel stony</t>
  </si>
  <si>
    <t xml:space="preserve">Herbs -Alternaria sp, </t>
  </si>
  <si>
    <t xml:space="preserve">Shrubs -Leea indica, Catunaregam spinosa </t>
  </si>
  <si>
    <t xml:space="preserve">Underwood species – Macaranga peltata, Cinnamomum virens, Holigarna arnattiana </t>
  </si>
  <si>
    <t xml:space="preserve">Climbers -Getonia floribunda </t>
  </si>
  <si>
    <t xml:space="preserve">NTFP yieding sps – Garcinia indica </t>
  </si>
  <si>
    <t>Hilly degraded, percolation trenches</t>
  </si>
  <si>
    <t>Heavy</t>
  </si>
  <si>
    <t>17m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</si>
  <si>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</si>
  <si>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>Open Forest</t>
    </r>
    <r>
      <rPr>
        <sz val="12"/>
        <rFont val="Times New Roman"/>
        <family val="1"/>
      </rPr>
      <t xml:space="preserve">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</si>
  <si>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</si>
  <si>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</t>
    </r>
    <r>
      <rPr>
        <b/>
        <sz val="12"/>
        <rFont val="Times New Roman"/>
        <family val="1"/>
      </rPr>
      <t>4°-15°/</t>
    </r>
    <r>
      <rPr>
        <sz val="12"/>
        <rFont val="Times New Roman"/>
        <family val="1"/>
      </rPr>
      <t xml:space="preserve"> 16°-40° /41°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</si>
  <si>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</si>
  <si>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t>Texture- Grvely red clayey soil</t>
  </si>
  <si>
    <t>Depth- Moderate</t>
  </si>
  <si>
    <t>Permiability-Poor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</si>
  <si>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</si>
  <si>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Anacardium occidentale, Acacia auriculiformis, Holigarna arnattiana, Hopea ponga </t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</si>
  <si>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</si>
  <si>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</si>
  <si>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Anthropogenic pressure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</si>
  <si>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</si>
  <si>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</si>
  <si>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</si>
  <si>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Acacia auriculiformis</t>
  </si>
  <si>
    <t xml:space="preserve">Present, Anacardium occidentale </t>
  </si>
  <si>
    <t>Absent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</si>
  <si>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</si>
  <si>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Nil</t>
  </si>
  <si>
    <t>Spotted deer, Barking deer</t>
  </si>
  <si>
    <t>&lt; 0.5</t>
  </si>
  <si>
    <t xml:space="preserve">Acacia auriculiformis </t>
  </si>
  <si>
    <t xml:space="preserve">Carallia brachiata </t>
  </si>
  <si>
    <t xml:space="preserve">Hopea ponga </t>
  </si>
  <si>
    <t>800g</t>
  </si>
  <si>
    <t>380g</t>
  </si>
  <si>
    <t>4.5kg</t>
  </si>
  <si>
    <t xml:space="preserve"> Garcinia indica </t>
  </si>
  <si>
    <t xml:space="preserve">Syzygium caryophyllateum </t>
  </si>
  <si>
    <t>680g</t>
  </si>
  <si>
    <t>360g</t>
  </si>
  <si>
    <t>4.3Kg</t>
  </si>
  <si>
    <t xml:space="preserve">Flacourtia montana </t>
  </si>
  <si>
    <t xml:space="preserve">Terminalia paniculata </t>
  </si>
  <si>
    <t xml:space="preserve">Aporosa lindleyana </t>
  </si>
  <si>
    <t xml:space="preserve">Ixora brachiata </t>
  </si>
  <si>
    <t xml:space="preserve">Clerodendrum infortunatum </t>
  </si>
  <si>
    <t>Milky latex yeilding climber</t>
  </si>
  <si>
    <t>Jasminum malabaricum</t>
  </si>
  <si>
    <t>Grasses -Cyprus rotondus, Oplismenus hirtellus</t>
  </si>
  <si>
    <t xml:space="preserve">Weeds - Hyptis suaveolens </t>
  </si>
  <si>
    <t>Canopy Dencity - 0.33</t>
  </si>
  <si>
    <t>Belthangady</t>
  </si>
  <si>
    <t xml:space="preserve">Naladamani Aranya Kshetra </t>
  </si>
  <si>
    <t>II-42</t>
  </si>
  <si>
    <t>Bamboos - NIL</t>
  </si>
  <si>
    <t>Rattans – NIL</t>
  </si>
  <si>
    <t>486 ft</t>
  </si>
  <si>
    <t>NI</t>
  </si>
  <si>
    <t>Mangalore</t>
  </si>
  <si>
    <t>Haiga</t>
  </si>
  <si>
    <t>Andi Punar</t>
  </si>
  <si>
    <t xml:space="preserve">Kokam </t>
  </si>
  <si>
    <t>Kunta Nerale</t>
  </si>
  <si>
    <t>Mullu Sampige</t>
  </si>
  <si>
    <t>Esaga</t>
  </si>
  <si>
    <t>Kaadu Mallige</t>
  </si>
  <si>
    <t>Matti</t>
  </si>
  <si>
    <t>Salle</t>
  </si>
  <si>
    <t xml:space="preserve">Gorbale </t>
  </si>
  <si>
    <t>1*90</t>
  </si>
  <si>
    <t>Stem</t>
  </si>
  <si>
    <t xml:space="preserve">Flower </t>
  </si>
  <si>
    <t xml:space="preserve">Fruit </t>
  </si>
  <si>
    <t>Leaves</t>
  </si>
  <si>
    <t>Bark</t>
  </si>
  <si>
    <t xml:space="preserve">fruit </t>
  </si>
  <si>
    <t>Flower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</si>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</sst>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307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300</v>
      </c>
    </row>
    <row r="6" spans="1:3" ht="39" customHeight="1" x14ac:dyDescent="0.3">
      <c r="A6" s="4">
        <v>2</v>
      </c>
      <c r="B6" s="51" t="s">
        <v>7</v>
      </c>
      <c r="C6" s="8" t="s">
        <v>301</v>
      </c>
    </row>
    <row r="7" spans="1:3" ht="39" customHeight="1" x14ac:dyDescent="0.3">
      <c r="A7" s="4">
        <v>3</v>
      </c>
      <c r="B7" s="51" t="s">
        <v>8</v>
      </c>
      <c r="C7" s="8" t="s">
        <v>302</v>
      </c>
    </row>
    <row r="8" spans="1:3" ht="39" customHeight="1" x14ac:dyDescent="0.3">
      <c r="A8" s="4">
        <v>4</v>
      </c>
      <c r="B8" s="51" t="s">
        <v>9</v>
      </c>
      <c r="C8" s="8">
        <v>5640</v>
      </c>
    </row>
    <row r="9" spans="1:3" ht="39" customHeight="1" x14ac:dyDescent="0.3">
      <c r="A9" s="4">
        <v>5</v>
      </c>
      <c r="B9" s="51" t="s">
        <v>10</v>
      </c>
      <c r="C9" s="9">
        <v>12.931552999999999</v>
      </c>
    </row>
    <row r="10" spans="1:3" ht="39" customHeight="1" x14ac:dyDescent="0.3">
      <c r="A10" s="4">
        <v>6</v>
      </c>
      <c r="B10" s="51" t="s">
        <v>11</v>
      </c>
      <c r="C10" s="9">
        <v>75.264537000000004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245</v>
      </c>
    </row>
    <row r="14" spans="1:3" ht="32.25" customHeight="1" x14ac:dyDescent="0.3">
      <c r="A14" s="54"/>
      <c r="B14" s="55"/>
      <c r="C14" s="6" t="s">
        <v>246</v>
      </c>
    </row>
    <row r="15" spans="1:3" ht="32.25" customHeight="1" x14ac:dyDescent="0.3">
      <c r="A15" s="54"/>
      <c r="B15" s="55"/>
      <c r="C15" s="6" t="s">
        <v>299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297</v>
      </c>
    </row>
    <row r="18" spans="1:3" ht="32.25" customHeight="1" x14ac:dyDescent="0.3">
      <c r="A18" s="54"/>
      <c r="B18" s="55"/>
      <c r="C18" s="6" t="s">
        <v>298</v>
      </c>
    </row>
    <row r="19" spans="1:3" ht="32.25" customHeight="1" x14ac:dyDescent="0.3">
      <c r="A19" s="54"/>
      <c r="B19" s="55"/>
      <c r="C19" s="6" t="s">
        <v>303</v>
      </c>
    </row>
    <row r="20" spans="1:3" ht="57.75" customHeight="1" x14ac:dyDescent="0.3">
      <c r="A20" s="54"/>
      <c r="B20" s="55"/>
      <c r="C20" s="6" t="s">
        <v>248</v>
      </c>
    </row>
    <row r="21" spans="1:3" ht="63" customHeight="1" x14ac:dyDescent="0.3">
      <c r="A21" s="54"/>
      <c r="B21" s="55"/>
      <c r="C21" s="6" t="s">
        <v>249</v>
      </c>
    </row>
    <row r="22" spans="1:3" ht="63" customHeight="1" x14ac:dyDescent="0.3">
      <c r="A22" s="54"/>
      <c r="B22" s="55"/>
      <c r="C22" s="6" t="s">
        <v>250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304</v>
      </c>
    </row>
    <row r="25" spans="1:3" ht="63" customHeight="1" x14ac:dyDescent="0.3">
      <c r="A25" s="54"/>
      <c r="B25" s="55"/>
      <c r="C25" s="6" t="s">
        <v>252</v>
      </c>
    </row>
    <row r="26" spans="1:3" ht="49.5" customHeight="1" x14ac:dyDescent="0.3">
      <c r="A26" s="4">
        <v>10</v>
      </c>
      <c r="B26" s="51" t="s">
        <v>15</v>
      </c>
      <c r="C26" s="6" t="s">
        <v>253</v>
      </c>
    </row>
    <row r="27" spans="1:3" ht="53.25" customHeight="1" x14ac:dyDescent="0.3">
      <c r="A27" s="4">
        <v>11</v>
      </c>
      <c r="B27" s="51" t="s">
        <v>16</v>
      </c>
      <c r="C27" s="6" t="s">
        <v>254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307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Naladamani Aranya Kshetra </v>
      </c>
    </row>
    <row r="8" spans="1:3" ht="32.25" customHeight="1" x14ac:dyDescent="0.3">
      <c r="A8" s="11">
        <v>4</v>
      </c>
      <c r="B8" s="52" t="s">
        <v>9</v>
      </c>
      <c r="C8" s="20">
        <f>'Form 1'!C8</f>
        <v>5640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12.931552999999999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75.264537000000004</v>
      </c>
    </row>
    <row r="11" spans="1:3" ht="32.25" customHeight="1" x14ac:dyDescent="0.3">
      <c r="A11" s="11">
        <v>7</v>
      </c>
      <c r="B11" s="52" t="s">
        <v>22</v>
      </c>
      <c r="C11" s="20" t="s">
        <v>305</v>
      </c>
    </row>
    <row r="12" spans="1:3" ht="43.5" customHeight="1" x14ac:dyDescent="0.3">
      <c r="A12" s="11">
        <v>8</v>
      </c>
      <c r="B12" s="52" t="s">
        <v>23</v>
      </c>
      <c r="C12" s="20" t="s">
        <v>256</v>
      </c>
    </row>
    <row r="13" spans="1:3" ht="43.5" customHeight="1" x14ac:dyDescent="0.3">
      <c r="A13" s="11">
        <v>9</v>
      </c>
      <c r="B13" s="52" t="s">
        <v>24</v>
      </c>
      <c r="C13" s="20" t="s">
        <v>257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261</v>
      </c>
    </row>
    <row r="19" spans="1:3" ht="30.75" customHeight="1" x14ac:dyDescent="0.3">
      <c r="A19" s="57"/>
      <c r="B19" s="58"/>
      <c r="C19" s="22" t="s">
        <v>262</v>
      </c>
    </row>
    <row r="20" spans="1:3" ht="30.75" customHeight="1" x14ac:dyDescent="0.3">
      <c r="A20" s="57"/>
      <c r="B20" s="58"/>
      <c r="C20" s="23" t="s">
        <v>263</v>
      </c>
    </row>
    <row r="21" spans="1:3" ht="36" customHeight="1" x14ac:dyDescent="0.3">
      <c r="A21" s="11">
        <v>15</v>
      </c>
      <c r="B21" s="52" t="s">
        <v>31</v>
      </c>
      <c r="C21" s="22" t="s">
        <v>264</v>
      </c>
    </row>
    <row r="22" spans="1:3" ht="54.75" customHeight="1" x14ac:dyDescent="0.3">
      <c r="A22" s="11">
        <v>16</v>
      </c>
      <c r="B22" s="52" t="s">
        <v>32</v>
      </c>
      <c r="C22" s="22" t="s">
        <v>265</v>
      </c>
    </row>
    <row r="23" spans="1:3" ht="15.6" x14ac:dyDescent="0.3">
      <c r="A23" s="11">
        <v>17</v>
      </c>
      <c r="B23" s="52" t="s">
        <v>221</v>
      </c>
      <c r="C23" s="22" t="s">
        <v>266</v>
      </c>
    </row>
    <row r="24" spans="1:3" ht="35.25" customHeight="1" x14ac:dyDescent="0.3">
      <c r="A24" s="11">
        <v>18</v>
      </c>
      <c r="B24" s="52" t="s">
        <v>33</v>
      </c>
      <c r="C24" s="22" t="s">
        <v>267</v>
      </c>
    </row>
    <row r="25" spans="1:3" ht="72.75" customHeight="1" x14ac:dyDescent="0.3">
      <c r="A25" s="11">
        <v>19</v>
      </c>
      <c r="B25" s="52" t="s">
        <v>34</v>
      </c>
      <c r="C25" s="22" t="s">
        <v>268</v>
      </c>
    </row>
    <row r="26" spans="1:3" ht="30" customHeight="1" x14ac:dyDescent="0.3">
      <c r="A26" s="11">
        <v>20</v>
      </c>
      <c r="B26" s="52" t="s">
        <v>35</v>
      </c>
      <c r="C26" s="23" t="s">
        <v>269</v>
      </c>
    </row>
    <row r="27" spans="1:3" ht="30" customHeight="1" x14ac:dyDescent="0.3">
      <c r="A27" s="11">
        <v>21</v>
      </c>
      <c r="B27" s="52" t="s">
        <v>36</v>
      </c>
      <c r="C27" s="22" t="s">
        <v>270</v>
      </c>
    </row>
    <row r="28" spans="1:3" ht="30" customHeight="1" x14ac:dyDescent="0.3">
      <c r="A28" s="11">
        <v>22</v>
      </c>
      <c r="B28" s="52" t="s">
        <v>37</v>
      </c>
      <c r="C28" s="22" t="s">
        <v>271</v>
      </c>
    </row>
    <row r="29" spans="1:3" ht="32.25" customHeight="1" x14ac:dyDescent="0.3">
      <c r="A29" s="11">
        <v>23</v>
      </c>
      <c r="B29" s="52" t="s">
        <v>38</v>
      </c>
      <c r="C29" s="22" t="s">
        <v>271</v>
      </c>
    </row>
    <row r="30" spans="1:3" ht="62.25" customHeight="1" x14ac:dyDescent="0.3">
      <c r="A30" s="11">
        <v>24</v>
      </c>
      <c r="B30" s="52" t="s">
        <v>39</v>
      </c>
      <c r="C30" s="22" t="s">
        <v>272</v>
      </c>
    </row>
    <row r="31" spans="1:3" ht="72.75" customHeight="1" x14ac:dyDescent="0.3">
      <c r="A31" s="11">
        <v>25</v>
      </c>
      <c r="B31" s="52" t="s">
        <v>40</v>
      </c>
      <c r="C31" s="22" t="s">
        <v>273</v>
      </c>
    </row>
    <row r="32" spans="1:3" ht="60" customHeight="1" x14ac:dyDescent="0.3">
      <c r="A32" s="11">
        <v>26</v>
      </c>
      <c r="B32" s="52" t="s">
        <v>41</v>
      </c>
      <c r="C32" s="22" t="s">
        <v>274</v>
      </c>
    </row>
    <row r="33" spans="1:3" ht="60" customHeight="1" x14ac:dyDescent="0.3">
      <c r="A33" s="11">
        <v>27</v>
      </c>
      <c r="B33" s="52" t="s">
        <v>42</v>
      </c>
      <c r="C33" s="20" t="s">
        <v>275</v>
      </c>
    </row>
    <row r="34" spans="1:3" ht="57.75" customHeight="1" x14ac:dyDescent="0.3">
      <c r="A34" s="11">
        <v>28</v>
      </c>
      <c r="B34" s="52" t="s">
        <v>43</v>
      </c>
      <c r="C34" s="22" t="s">
        <v>276</v>
      </c>
    </row>
    <row r="35" spans="1:3" ht="59.25" customHeight="1" x14ac:dyDescent="0.3">
      <c r="A35" s="11">
        <v>29</v>
      </c>
      <c r="B35" s="52" t="s">
        <v>44</v>
      </c>
      <c r="C35" s="22" t="s">
        <v>277</v>
      </c>
    </row>
    <row r="36" spans="1:3" ht="66" customHeight="1" x14ac:dyDescent="0.3">
      <c r="A36" s="11">
        <v>30</v>
      </c>
      <c r="B36" s="52" t="s">
        <v>225</v>
      </c>
      <c r="C36" s="22" t="s">
        <v>278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2" zoomScale="60" zoomScaleNormal="70" workbookViewId="0">
      <selection activeCell="K12" sqref="K12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279</v>
      </c>
      <c r="C12" s="24"/>
      <c r="D12" s="24">
        <v>73</v>
      </c>
      <c r="E12" s="24"/>
      <c r="F12" s="24"/>
      <c r="G12" s="24"/>
      <c r="H12" s="24"/>
      <c r="I12" s="24">
        <v>4</v>
      </c>
      <c r="J12" s="24">
        <v>5</v>
      </c>
      <c r="K12" s="24">
        <v>14</v>
      </c>
      <c r="L12" s="24">
        <v>4</v>
      </c>
      <c r="M12" s="24">
        <v>3.5</v>
      </c>
      <c r="N12" s="24"/>
      <c r="O12" s="24"/>
      <c r="P12" s="24"/>
      <c r="Q12" s="24"/>
      <c r="R12" s="24">
        <v>6.5</v>
      </c>
      <c r="S12" s="24"/>
      <c r="T12" s="24"/>
    </row>
    <row r="13" spans="1:20" ht="40.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ht="40.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 ht="40.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ht="40.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1:20" ht="40.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ht="40.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 ht="40.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ht="40.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0" ht="40.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40.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40.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A17" zoomScale="60" workbookViewId="0">
      <selection activeCell="B46" sqref="B46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96" sqref="F96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280</v>
      </c>
      <c r="C5" s="12" t="s">
        <v>309</v>
      </c>
      <c r="D5" s="12">
        <v>5</v>
      </c>
      <c r="E5" s="12">
        <v>2</v>
      </c>
      <c r="F5" s="12" t="s">
        <v>319</v>
      </c>
      <c r="G5" s="12">
        <v>11</v>
      </c>
      <c r="H5" s="12"/>
    </row>
    <row r="6" spans="1:8" ht="29.25" customHeight="1" x14ac:dyDescent="0.3">
      <c r="A6" s="11">
        <v>2</v>
      </c>
      <c r="B6" s="12" t="s">
        <v>281</v>
      </c>
      <c r="C6" s="12" t="s">
        <v>308</v>
      </c>
      <c r="D6" s="12">
        <v>5</v>
      </c>
      <c r="E6" s="12">
        <v>3.5</v>
      </c>
      <c r="F6" s="12" t="s">
        <v>320</v>
      </c>
      <c r="G6" s="12">
        <v>18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>
        <v>0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282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283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284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1" t="s">
        <v>285</v>
      </c>
      <c r="C38" s="18" t="s">
        <v>310</v>
      </c>
      <c r="D38" s="18">
        <v>5</v>
      </c>
      <c r="E38" s="18">
        <v>3</v>
      </c>
      <c r="F38" s="18" t="s">
        <v>321</v>
      </c>
      <c r="G38" s="18">
        <v>16</v>
      </c>
      <c r="H38" s="18"/>
    </row>
    <row r="39" spans="1:8" ht="36" customHeight="1" x14ac:dyDescent="0.3">
      <c r="A39" s="11">
        <v>2</v>
      </c>
      <c r="B39" s="11" t="s">
        <v>281</v>
      </c>
      <c r="C39" s="18" t="s">
        <v>308</v>
      </c>
      <c r="D39" s="18">
        <v>5</v>
      </c>
      <c r="E39" s="18">
        <v>2</v>
      </c>
      <c r="F39" s="18" t="s">
        <v>320</v>
      </c>
      <c r="G39" s="18">
        <v>11</v>
      </c>
      <c r="H39" s="18"/>
    </row>
    <row r="40" spans="1:8" ht="36" customHeight="1" x14ac:dyDescent="0.3">
      <c r="A40" s="11">
        <v>3</v>
      </c>
      <c r="B40" s="11" t="s">
        <v>286</v>
      </c>
      <c r="C40" s="18" t="s">
        <v>311</v>
      </c>
      <c r="D40" s="18">
        <v>2.5</v>
      </c>
      <c r="E40" s="18">
        <v>2.5</v>
      </c>
      <c r="F40" s="18" t="s">
        <v>321</v>
      </c>
      <c r="G40" s="18">
        <v>3.9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>
        <v>0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287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288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289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290</v>
      </c>
      <c r="C69" s="11" t="s">
        <v>312</v>
      </c>
      <c r="D69" s="11">
        <v>8</v>
      </c>
      <c r="E69" s="11">
        <v>7</v>
      </c>
      <c r="F69" s="11" t="s">
        <v>321</v>
      </c>
      <c r="G69" s="11">
        <v>59</v>
      </c>
      <c r="H69" s="11"/>
    </row>
    <row r="70" spans="1:8" s="28" customFormat="1" ht="41.25" customHeight="1" x14ac:dyDescent="0.3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306</v>
      </c>
      <c r="C96" s="11"/>
      <c r="D96" s="41"/>
      <c r="E96" s="42"/>
      <c r="F96" s="23"/>
      <c r="G96" s="23"/>
      <c r="H96" s="23"/>
    </row>
    <row r="97" spans="1:8" s="28" customFormat="1" ht="39" customHeight="1" x14ac:dyDescent="0.3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3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9" zoomScaleNormal="85" zoomScaleSheetLayoutView="89" workbookViewId="0">
      <selection activeCell="E44" sqref="E44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291</v>
      </c>
      <c r="C6" s="45" t="s">
        <v>315</v>
      </c>
      <c r="D6" s="18">
        <v>60</v>
      </c>
      <c r="E6" s="18" t="s">
        <v>322</v>
      </c>
      <c r="F6" s="18">
        <v>250</v>
      </c>
      <c r="G6" s="18"/>
    </row>
    <row r="7" spans="1:7" ht="45.6" customHeight="1" x14ac:dyDescent="0.3">
      <c r="A7" s="11">
        <v>2</v>
      </c>
      <c r="B7" s="18" t="s">
        <v>280</v>
      </c>
      <c r="C7" s="45" t="s">
        <v>309</v>
      </c>
      <c r="D7" s="18">
        <v>40</v>
      </c>
      <c r="E7" s="18" t="s">
        <v>323</v>
      </c>
      <c r="F7" s="18" t="s">
        <v>318</v>
      </c>
      <c r="G7" s="18"/>
    </row>
    <row r="8" spans="1:7" ht="45.6" customHeight="1" x14ac:dyDescent="0.3">
      <c r="A8" s="11">
        <v>3</v>
      </c>
      <c r="B8" s="18" t="s">
        <v>292</v>
      </c>
      <c r="C8" s="45" t="s">
        <v>316</v>
      </c>
      <c r="D8" s="18">
        <v>30</v>
      </c>
      <c r="E8" s="18" t="s">
        <v>324</v>
      </c>
      <c r="F8" s="18">
        <v>165</v>
      </c>
      <c r="G8" s="18"/>
    </row>
    <row r="9" spans="1:7" ht="45.6" customHeight="1" x14ac:dyDescent="0.3">
      <c r="A9" s="11">
        <v>4</v>
      </c>
      <c r="B9" s="18" t="s">
        <v>293</v>
      </c>
      <c r="C9" s="45" t="s">
        <v>317</v>
      </c>
      <c r="D9" s="18">
        <v>30</v>
      </c>
      <c r="E9" s="18" t="s">
        <v>320</v>
      </c>
      <c r="F9" s="18">
        <v>155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294</v>
      </c>
      <c r="C39" s="48" t="s">
        <v>313</v>
      </c>
      <c r="D39" s="41">
        <v>42</v>
      </c>
      <c r="E39" s="23" t="s">
        <v>322</v>
      </c>
      <c r="F39" s="23">
        <v>185</v>
      </c>
      <c r="G39" s="23"/>
    </row>
    <row r="40" spans="1:7" s="28" customFormat="1" ht="45.6" customHeight="1" x14ac:dyDescent="0.3">
      <c r="A40" s="41">
        <v>2</v>
      </c>
      <c r="B40" s="23" t="s">
        <v>294</v>
      </c>
      <c r="C40" s="48" t="s">
        <v>313</v>
      </c>
      <c r="D40" s="41">
        <v>45</v>
      </c>
      <c r="E40" s="23" t="s">
        <v>322</v>
      </c>
      <c r="F40" s="23">
        <v>189</v>
      </c>
      <c r="G40" s="23"/>
    </row>
    <row r="41" spans="1:7" s="28" customFormat="1" ht="45.6" customHeight="1" x14ac:dyDescent="0.3">
      <c r="A41" s="41">
        <v>3</v>
      </c>
      <c r="B41" s="23" t="s">
        <v>294</v>
      </c>
      <c r="C41" s="48" t="s">
        <v>313</v>
      </c>
      <c r="D41" s="41">
        <v>35</v>
      </c>
      <c r="E41" s="23" t="s">
        <v>322</v>
      </c>
      <c r="F41" s="23">
        <v>180</v>
      </c>
      <c r="G41" s="23"/>
    </row>
    <row r="42" spans="1:7" s="28" customFormat="1" ht="45.6" customHeight="1" x14ac:dyDescent="0.3">
      <c r="A42" s="41">
        <v>4</v>
      </c>
      <c r="B42" s="23" t="s">
        <v>296</v>
      </c>
      <c r="C42" s="48" t="s">
        <v>314</v>
      </c>
      <c r="D42" s="41">
        <v>30</v>
      </c>
      <c r="E42" s="23" t="s">
        <v>325</v>
      </c>
      <c r="F42" s="23">
        <v>170</v>
      </c>
      <c r="G42" s="23"/>
    </row>
    <row r="43" spans="1:7" s="28" customFormat="1" ht="45.6" customHeight="1" x14ac:dyDescent="0.3">
      <c r="A43" s="41">
        <v>5</v>
      </c>
      <c r="B43" s="23" t="s">
        <v>295</v>
      </c>
      <c r="C43" s="48"/>
      <c r="D43" s="41">
        <v>20</v>
      </c>
      <c r="E43" s="23" t="s">
        <v>326</v>
      </c>
      <c r="F43" s="23">
        <v>140</v>
      </c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6" zoomScaleSheetLayoutView="100" workbookViewId="0">
      <selection activeCell="B12" sqref="B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II'!Print_Area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2024-07-13T10:17:06Z</dcterms:modified>
</cp:coreProperties>
</file>