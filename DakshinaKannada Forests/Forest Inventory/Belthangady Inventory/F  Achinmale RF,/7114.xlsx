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CB583864-C2F0-4E42-9188-D5288AEA81CF}" xr6:coauthVersionLast="47" xr6:coauthVersionMax="47" xr10:uidLastSave="{00000000-0000-0000-0000-000000000000}"/>
  <bookViews>
    <workbookView xWindow="2460" yWindow="1725" windowWidth="22140" windowHeight="13110" firstSheet="2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9" l="1"/>
  <c r="F41" i="9"/>
  <c r="F40" i="9"/>
  <c r="F39" i="9"/>
  <c r="F13" i="9"/>
  <c r="F14" i="9"/>
  <c r="F7" i="9"/>
  <c r="F8" i="9"/>
  <c r="F9" i="9"/>
  <c r="F10" i="9"/>
  <c r="F11" i="9"/>
  <c r="F12" i="9"/>
  <c r="F6" i="9"/>
  <c r="G98" i="8"/>
  <c r="G97" i="8"/>
  <c r="G96" i="8"/>
  <c r="G70" i="8"/>
  <c r="G69" i="8"/>
  <c r="G41" i="8"/>
  <c r="G40" i="8"/>
  <c r="G39" i="8"/>
  <c r="G38" i="8"/>
  <c r="G8" i="8"/>
  <c r="G7" i="8"/>
  <c r="G6" i="8"/>
  <c r="G5" i="8"/>
  <c r="C10" i="5"/>
  <c r="C9" i="5"/>
  <c r="C8" i="5"/>
  <c r="C7" i="5"/>
  <c r="C5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B93" i="8"/>
  <c r="B66" i="8"/>
  <c r="B35" i="8"/>
</calcChain>
</file>

<file path=xl/sharedStrings.xml><?xml version="1.0" encoding="utf-8"?>
<sst xmlns="http://schemas.openxmlformats.org/spreadsheetml/2006/main" count="483" uniqueCount="338">
  <si>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</si>
  <si>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</si>
  <si>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</si>
  <si>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</si>
  <si>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</si>
  <si>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</si>
  <si>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</si>
  <si>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</si>
  <si>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</si>
  <si>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</si>
  <si>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</si>
  <si>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</si>
  <si>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</si>
  <si>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</si>
  <si>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</si>
  <si>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</si>
  <si>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</si>
  <si>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</si>
  <si>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</si>
  <si>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</si>
  <si>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</si>
  <si>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</si>
  <si>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</si>
  <si>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</si>
  <si>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</si>
  <si>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</si>
  <si>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</si>
  <si>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</si>
  <si>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</si>
  <si>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</si>
  <si>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</si>
  <si>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</si>
  <si>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</si>
  <si>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</si>
  <si>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</si>
  <si>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</si>
  <si>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</si>
  <si>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</si>
  <si>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</si>
  <si>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</si>
  <si>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</si>
  <si>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</si>
  <si>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</si>
  <si>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</si>
  <si>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</si>
  <si>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</si>
  <si>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</si>
  <si>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</si>
  <si>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</si>
  <si>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</si>
  <si>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</si>
  <si>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</si>
  <si>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</si>
  <si>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</si>
  <si>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</si>
  <si>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</si>
  <si>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</si>
  <si>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</si>
  <si>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</si>
  <si>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</si>
  <si>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</si>
  <si>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</si>
  <si>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</si>
  <si>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</si>
  <si>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</si>
  <si>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</si>
  <si>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</si>
  <si>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</si>
  <si>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</si>
  <si>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</si>
  <si>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</si>
  <si>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</si>
  <si>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</si>
  <si>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</si>
  <si>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</si>
  <si>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</si>
  <si>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</si>
  <si>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</si>
  <si>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</si>
  <si>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</si>
  <si>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</si>
  <si>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</si>
  <si>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</si>
  <si>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</si>
  <si>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</si>
  <si>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</si>
  <si>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</si>
  <si>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</si>
  <si>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</si>
  <si>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</si>
  <si>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</si>
  <si>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</si>
  <si>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</si>
  <si>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</si>
  <si>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</si>
  <si>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</si>
  <si>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</si>
  <si>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</si>
  <si>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</si>
  <si>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</si>
  <si>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</si>
  <si>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</si>
  <si>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</si>
  <si>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</si>
  <si>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</si>
  <si>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</si>
  <si>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</si>
  <si>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</si>
  <si>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</si>
  <si>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</si>
  <si>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</si>
  <si>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</si>
  <si>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</si>
  <si>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</si>
  <si>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</si>
  <si>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</si>
  <si>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</si>
  <si>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</si>
  <si>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</si>
  <si>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</si>
  <si>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</si>
  <si>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</si>
  <si>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</si>
  <si>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</si>
  <si>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</si>
  <si>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</si>
  <si>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</si>
  <si>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</si>
  <si>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</si>
  <si>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</si>
  <si>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</si>
  <si>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</si>
  <si>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</si>
  <si>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</si>
  <si>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</si>
  <si>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</si>
  <si>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</si>
  <si>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</si>
  <si>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</si>
  <si>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</si>
  <si>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</si>
  <si>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</si>
  <si>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</si>
  <si>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</si>
  <si>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</si>
  <si>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</si>
  <si>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</si>
  <si>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</si>
  <si>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</si>
  <si>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</si>
  <si>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</si>
  <si>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</si>
  <si>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</si>
  <si>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</si>
  <si>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</si>
  <si>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</si>
  <si>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</si>
  <si>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</si>
  <si>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</si>
  <si>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</si>
  <si>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</si>
  <si>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</si>
  <si>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</si>
  <si>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</si>
  <si>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</si>
  <si>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</si>
  <si>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</si>
  <si>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</si>
  <si>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</si>
  <si>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</si>
  <si>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</si>
  <si>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</si>
  <si>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</si>
  <si>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</si>
  <si>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</si>
  <si>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</si>
  <si>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</si>
  <si>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</si>
  <si>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</si>
  <si>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</si>
  <si>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</si>
  <si>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</si>
  <si>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</si>
  <si>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</si>
  <si>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</si>
  <si>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</si>
  <si>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</si>
  <si>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</si>
  <si>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</si>
  <si>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</si>
  <si>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</si>
  <si>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</si>
  <si>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</si>
  <si>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</si>
  <si>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</si>
  <si>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</si>
  <si>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</si>
  <si>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</si>
  <si>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</si>
  <si>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</si>
  <si>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</si>
  <si>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</si>
  <si>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</si>
  <si>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</si>
  <si>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</si>
  <si>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</si>
  <si>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</si>
  <si>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</si>
  <si>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</si>
  <si>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</si>
  <si>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</si>
  <si>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</si>
  <si>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</si>
  <si>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</si>
  <si>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</si>
  <si>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</si>
  <si>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</si>
  <si>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</si>
  <si>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</si>
  <si>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</si>
  <si>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</si>
  <si>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</si>
  <si>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</si>
  <si>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</si>
  <si>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</si>
  <si>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</si>
  <si>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</si>
  <si>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</si>
  <si>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</si>
  <si>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</si>
  <si>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</si>
  <si>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</si>
  <si>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</si>
  <si>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</si>
  <si>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</si>
  <si>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</si>
  <si>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</si>
  <si>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</si>
  <si>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</si>
  <si>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</si>
  <si>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</si>
  <si>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Kaje  upto     N  13.054099   E 75.348080   by vehicle then travel in the bearing of    217 degree upto a distance of   79 m to reach the grid.</t>
  </si>
  <si>
    <t xml:space="preserve">Hopea ponga , Anacardium occidentale , Casuarina equisitifolia , Acacia auriculiformis </t>
  </si>
  <si>
    <t xml:space="preserve">Tract - hilly </t>
  </si>
  <si>
    <t>Aspect -NE</t>
  </si>
  <si>
    <t>Canopy Dencity - 0.62</t>
  </si>
  <si>
    <t>Soil - light black to red soil</t>
  </si>
  <si>
    <t xml:space="preserve">Weeds - Chromolaena odorata , Hyptis suaveolens </t>
  </si>
  <si>
    <t>Grasses - nil</t>
  </si>
  <si>
    <t>Bamboos - nil</t>
  </si>
  <si>
    <t xml:space="preserve">Herbs - Hyptis suaveolens , Mimosa pudica </t>
  </si>
  <si>
    <t xml:space="preserve">Shrubs - Mussaenda frondosa , Spegniticola trilobata , Ziziphus oenoplia </t>
  </si>
  <si>
    <t xml:space="preserve">Underwood species – Artocarpus hirusts , Holigarna arnattiana , Acacia auriculiformis </t>
  </si>
  <si>
    <t xml:space="preserve">Climbers - Dharmastala creeper, Smilax spinosa </t>
  </si>
  <si>
    <t>Rattans – nil</t>
  </si>
  <si>
    <t xml:space="preserve">NTFP yieding sps – Anacardium occidentale </t>
  </si>
  <si>
    <t>Hilly</t>
  </si>
  <si>
    <t>moderate</t>
  </si>
  <si>
    <t>6.5m</t>
  </si>
  <si>
    <t>477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</si>
  <si>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</si>
  <si>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</si>
  <si>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</si>
  <si>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</si>
  <si>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</si>
  <si>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silty loam</t>
  </si>
  <si>
    <t>Depth-  moderate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</si>
  <si>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</si>
  <si>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</si>
  <si>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Hopea ponga , Anacardium occidentale , Acacia auriculiformis , Casuarina equisitifolia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</si>
  <si>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</si>
  <si>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</si>
  <si>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 , humans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</si>
  <si>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</si>
  <si>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</si>
  <si>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</si>
  <si>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</si>
  <si>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</si>
  <si>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</si>
  <si>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0.5-0.75</t>
  </si>
  <si>
    <t>Anacardium occidentale</t>
  </si>
  <si>
    <t>Acacia auriculiformis</t>
  </si>
  <si>
    <t>Buchanania lanzan</t>
  </si>
  <si>
    <t>Hopea ponga</t>
  </si>
  <si>
    <t>Casuarina equisitifolia</t>
  </si>
  <si>
    <t xml:space="preserve"> Garcinia indica </t>
  </si>
  <si>
    <t>Olea dioca</t>
  </si>
  <si>
    <t>Careya arborea</t>
  </si>
  <si>
    <t>Malabatricum</t>
  </si>
  <si>
    <t>Getonia floribunda</t>
  </si>
  <si>
    <t>3kg</t>
  </si>
  <si>
    <t>Artocarpus hirusts</t>
  </si>
  <si>
    <t>Syzygium cumini</t>
  </si>
  <si>
    <t>8kg</t>
  </si>
  <si>
    <t>Vitex altissima</t>
  </si>
  <si>
    <t>Aporosa lindleyana</t>
  </si>
  <si>
    <t>Clerodendrum infortunatum</t>
  </si>
  <si>
    <t>Psychotria flavida</t>
  </si>
  <si>
    <t>Rubia-cossinia chinensis</t>
  </si>
  <si>
    <t xml:space="preserve">Aglaia elaeagnoidea </t>
  </si>
  <si>
    <t>Smilax spinosa</t>
  </si>
  <si>
    <t>Tabernamontana heyneana</t>
  </si>
  <si>
    <t>Terminalia paniculata</t>
  </si>
  <si>
    <t>120g</t>
  </si>
  <si>
    <t>700g</t>
  </si>
  <si>
    <t>250g</t>
  </si>
  <si>
    <t>140g</t>
  </si>
  <si>
    <t>230g</t>
  </si>
  <si>
    <t>900g</t>
  </si>
  <si>
    <t>210g</t>
  </si>
  <si>
    <t>NIL</t>
  </si>
  <si>
    <t>Belthangady</t>
  </si>
  <si>
    <t>Achinmale RF</t>
  </si>
  <si>
    <t>II-28</t>
  </si>
  <si>
    <t>Mangalore</t>
  </si>
  <si>
    <t>Kumasa</t>
  </si>
  <si>
    <t>Hebbhalsu</t>
  </si>
  <si>
    <t>Nerale</t>
  </si>
  <si>
    <t>Naviladi</t>
  </si>
  <si>
    <t>Hurakki</t>
  </si>
  <si>
    <t>Taggi</t>
  </si>
  <si>
    <t>Maddarasa</t>
  </si>
  <si>
    <t>Hunalu</t>
  </si>
  <si>
    <t>Leaves (Medicinal purposes)</t>
  </si>
  <si>
    <t>Leaf</t>
  </si>
  <si>
    <t>Bark</t>
  </si>
  <si>
    <t>Fruit (Source of edible oil)</t>
  </si>
  <si>
    <t>Approx. weight in KG</t>
  </si>
  <si>
    <t xml:space="preserve">Tubers </t>
  </si>
  <si>
    <t xml:space="preserve">Bark , seeds </t>
  </si>
  <si>
    <t xml:space="preserve">fruit pulp, seed </t>
  </si>
  <si>
    <t>Edible fruits, Fiber</t>
  </si>
  <si>
    <t>Flowers and leaves</t>
  </si>
  <si>
    <t>pods</t>
  </si>
  <si>
    <t>fruits, seeds</t>
  </si>
  <si>
    <t xml:space="preserve">Fruits, Leaves  </t>
  </si>
  <si>
    <t>seeds</t>
  </si>
  <si>
    <t xml:space="preserve">Leaves , Flowers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</si>
</sst>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0"/>
      <color theme="1"/>
      <name val="Arial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9" xfId="0" applyFont="1" applyBorder="1" applyAlignment="1">
      <alignment horizontal="right" wrapText="1"/>
    </xf>
    <xf numFmtId="2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2" fontId="4" fillId="0" borderId="0" xfId="0" applyNumberFormat="1" applyFont="1"/>
    <xf numFmtId="2" fontId="5" fillId="0" borderId="0" xfId="0" applyNumberFormat="1" applyFont="1"/>
    <xf numFmtId="2" fontId="4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30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61" t="s">
        <v>0</v>
      </c>
      <c r="B1" s="61"/>
      <c r="C1" s="61"/>
    </row>
    <row r="2" spans="1:3" ht="24.75" customHeight="1" x14ac:dyDescent="0.25">
      <c r="A2" s="61" t="s">
        <v>1</v>
      </c>
      <c r="B2" s="61"/>
      <c r="C2" s="61"/>
    </row>
    <row r="3" spans="1:3" s="3" customFormat="1" ht="24.75" customHeight="1" x14ac:dyDescent="0.25">
      <c r="A3" s="61" t="s">
        <v>2</v>
      </c>
      <c r="B3" s="61"/>
      <c r="C3" s="2" t="s">
        <v>314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8" t="s">
        <v>311</v>
      </c>
    </row>
    <row r="6" spans="1:3" ht="39" customHeight="1" x14ac:dyDescent="0.25">
      <c r="A6" s="4">
        <v>2</v>
      </c>
      <c r="B6" s="50" t="s">
        <v>7</v>
      </c>
      <c r="C6" s="8" t="s">
        <v>312</v>
      </c>
    </row>
    <row r="7" spans="1:3" ht="39" customHeight="1" x14ac:dyDescent="0.25">
      <c r="A7" s="4">
        <v>3</v>
      </c>
      <c r="B7" s="50" t="s">
        <v>8</v>
      </c>
      <c r="C7" s="7" t="s">
        <v>313</v>
      </c>
    </row>
    <row r="8" spans="1:3" ht="39" customHeight="1" x14ac:dyDescent="0.25">
      <c r="A8" s="4">
        <v>4</v>
      </c>
      <c r="B8" s="50" t="s">
        <v>9</v>
      </c>
      <c r="C8" s="7">
        <v>7114</v>
      </c>
    </row>
    <row r="9" spans="1:3" ht="39" customHeight="1" x14ac:dyDescent="0.25">
      <c r="A9" s="4">
        <v>5</v>
      </c>
      <c r="B9" s="50" t="s">
        <v>10</v>
      </c>
      <c r="C9" s="8">
        <v>13.05353</v>
      </c>
    </row>
    <row r="10" spans="1:3" ht="39" customHeight="1" x14ac:dyDescent="0.25">
      <c r="A10" s="4">
        <v>6</v>
      </c>
      <c r="B10" s="50" t="s">
        <v>11</v>
      </c>
      <c r="C10" s="8">
        <v>75.347677000000004</v>
      </c>
    </row>
    <row r="11" spans="1:3" ht="141.75" customHeight="1" x14ac:dyDescent="0.25">
      <c r="A11" s="4">
        <v>7</v>
      </c>
      <c r="B11" s="50" t="s">
        <v>12</v>
      </c>
      <c r="C11" s="9" t="s">
        <v>241</v>
      </c>
    </row>
    <row r="12" spans="1:3" ht="98.25" customHeight="1" x14ac:dyDescent="0.25">
      <c r="A12" s="4">
        <v>8</v>
      </c>
      <c r="B12" s="50" t="s">
        <v>13</v>
      </c>
      <c r="C12" s="9" t="s">
        <v>242</v>
      </c>
    </row>
    <row r="13" spans="1:3" ht="32.25" customHeight="1" x14ac:dyDescent="0.25">
      <c r="A13" s="62">
        <v>9</v>
      </c>
      <c r="B13" s="63" t="s">
        <v>14</v>
      </c>
      <c r="C13" s="6" t="s">
        <v>243</v>
      </c>
    </row>
    <row r="14" spans="1:3" ht="32.25" customHeight="1" x14ac:dyDescent="0.25">
      <c r="A14" s="62"/>
      <c r="B14" s="63"/>
      <c r="C14" s="6" t="s">
        <v>244</v>
      </c>
    </row>
    <row r="15" spans="1:3" ht="32.25" customHeight="1" x14ac:dyDescent="0.25">
      <c r="A15" s="62"/>
      <c r="B15" s="63"/>
      <c r="C15" s="6" t="s">
        <v>245</v>
      </c>
    </row>
    <row r="16" spans="1:3" ht="32.25" customHeight="1" x14ac:dyDescent="0.25">
      <c r="A16" s="62"/>
      <c r="B16" s="63"/>
      <c r="C16" s="6" t="s">
        <v>246</v>
      </c>
    </row>
    <row r="17" spans="1:3" ht="32.25" customHeight="1" x14ac:dyDescent="0.25">
      <c r="A17" s="62"/>
      <c r="B17" s="63"/>
      <c r="C17" s="6" t="s">
        <v>248</v>
      </c>
    </row>
    <row r="18" spans="1:3" ht="32.25" customHeight="1" x14ac:dyDescent="0.25">
      <c r="A18" s="62"/>
      <c r="B18" s="63"/>
      <c r="C18" s="6" t="s">
        <v>247</v>
      </c>
    </row>
    <row r="19" spans="1:3" ht="32.25" customHeight="1" x14ac:dyDescent="0.25">
      <c r="A19" s="62"/>
      <c r="B19" s="63"/>
      <c r="C19" s="6" t="s">
        <v>249</v>
      </c>
    </row>
    <row r="20" spans="1:3" ht="57.75" customHeight="1" x14ac:dyDescent="0.25">
      <c r="A20" s="62"/>
      <c r="B20" s="63"/>
      <c r="C20" s="6" t="s">
        <v>250</v>
      </c>
    </row>
    <row r="21" spans="1:3" ht="63" customHeight="1" x14ac:dyDescent="0.25">
      <c r="A21" s="62"/>
      <c r="B21" s="63"/>
      <c r="C21" s="6" t="s">
        <v>251</v>
      </c>
    </row>
    <row r="22" spans="1:3" ht="63" customHeight="1" x14ac:dyDescent="0.25">
      <c r="A22" s="62"/>
      <c r="B22" s="63"/>
      <c r="C22" s="6" t="s">
        <v>252</v>
      </c>
    </row>
    <row r="23" spans="1:3" ht="63" customHeight="1" x14ac:dyDescent="0.25">
      <c r="A23" s="62"/>
      <c r="B23" s="63"/>
      <c r="C23" s="6" t="s">
        <v>253</v>
      </c>
    </row>
    <row r="24" spans="1:3" ht="63" customHeight="1" x14ac:dyDescent="0.25">
      <c r="A24" s="62"/>
      <c r="B24" s="63"/>
      <c r="C24" s="6" t="s">
        <v>254</v>
      </c>
    </row>
    <row r="25" spans="1:3" ht="63" customHeight="1" x14ac:dyDescent="0.25">
      <c r="A25" s="62"/>
      <c r="B25" s="63"/>
      <c r="C25" s="6" t="s">
        <v>255</v>
      </c>
    </row>
    <row r="26" spans="1:3" ht="49.5" customHeight="1" x14ac:dyDescent="0.25">
      <c r="A26" s="4">
        <v>10</v>
      </c>
      <c r="B26" s="50" t="s">
        <v>15</v>
      </c>
      <c r="C26" s="6" t="s">
        <v>256</v>
      </c>
    </row>
    <row r="27" spans="1:3" ht="53.25" customHeight="1" x14ac:dyDescent="0.25">
      <c r="A27" s="4">
        <v>11</v>
      </c>
      <c r="B27" s="50" t="s">
        <v>16</v>
      </c>
      <c r="C27" s="6" t="s">
        <v>257</v>
      </c>
    </row>
    <row r="28" spans="1:3" s="12" customFormat="1" ht="51" customHeight="1" x14ac:dyDescent="0.25">
      <c r="A28" s="17">
        <v>12</v>
      </c>
      <c r="B28" s="51" t="s">
        <v>217</v>
      </c>
      <c r="C28" s="6" t="s">
        <v>310</v>
      </c>
    </row>
    <row r="29" spans="1:3" s="12" customFormat="1" ht="51.75" customHeight="1" x14ac:dyDescent="0.25">
      <c r="A29" s="17">
        <v>13</v>
      </c>
      <c r="B29" s="51" t="s">
        <v>218</v>
      </c>
      <c r="C29" s="11" t="s">
        <v>258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40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64" t="s">
        <v>17</v>
      </c>
      <c r="B1" s="64"/>
      <c r="C1" s="64"/>
    </row>
    <row r="2" spans="1:3" ht="25.5" customHeight="1" x14ac:dyDescent="0.25">
      <c r="A2" s="64" t="s">
        <v>18</v>
      </c>
      <c r="B2" s="64"/>
      <c r="C2" s="64"/>
    </row>
    <row r="3" spans="1:3" s="14" customFormat="1" ht="25.5" customHeight="1" x14ac:dyDescent="0.25">
      <c r="A3" s="64" t="s">
        <v>2</v>
      </c>
      <c r="B3" s="64"/>
      <c r="C3" s="16" t="s">
        <v>314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1" t="s">
        <v>222</v>
      </c>
      <c r="C6" s="19"/>
    </row>
    <row r="7" spans="1:3" ht="32.25" customHeight="1" x14ac:dyDescent="0.25">
      <c r="A7" s="10">
        <v>3</v>
      </c>
      <c r="B7" s="51" t="s">
        <v>219</v>
      </c>
      <c r="C7" s="19" t="str">
        <f>'Form 1'!C6</f>
        <v>Achinmale RF</v>
      </c>
    </row>
    <row r="8" spans="1:3" ht="32.25" customHeight="1" x14ac:dyDescent="0.25">
      <c r="A8" s="10">
        <v>4</v>
      </c>
      <c r="B8" s="51" t="s">
        <v>9</v>
      </c>
      <c r="C8" s="19">
        <f>'Form 1'!C8</f>
        <v>7114</v>
      </c>
    </row>
    <row r="9" spans="1:3" ht="32.25" customHeight="1" x14ac:dyDescent="0.25">
      <c r="A9" s="10">
        <v>5</v>
      </c>
      <c r="B9" s="51" t="s">
        <v>20</v>
      </c>
      <c r="C9" s="20">
        <f>'Form 1'!C9</f>
        <v>13.05353</v>
      </c>
    </row>
    <row r="10" spans="1:3" ht="32.25" customHeight="1" x14ac:dyDescent="0.25">
      <c r="A10" s="10">
        <v>6</v>
      </c>
      <c r="B10" s="51" t="s">
        <v>21</v>
      </c>
      <c r="C10" s="20">
        <f>'Form 1'!C10</f>
        <v>75.347677000000004</v>
      </c>
    </row>
    <row r="11" spans="1:3" ht="32.25" customHeight="1" x14ac:dyDescent="0.25">
      <c r="A11" s="10">
        <v>7</v>
      </c>
      <c r="B11" s="51" t="s">
        <v>22</v>
      </c>
      <c r="C11" s="19" t="s">
        <v>259</v>
      </c>
    </row>
    <row r="12" spans="1:3" ht="43.5" customHeight="1" x14ac:dyDescent="0.25">
      <c r="A12" s="10">
        <v>8</v>
      </c>
      <c r="B12" s="51" t="s">
        <v>23</v>
      </c>
      <c r="C12" s="19" t="s">
        <v>260</v>
      </c>
    </row>
    <row r="13" spans="1:3" ht="43.5" customHeight="1" x14ac:dyDescent="0.25">
      <c r="A13" s="10">
        <v>9</v>
      </c>
      <c r="B13" s="51" t="s">
        <v>24</v>
      </c>
      <c r="C13" s="19" t="s">
        <v>261</v>
      </c>
    </row>
    <row r="14" spans="1:3" ht="38.25" customHeight="1" x14ac:dyDescent="0.25">
      <c r="A14" s="10">
        <v>10</v>
      </c>
      <c r="B14" s="51" t="s">
        <v>25</v>
      </c>
      <c r="C14" s="19" t="s">
        <v>262</v>
      </c>
    </row>
    <row r="15" spans="1:3" ht="25.5" customHeight="1" x14ac:dyDescent="0.25">
      <c r="A15" s="10">
        <v>11</v>
      </c>
      <c r="B15" s="51" t="s">
        <v>26</v>
      </c>
      <c r="C15" s="21" t="s">
        <v>263</v>
      </c>
    </row>
    <row r="16" spans="1:3" ht="37.5" customHeight="1" x14ac:dyDescent="0.25">
      <c r="A16" s="10">
        <v>12</v>
      </c>
      <c r="B16" s="51" t="s">
        <v>27</v>
      </c>
      <c r="C16" s="21" t="s">
        <v>264</v>
      </c>
    </row>
    <row r="17" spans="1:3" ht="37.5" customHeight="1" x14ac:dyDescent="0.25">
      <c r="A17" s="10">
        <v>13</v>
      </c>
      <c r="B17" s="51" t="s">
        <v>28</v>
      </c>
      <c r="C17" s="21" t="s">
        <v>29</v>
      </c>
    </row>
    <row r="18" spans="1:3" ht="31.5" customHeight="1" x14ac:dyDescent="0.25">
      <c r="A18" s="65">
        <v>14</v>
      </c>
      <c r="B18" s="66" t="s">
        <v>30</v>
      </c>
      <c r="C18" s="21" t="s">
        <v>265</v>
      </c>
    </row>
    <row r="19" spans="1:3" ht="30.75" customHeight="1" x14ac:dyDescent="0.25">
      <c r="A19" s="65"/>
      <c r="B19" s="66"/>
      <c r="C19" s="21" t="s">
        <v>266</v>
      </c>
    </row>
    <row r="20" spans="1:3" ht="30.75" customHeight="1" x14ac:dyDescent="0.25">
      <c r="A20" s="65"/>
      <c r="B20" s="66"/>
      <c r="C20" s="22" t="s">
        <v>267</v>
      </c>
    </row>
    <row r="21" spans="1:3" ht="36" customHeight="1" x14ac:dyDescent="0.25">
      <c r="A21" s="10">
        <v>15</v>
      </c>
      <c r="B21" s="51" t="s">
        <v>31</v>
      </c>
      <c r="C21" s="21" t="s">
        <v>268</v>
      </c>
    </row>
    <row r="22" spans="1:3" ht="54.75" customHeight="1" x14ac:dyDescent="0.25">
      <c r="A22" s="10">
        <v>16</v>
      </c>
      <c r="B22" s="51" t="s">
        <v>32</v>
      </c>
      <c r="C22" s="21" t="s">
        <v>269</v>
      </c>
    </row>
    <row r="23" spans="1:3" ht="15.75" x14ac:dyDescent="0.25">
      <c r="A23" s="10">
        <v>17</v>
      </c>
      <c r="B23" s="51" t="s">
        <v>220</v>
      </c>
      <c r="C23" s="21" t="s">
        <v>270</v>
      </c>
    </row>
    <row r="24" spans="1:3" ht="35.25" customHeight="1" x14ac:dyDescent="0.25">
      <c r="A24" s="10">
        <v>18</v>
      </c>
      <c r="B24" s="51" t="s">
        <v>33</v>
      </c>
      <c r="C24" s="21" t="s">
        <v>271</v>
      </c>
    </row>
    <row r="25" spans="1:3" ht="72.75" customHeight="1" x14ac:dyDescent="0.25">
      <c r="A25" s="10">
        <v>19</v>
      </c>
      <c r="B25" s="51" t="s">
        <v>34</v>
      </c>
      <c r="C25" s="21" t="s">
        <v>272</v>
      </c>
    </row>
    <row r="26" spans="1:3" ht="30" customHeight="1" x14ac:dyDescent="0.25">
      <c r="A26" s="10">
        <v>20</v>
      </c>
      <c r="B26" s="51" t="s">
        <v>35</v>
      </c>
      <c r="C26" s="22" t="s">
        <v>273</v>
      </c>
    </row>
    <row r="27" spans="1:3" ht="30" customHeight="1" x14ac:dyDescent="0.25">
      <c r="A27" s="10">
        <v>21</v>
      </c>
      <c r="B27" s="51" t="s">
        <v>36</v>
      </c>
      <c r="C27" s="21" t="s">
        <v>274</v>
      </c>
    </row>
    <row r="28" spans="1:3" ht="30" customHeight="1" x14ac:dyDescent="0.25">
      <c r="A28" s="10">
        <v>22</v>
      </c>
      <c r="B28" s="51" t="s">
        <v>37</v>
      </c>
      <c r="C28" s="21" t="s">
        <v>275</v>
      </c>
    </row>
    <row r="29" spans="1:3" ht="32.25" customHeight="1" x14ac:dyDescent="0.25">
      <c r="A29" s="10">
        <v>23</v>
      </c>
      <c r="B29" s="51" t="s">
        <v>38</v>
      </c>
      <c r="C29" s="21" t="s">
        <v>276</v>
      </c>
    </row>
    <row r="30" spans="1:3" ht="62.25" customHeight="1" x14ac:dyDescent="0.25">
      <c r="A30" s="10">
        <v>24</v>
      </c>
      <c r="B30" s="51" t="s">
        <v>39</v>
      </c>
      <c r="C30" s="21" t="s">
        <v>277</v>
      </c>
    </row>
    <row r="31" spans="1:3" ht="72.75" customHeight="1" x14ac:dyDescent="0.25">
      <c r="A31" s="10">
        <v>25</v>
      </c>
      <c r="B31" s="51" t="s">
        <v>40</v>
      </c>
      <c r="C31" s="21" t="s">
        <v>310</v>
      </c>
    </row>
    <row r="32" spans="1:3" ht="60" customHeight="1" x14ac:dyDescent="0.25">
      <c r="A32" s="10">
        <v>26</v>
      </c>
      <c r="B32" s="51" t="s">
        <v>41</v>
      </c>
      <c r="C32" s="21" t="s">
        <v>310</v>
      </c>
    </row>
    <row r="33" spans="1:3" ht="60" customHeight="1" x14ac:dyDescent="0.25">
      <c r="A33" s="10">
        <v>27</v>
      </c>
      <c r="B33" s="51" t="s">
        <v>42</v>
      </c>
      <c r="C33" s="19" t="s">
        <v>278</v>
      </c>
    </row>
    <row r="34" spans="1:3" ht="57.75" customHeight="1" x14ac:dyDescent="0.25">
      <c r="A34" s="10">
        <v>28</v>
      </c>
      <c r="B34" s="51" t="s">
        <v>43</v>
      </c>
      <c r="C34" s="21" t="s">
        <v>310</v>
      </c>
    </row>
    <row r="35" spans="1:3" ht="59.25" customHeight="1" x14ac:dyDescent="0.25">
      <c r="A35" s="10">
        <v>29</v>
      </c>
      <c r="B35" s="51" t="s">
        <v>44</v>
      </c>
      <c r="C35" s="21" t="s">
        <v>310</v>
      </c>
    </row>
    <row r="36" spans="1:3" ht="66" customHeight="1" x14ac:dyDescent="0.25">
      <c r="A36" s="10">
        <v>30</v>
      </c>
      <c r="B36" s="51" t="s">
        <v>223</v>
      </c>
      <c r="C36" s="21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view="pageBreakPreview" zoomScale="60" zoomScaleNormal="70" workbookViewId="0">
      <selection activeCell="K38" sqref="K38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70" t="s">
        <v>45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0" ht="40.5" customHeight="1" x14ac:dyDescent="0.25">
      <c r="A2" s="71" t="s">
        <v>46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4" customFormat="1" ht="40.5" customHeight="1" x14ac:dyDescent="0.25">
      <c r="A8" s="72" t="s">
        <v>238</v>
      </c>
      <c r="B8" s="61" t="s">
        <v>69</v>
      </c>
      <c r="C8" s="61"/>
      <c r="D8" s="61"/>
      <c r="E8" s="61"/>
      <c r="F8" s="61"/>
      <c r="G8" s="61"/>
      <c r="H8" s="61"/>
      <c r="I8" s="73" t="s">
        <v>70</v>
      </c>
      <c r="J8" s="74"/>
      <c r="K8" s="74"/>
      <c r="L8" s="74"/>
      <c r="M8" s="74"/>
      <c r="N8" s="74"/>
      <c r="O8" s="74"/>
      <c r="P8" s="74"/>
      <c r="Q8" s="74"/>
      <c r="R8" s="74"/>
      <c r="S8" s="75"/>
      <c r="T8" s="67" t="s">
        <v>224</v>
      </c>
    </row>
    <row r="9" spans="1:20" s="24" customFormat="1" ht="40.5" customHeight="1" x14ac:dyDescent="0.25">
      <c r="A9" s="72"/>
      <c r="B9" s="62" t="s">
        <v>71</v>
      </c>
      <c r="C9" s="62" t="s">
        <v>72</v>
      </c>
      <c r="D9" s="62" t="s">
        <v>229</v>
      </c>
      <c r="E9" s="62" t="s">
        <v>73</v>
      </c>
      <c r="F9" s="62" t="s">
        <v>74</v>
      </c>
      <c r="G9" s="62" t="s">
        <v>75</v>
      </c>
      <c r="H9" s="62" t="s">
        <v>76</v>
      </c>
      <c r="I9" s="62" t="s">
        <v>77</v>
      </c>
      <c r="J9" s="62"/>
      <c r="K9" s="62" t="s">
        <v>78</v>
      </c>
      <c r="L9" s="62"/>
      <c r="M9" s="62"/>
      <c r="N9" s="62" t="s">
        <v>79</v>
      </c>
      <c r="O9" s="62" t="s">
        <v>80</v>
      </c>
      <c r="P9" s="62" t="s">
        <v>81</v>
      </c>
      <c r="Q9" s="62" t="s">
        <v>82</v>
      </c>
      <c r="R9" s="62" t="s">
        <v>83</v>
      </c>
      <c r="S9" s="62" t="s">
        <v>84</v>
      </c>
      <c r="T9" s="68"/>
    </row>
    <row r="10" spans="1:20" s="24" customFormat="1" ht="40.5" customHeight="1" x14ac:dyDescent="0.25">
      <c r="A10" s="72"/>
      <c r="B10" s="62"/>
      <c r="C10" s="62"/>
      <c r="D10" s="62"/>
      <c r="E10" s="62"/>
      <c r="F10" s="62"/>
      <c r="G10" s="62"/>
      <c r="H10" s="6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62"/>
      <c r="O10" s="62"/>
      <c r="P10" s="62"/>
      <c r="Q10" s="62"/>
      <c r="R10" s="62"/>
      <c r="S10" s="62"/>
      <c r="T10" s="69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280</v>
      </c>
      <c r="C12" s="23"/>
      <c r="D12" s="23">
        <v>33</v>
      </c>
      <c r="E12" s="23"/>
      <c r="F12" s="23"/>
      <c r="G12" s="23"/>
      <c r="H12" s="23"/>
      <c r="I12" s="23">
        <v>4</v>
      </c>
      <c r="J12" s="23">
        <v>4.5</v>
      </c>
      <c r="K12" s="23">
        <f>L12+M12+R12</f>
        <v>7.5</v>
      </c>
      <c r="L12" s="23">
        <v>1.5</v>
      </c>
      <c r="M12" s="23">
        <v>2</v>
      </c>
      <c r="N12" s="23"/>
      <c r="O12" s="23"/>
      <c r="P12" s="23"/>
      <c r="Q12" s="23"/>
      <c r="R12" s="23">
        <v>4</v>
      </c>
      <c r="S12" s="23"/>
      <c r="T12" s="23"/>
    </row>
    <row r="13" spans="1:20" ht="40.5" customHeight="1" x14ac:dyDescent="0.25">
      <c r="A13" s="23">
        <v>2</v>
      </c>
      <c r="B13" s="23" t="s">
        <v>281</v>
      </c>
      <c r="C13" s="23"/>
      <c r="D13" s="23">
        <v>83</v>
      </c>
      <c r="E13" s="23"/>
      <c r="F13" s="23"/>
      <c r="G13" s="23"/>
      <c r="H13" s="23"/>
      <c r="I13" s="23">
        <v>5</v>
      </c>
      <c r="J13" s="23">
        <v>6</v>
      </c>
      <c r="K13" s="23">
        <f t="shared" ref="K13:K39" si="0">L13+M13+R13</f>
        <v>12</v>
      </c>
      <c r="L13" s="23">
        <v>3</v>
      </c>
      <c r="M13" s="23">
        <v>3</v>
      </c>
      <c r="N13" s="23"/>
      <c r="O13" s="23"/>
      <c r="P13" s="23"/>
      <c r="Q13" s="23"/>
      <c r="R13" s="23">
        <v>6</v>
      </c>
      <c r="S13" s="23"/>
      <c r="T13" s="23"/>
    </row>
    <row r="14" spans="1:20" ht="40.5" customHeight="1" x14ac:dyDescent="0.25">
      <c r="A14" s="23">
        <v>3</v>
      </c>
      <c r="B14" s="23" t="s">
        <v>280</v>
      </c>
      <c r="C14" s="23"/>
      <c r="D14" s="23">
        <v>48</v>
      </c>
      <c r="E14" s="23"/>
      <c r="F14" s="23"/>
      <c r="G14" s="23"/>
      <c r="H14" s="23"/>
      <c r="I14" s="23">
        <v>4</v>
      </c>
      <c r="J14" s="23">
        <v>3.5</v>
      </c>
      <c r="K14" s="23">
        <f t="shared" si="0"/>
        <v>7</v>
      </c>
      <c r="L14" s="23">
        <v>3</v>
      </c>
      <c r="M14" s="23">
        <v>2</v>
      </c>
      <c r="N14" s="23"/>
      <c r="O14" s="23"/>
      <c r="P14" s="23"/>
      <c r="Q14" s="23"/>
      <c r="R14" s="23">
        <v>2</v>
      </c>
      <c r="S14" s="23"/>
      <c r="T14" s="23"/>
    </row>
    <row r="15" spans="1:20" ht="40.5" customHeight="1" x14ac:dyDescent="0.25">
      <c r="A15" s="23">
        <v>4</v>
      </c>
      <c r="B15" s="23" t="s">
        <v>280</v>
      </c>
      <c r="C15" s="23"/>
      <c r="D15" s="23">
        <v>41</v>
      </c>
      <c r="E15" s="23"/>
      <c r="F15" s="23"/>
      <c r="G15" s="23"/>
      <c r="H15" s="23"/>
      <c r="I15" s="23">
        <v>4</v>
      </c>
      <c r="J15" s="23">
        <v>5</v>
      </c>
      <c r="K15" s="23">
        <f t="shared" si="0"/>
        <v>10.5</v>
      </c>
      <c r="L15" s="23">
        <v>3</v>
      </c>
      <c r="M15" s="23">
        <v>3</v>
      </c>
      <c r="N15" s="23"/>
      <c r="O15" s="23"/>
      <c r="P15" s="23"/>
      <c r="Q15" s="23"/>
      <c r="R15" s="23">
        <v>4.5</v>
      </c>
      <c r="S15" s="23"/>
      <c r="T15" s="23"/>
    </row>
    <row r="16" spans="1:20" ht="40.5" customHeight="1" x14ac:dyDescent="0.25">
      <c r="A16" s="23">
        <v>5</v>
      </c>
      <c r="B16" s="23" t="s">
        <v>280</v>
      </c>
      <c r="C16" s="23"/>
      <c r="D16" s="23">
        <v>51</v>
      </c>
      <c r="E16" s="23"/>
      <c r="F16" s="23"/>
      <c r="G16" s="23"/>
      <c r="H16" s="23"/>
      <c r="I16" s="23">
        <v>3</v>
      </c>
      <c r="J16" s="23">
        <v>4</v>
      </c>
      <c r="K16" s="23">
        <f t="shared" si="0"/>
        <v>8</v>
      </c>
      <c r="L16" s="23">
        <v>3</v>
      </c>
      <c r="M16" s="23">
        <v>2</v>
      </c>
      <c r="N16" s="23"/>
      <c r="O16" s="23"/>
      <c r="P16" s="23"/>
      <c r="Q16" s="23"/>
      <c r="R16" s="23">
        <v>3</v>
      </c>
      <c r="S16" s="23"/>
      <c r="T16" s="23"/>
    </row>
    <row r="17" spans="1:20" ht="40.5" customHeight="1" x14ac:dyDescent="0.25">
      <c r="A17" s="23">
        <v>6</v>
      </c>
      <c r="B17" s="23" t="s">
        <v>281</v>
      </c>
      <c r="C17" s="23"/>
      <c r="D17" s="23">
        <v>125</v>
      </c>
      <c r="E17" s="23"/>
      <c r="F17" s="23"/>
      <c r="G17" s="23"/>
      <c r="H17" s="23"/>
      <c r="I17" s="23">
        <v>7</v>
      </c>
      <c r="J17" s="23">
        <v>8</v>
      </c>
      <c r="K17" s="23">
        <f t="shared" si="0"/>
        <v>15</v>
      </c>
      <c r="L17" s="23">
        <v>4</v>
      </c>
      <c r="M17" s="23">
        <v>4</v>
      </c>
      <c r="N17" s="23"/>
      <c r="O17" s="23"/>
      <c r="P17" s="23"/>
      <c r="Q17" s="23"/>
      <c r="R17" s="23">
        <v>7</v>
      </c>
      <c r="S17" s="23"/>
      <c r="T17" s="23"/>
    </row>
    <row r="18" spans="1:20" ht="40.5" customHeight="1" x14ac:dyDescent="0.25">
      <c r="A18" s="23">
        <v>7</v>
      </c>
      <c r="B18" s="23" t="s">
        <v>280</v>
      </c>
      <c r="C18" s="23"/>
      <c r="D18" s="23">
        <v>43</v>
      </c>
      <c r="E18" s="23"/>
      <c r="F18" s="23"/>
      <c r="G18" s="23"/>
      <c r="H18" s="23"/>
      <c r="I18" s="23">
        <v>3</v>
      </c>
      <c r="J18" s="23">
        <v>3.5</v>
      </c>
      <c r="K18" s="23">
        <f t="shared" si="0"/>
        <v>7</v>
      </c>
      <c r="L18" s="23">
        <v>2</v>
      </c>
      <c r="M18" s="23">
        <v>3</v>
      </c>
      <c r="N18" s="23"/>
      <c r="O18" s="23"/>
      <c r="P18" s="23"/>
      <c r="Q18" s="23"/>
      <c r="R18" s="23">
        <v>2</v>
      </c>
      <c r="S18" s="23"/>
      <c r="T18" s="23"/>
    </row>
    <row r="19" spans="1:20" ht="40.5" customHeight="1" x14ac:dyDescent="0.25">
      <c r="A19" s="23">
        <v>8</v>
      </c>
      <c r="B19" s="23" t="s">
        <v>280</v>
      </c>
      <c r="C19" s="23"/>
      <c r="D19" s="23">
        <v>38</v>
      </c>
      <c r="E19" s="23"/>
      <c r="F19" s="23"/>
      <c r="G19" s="23"/>
      <c r="H19" s="23"/>
      <c r="I19" s="23">
        <v>4</v>
      </c>
      <c r="J19" s="23">
        <v>3</v>
      </c>
      <c r="K19" s="23">
        <f t="shared" si="0"/>
        <v>8</v>
      </c>
      <c r="L19" s="23">
        <v>3</v>
      </c>
      <c r="M19" s="23">
        <v>3</v>
      </c>
      <c r="N19" s="23"/>
      <c r="O19" s="23"/>
      <c r="P19" s="23"/>
      <c r="Q19" s="23"/>
      <c r="R19" s="23">
        <v>2</v>
      </c>
      <c r="S19" s="23"/>
      <c r="T19" s="23"/>
    </row>
    <row r="20" spans="1:20" ht="40.5" customHeight="1" x14ac:dyDescent="0.25">
      <c r="A20" s="23">
        <v>9</v>
      </c>
      <c r="B20" s="23" t="s">
        <v>282</v>
      </c>
      <c r="C20" s="23"/>
      <c r="D20" s="23">
        <v>73</v>
      </c>
      <c r="E20" s="23"/>
      <c r="F20" s="23"/>
      <c r="G20" s="23"/>
      <c r="H20" s="23"/>
      <c r="I20" s="23">
        <v>4</v>
      </c>
      <c r="J20" s="23">
        <v>6</v>
      </c>
      <c r="K20" s="23">
        <f t="shared" si="0"/>
        <v>11</v>
      </c>
      <c r="L20" s="23">
        <v>3</v>
      </c>
      <c r="M20" s="23">
        <v>1</v>
      </c>
      <c r="N20" s="23"/>
      <c r="O20" s="23"/>
      <c r="P20" s="23"/>
      <c r="Q20" s="23"/>
      <c r="R20" s="23">
        <v>7</v>
      </c>
      <c r="S20" s="23"/>
      <c r="T20" s="23"/>
    </row>
    <row r="21" spans="1:20" ht="40.5" customHeight="1" x14ac:dyDescent="0.25">
      <c r="A21" s="23">
        <v>10</v>
      </c>
      <c r="B21" s="23" t="s">
        <v>283</v>
      </c>
      <c r="C21" s="23"/>
      <c r="D21" s="23">
        <v>51</v>
      </c>
      <c r="E21" s="23"/>
      <c r="F21" s="23"/>
      <c r="G21" s="23"/>
      <c r="H21" s="23"/>
      <c r="I21" s="23">
        <v>4</v>
      </c>
      <c r="J21" s="23">
        <v>5</v>
      </c>
      <c r="K21" s="23">
        <f t="shared" si="0"/>
        <v>12</v>
      </c>
      <c r="L21" s="23">
        <v>3</v>
      </c>
      <c r="M21" s="23">
        <v>3</v>
      </c>
      <c r="N21" s="23"/>
      <c r="O21" s="23"/>
      <c r="P21" s="23"/>
      <c r="Q21" s="23"/>
      <c r="R21" s="23">
        <v>6</v>
      </c>
      <c r="S21" s="23"/>
      <c r="T21" s="23"/>
    </row>
    <row r="22" spans="1:20" ht="40.5" customHeight="1" x14ac:dyDescent="0.25">
      <c r="A22" s="23">
        <v>11</v>
      </c>
      <c r="B22" s="23" t="s">
        <v>280</v>
      </c>
      <c r="C22" s="23"/>
      <c r="D22" s="23">
        <v>63</v>
      </c>
      <c r="E22" s="23"/>
      <c r="F22" s="23"/>
      <c r="G22" s="23"/>
      <c r="H22" s="23"/>
      <c r="I22" s="23">
        <v>4</v>
      </c>
      <c r="J22" s="23">
        <v>3</v>
      </c>
      <c r="K22" s="23">
        <f t="shared" si="0"/>
        <v>7</v>
      </c>
      <c r="L22" s="23">
        <v>3</v>
      </c>
      <c r="M22" s="23">
        <v>2</v>
      </c>
      <c r="N22" s="23"/>
      <c r="O22" s="23"/>
      <c r="P22" s="23"/>
      <c r="Q22" s="23"/>
      <c r="R22" s="23">
        <v>2</v>
      </c>
      <c r="S22" s="23"/>
      <c r="T22" s="23"/>
    </row>
    <row r="23" spans="1:20" ht="40.5" customHeight="1" x14ac:dyDescent="0.25">
      <c r="A23" s="23">
        <v>12</v>
      </c>
      <c r="B23" s="23" t="s">
        <v>280</v>
      </c>
      <c r="C23" s="23"/>
      <c r="D23" s="23">
        <v>71</v>
      </c>
      <c r="E23" s="23"/>
      <c r="F23" s="23"/>
      <c r="G23" s="23"/>
      <c r="H23" s="23"/>
      <c r="I23" s="23">
        <v>7</v>
      </c>
      <c r="J23" s="23">
        <v>8</v>
      </c>
      <c r="K23" s="23">
        <f t="shared" si="0"/>
        <v>8</v>
      </c>
      <c r="L23" s="23">
        <v>3.5</v>
      </c>
      <c r="M23" s="23">
        <v>3</v>
      </c>
      <c r="N23" s="23"/>
      <c r="O23" s="23"/>
      <c r="P23" s="23"/>
      <c r="Q23" s="23"/>
      <c r="R23" s="23">
        <v>1.5</v>
      </c>
      <c r="S23" s="23"/>
      <c r="T23" s="23"/>
    </row>
    <row r="24" spans="1:20" ht="40.5" customHeight="1" x14ac:dyDescent="0.25">
      <c r="A24" s="23">
        <v>13</v>
      </c>
      <c r="B24" s="23" t="s">
        <v>284</v>
      </c>
      <c r="C24" s="23"/>
      <c r="D24" s="23">
        <v>72</v>
      </c>
      <c r="E24" s="23"/>
      <c r="F24" s="23"/>
      <c r="G24" s="23"/>
      <c r="H24" s="23"/>
      <c r="I24" s="23">
        <v>5</v>
      </c>
      <c r="J24" s="23">
        <v>6</v>
      </c>
      <c r="K24" s="23">
        <f t="shared" si="0"/>
        <v>14.5</v>
      </c>
      <c r="L24" s="23">
        <v>0</v>
      </c>
      <c r="M24" s="23">
        <v>7</v>
      </c>
      <c r="N24" s="23"/>
      <c r="O24" s="23"/>
      <c r="P24" s="23"/>
      <c r="Q24" s="23"/>
      <c r="R24" s="23">
        <v>7.5</v>
      </c>
      <c r="S24" s="23"/>
      <c r="T24" s="23"/>
    </row>
    <row r="25" spans="1:20" ht="40.5" customHeight="1" x14ac:dyDescent="0.25">
      <c r="A25" s="23">
        <v>14</v>
      </c>
      <c r="B25" s="23" t="s">
        <v>284</v>
      </c>
      <c r="C25" s="23"/>
      <c r="D25" s="23">
        <v>68</v>
      </c>
      <c r="E25" s="23"/>
      <c r="F25" s="23"/>
      <c r="G25" s="23"/>
      <c r="H25" s="23"/>
      <c r="I25" s="23">
        <v>2</v>
      </c>
      <c r="J25" s="23">
        <v>3</v>
      </c>
      <c r="K25" s="23">
        <f t="shared" si="0"/>
        <v>5.5</v>
      </c>
      <c r="L25" s="23">
        <v>3.5</v>
      </c>
      <c r="M25" s="23">
        <v>0</v>
      </c>
      <c r="N25" s="23"/>
      <c r="O25" s="23"/>
      <c r="P25" s="23"/>
      <c r="Q25" s="23"/>
      <c r="R25" s="23">
        <v>2</v>
      </c>
      <c r="S25" s="23"/>
      <c r="T25" s="23"/>
    </row>
    <row r="26" spans="1:20" ht="40.5" customHeight="1" x14ac:dyDescent="0.25">
      <c r="A26" s="23">
        <v>15</v>
      </c>
      <c r="B26" s="23" t="s">
        <v>281</v>
      </c>
      <c r="C26" s="23"/>
      <c r="D26" s="23">
        <v>142</v>
      </c>
      <c r="E26" s="23"/>
      <c r="F26" s="23"/>
      <c r="G26" s="23"/>
      <c r="H26" s="23"/>
      <c r="I26" s="23">
        <v>4</v>
      </c>
      <c r="J26" s="23">
        <v>6</v>
      </c>
      <c r="K26" s="23">
        <f t="shared" si="0"/>
        <v>16</v>
      </c>
      <c r="L26" s="23">
        <v>5</v>
      </c>
      <c r="M26" s="23">
        <v>4</v>
      </c>
      <c r="N26" s="23"/>
      <c r="O26" s="23"/>
      <c r="P26" s="23"/>
      <c r="Q26" s="23"/>
      <c r="R26" s="23">
        <v>7</v>
      </c>
      <c r="S26" s="23"/>
      <c r="T26" s="23"/>
    </row>
    <row r="27" spans="1:20" ht="40.5" customHeight="1" x14ac:dyDescent="0.25">
      <c r="A27" s="23">
        <v>16</v>
      </c>
      <c r="B27" s="23" t="s">
        <v>285</v>
      </c>
      <c r="C27" s="23"/>
      <c r="D27" s="23">
        <v>39</v>
      </c>
      <c r="E27" s="23"/>
      <c r="F27" s="23"/>
      <c r="G27" s="23"/>
      <c r="H27" s="23"/>
      <c r="I27" s="23">
        <v>6</v>
      </c>
      <c r="J27" s="23">
        <v>5</v>
      </c>
      <c r="K27" s="23">
        <f t="shared" si="0"/>
        <v>12</v>
      </c>
      <c r="L27" s="23">
        <v>0</v>
      </c>
      <c r="M27" s="23">
        <v>5</v>
      </c>
      <c r="N27" s="23"/>
      <c r="O27" s="23"/>
      <c r="P27" s="23"/>
      <c r="Q27" s="23"/>
      <c r="R27" s="23">
        <v>7</v>
      </c>
      <c r="S27" s="23"/>
      <c r="T27" s="23"/>
    </row>
    <row r="28" spans="1:20" ht="40.5" customHeight="1" x14ac:dyDescent="0.25">
      <c r="A28" s="23">
        <v>17</v>
      </c>
      <c r="B28" s="23" t="s">
        <v>280</v>
      </c>
      <c r="C28" s="23"/>
      <c r="D28" s="23">
        <v>54</v>
      </c>
      <c r="E28" s="23"/>
      <c r="F28" s="23"/>
      <c r="G28" s="23"/>
      <c r="H28" s="23"/>
      <c r="I28" s="23">
        <v>4</v>
      </c>
      <c r="J28" s="23">
        <v>3</v>
      </c>
      <c r="K28" s="23">
        <f t="shared" si="0"/>
        <v>8.5</v>
      </c>
      <c r="L28" s="23">
        <v>3</v>
      </c>
      <c r="M28" s="23">
        <v>2.5</v>
      </c>
      <c r="N28" s="23"/>
      <c r="O28" s="23"/>
      <c r="P28" s="23"/>
      <c r="Q28" s="23"/>
      <c r="R28" s="23">
        <v>3</v>
      </c>
      <c r="S28" s="23"/>
      <c r="T28" s="23"/>
    </row>
    <row r="29" spans="1:20" ht="40.5" customHeight="1" x14ac:dyDescent="0.25">
      <c r="A29" s="23">
        <v>18</v>
      </c>
      <c r="B29" s="23" t="s">
        <v>286</v>
      </c>
      <c r="C29" s="23"/>
      <c r="D29" s="23">
        <v>46</v>
      </c>
      <c r="E29" s="23"/>
      <c r="F29" s="23"/>
      <c r="G29" s="23"/>
      <c r="H29" s="23"/>
      <c r="I29" s="23">
        <v>4.5</v>
      </c>
      <c r="J29" s="23">
        <v>5</v>
      </c>
      <c r="K29" s="23">
        <f t="shared" si="0"/>
        <v>11</v>
      </c>
      <c r="L29" s="23">
        <v>4</v>
      </c>
      <c r="M29" s="23">
        <v>4</v>
      </c>
      <c r="N29" s="23"/>
      <c r="O29" s="23"/>
      <c r="P29" s="23"/>
      <c r="Q29" s="23"/>
      <c r="R29" s="23">
        <v>3</v>
      </c>
      <c r="S29" s="23"/>
      <c r="T29" s="23"/>
    </row>
    <row r="30" spans="1:20" ht="40.5" customHeight="1" x14ac:dyDescent="0.25">
      <c r="A30" s="23">
        <v>19</v>
      </c>
      <c r="B30" s="23" t="s">
        <v>283</v>
      </c>
      <c r="C30" s="23"/>
      <c r="D30" s="23">
        <v>73</v>
      </c>
      <c r="E30" s="23"/>
      <c r="F30" s="23"/>
      <c r="G30" s="23"/>
      <c r="H30" s="23"/>
      <c r="I30" s="23">
        <v>3</v>
      </c>
      <c r="J30" s="23">
        <v>5</v>
      </c>
      <c r="K30" s="23">
        <f t="shared" si="0"/>
        <v>10</v>
      </c>
      <c r="L30" s="23">
        <v>4</v>
      </c>
      <c r="M30" s="23">
        <v>3</v>
      </c>
      <c r="N30" s="23"/>
      <c r="O30" s="23"/>
      <c r="P30" s="23"/>
      <c r="Q30" s="23"/>
      <c r="R30" s="23">
        <v>3</v>
      </c>
      <c r="S30" s="23"/>
      <c r="T30" s="23"/>
    </row>
    <row r="31" spans="1:20" ht="40.5" customHeight="1" x14ac:dyDescent="0.25">
      <c r="A31" s="23">
        <v>20</v>
      </c>
      <c r="B31" s="23" t="s">
        <v>280</v>
      </c>
      <c r="C31" s="23"/>
      <c r="D31" s="23">
        <v>62</v>
      </c>
      <c r="E31" s="23"/>
      <c r="F31" s="23"/>
      <c r="G31" s="23"/>
      <c r="H31" s="23"/>
      <c r="I31" s="23">
        <v>5</v>
      </c>
      <c r="J31" s="23">
        <v>4</v>
      </c>
      <c r="K31" s="23">
        <f t="shared" si="0"/>
        <v>8.4</v>
      </c>
      <c r="L31" s="23">
        <v>4</v>
      </c>
      <c r="M31" s="23">
        <v>3</v>
      </c>
      <c r="N31" s="23"/>
      <c r="O31" s="23"/>
      <c r="P31" s="23"/>
      <c r="Q31" s="23"/>
      <c r="R31" s="23">
        <v>1.4</v>
      </c>
      <c r="S31" s="23"/>
      <c r="T31" s="23"/>
    </row>
    <row r="32" spans="1:20" ht="40.5" customHeight="1" x14ac:dyDescent="0.25">
      <c r="A32" s="23">
        <v>21</v>
      </c>
      <c r="B32" s="23" t="s">
        <v>280</v>
      </c>
      <c r="C32" s="23"/>
      <c r="D32" s="23">
        <v>43</v>
      </c>
      <c r="E32" s="23"/>
      <c r="F32" s="23"/>
      <c r="G32" s="23"/>
      <c r="H32" s="23"/>
      <c r="I32" s="23">
        <v>4</v>
      </c>
      <c r="J32" s="23">
        <v>3</v>
      </c>
      <c r="K32" s="23">
        <f t="shared" si="0"/>
        <v>6.5</v>
      </c>
      <c r="L32" s="23">
        <v>2</v>
      </c>
      <c r="M32" s="23">
        <v>3</v>
      </c>
      <c r="N32" s="23"/>
      <c r="O32" s="23"/>
      <c r="P32" s="23"/>
      <c r="Q32" s="23"/>
      <c r="R32" s="23">
        <v>1.5</v>
      </c>
      <c r="S32" s="23"/>
      <c r="T32" s="23"/>
    </row>
    <row r="33" spans="1:20" ht="40.5" customHeight="1" x14ac:dyDescent="0.25">
      <c r="A33" s="23">
        <v>22</v>
      </c>
      <c r="B33" s="23" t="s">
        <v>280</v>
      </c>
      <c r="C33" s="23"/>
      <c r="D33" s="23">
        <v>51</v>
      </c>
      <c r="E33" s="23"/>
      <c r="F33" s="23"/>
      <c r="G33" s="23"/>
      <c r="H33" s="23"/>
      <c r="I33" s="23">
        <v>4</v>
      </c>
      <c r="J33" s="23">
        <v>3</v>
      </c>
      <c r="K33" s="23">
        <f t="shared" si="0"/>
        <v>10</v>
      </c>
      <c r="L33" s="23">
        <v>3</v>
      </c>
      <c r="M33" s="23">
        <v>3</v>
      </c>
      <c r="N33" s="23"/>
      <c r="O33" s="23"/>
      <c r="P33" s="23"/>
      <c r="Q33" s="23"/>
      <c r="R33" s="23">
        <v>4</v>
      </c>
      <c r="S33" s="23"/>
      <c r="T33" s="23"/>
    </row>
    <row r="34" spans="1:20" ht="40.5" customHeight="1" x14ac:dyDescent="0.25">
      <c r="A34" s="23">
        <v>23</v>
      </c>
      <c r="B34" s="23" t="s">
        <v>283</v>
      </c>
      <c r="C34" s="23"/>
      <c r="D34" s="23">
        <v>57</v>
      </c>
      <c r="E34" s="23"/>
      <c r="F34" s="23"/>
      <c r="G34" s="23"/>
      <c r="H34" s="23"/>
      <c r="I34" s="23">
        <v>3</v>
      </c>
      <c r="J34" s="23">
        <v>4</v>
      </c>
      <c r="K34" s="23">
        <f t="shared" si="0"/>
        <v>7.5</v>
      </c>
      <c r="L34" s="23">
        <v>2</v>
      </c>
      <c r="M34" s="23">
        <v>2</v>
      </c>
      <c r="N34" s="23"/>
      <c r="O34" s="23"/>
      <c r="P34" s="23"/>
      <c r="Q34" s="23"/>
      <c r="R34" s="23">
        <v>3.5</v>
      </c>
      <c r="S34" s="23"/>
      <c r="T34" s="23"/>
    </row>
    <row r="35" spans="1:20" ht="40.5" customHeight="1" x14ac:dyDescent="0.25">
      <c r="A35" s="23">
        <v>24</v>
      </c>
      <c r="B35" s="23" t="s">
        <v>280</v>
      </c>
      <c r="C35" s="23"/>
      <c r="D35" s="23">
        <v>65</v>
      </c>
      <c r="E35" s="23"/>
      <c r="F35" s="23"/>
      <c r="G35" s="23"/>
      <c r="H35" s="23"/>
      <c r="I35" s="23">
        <v>4</v>
      </c>
      <c r="J35" s="23">
        <v>3</v>
      </c>
      <c r="K35" s="23">
        <f t="shared" si="0"/>
        <v>9.5</v>
      </c>
      <c r="L35" s="23">
        <v>3</v>
      </c>
      <c r="M35" s="23">
        <v>2</v>
      </c>
      <c r="N35" s="23"/>
      <c r="O35" s="23"/>
      <c r="P35" s="23"/>
      <c r="Q35" s="23"/>
      <c r="R35" s="23">
        <v>4.5</v>
      </c>
      <c r="S35" s="23"/>
      <c r="T35" s="23"/>
    </row>
    <row r="36" spans="1:20" ht="40.5" customHeight="1" x14ac:dyDescent="0.25">
      <c r="A36" s="23">
        <v>25</v>
      </c>
      <c r="B36" s="23" t="s">
        <v>284</v>
      </c>
      <c r="C36" s="23"/>
      <c r="D36" s="23">
        <v>88</v>
      </c>
      <c r="E36" s="23"/>
      <c r="F36" s="23"/>
      <c r="G36" s="23"/>
      <c r="H36" s="23"/>
      <c r="I36" s="23">
        <v>5</v>
      </c>
      <c r="J36" s="23">
        <v>6</v>
      </c>
      <c r="K36" s="23">
        <f t="shared" si="0"/>
        <v>13.8</v>
      </c>
      <c r="L36" s="23">
        <v>6</v>
      </c>
      <c r="M36" s="23">
        <v>6</v>
      </c>
      <c r="N36" s="23"/>
      <c r="O36" s="23"/>
      <c r="P36" s="23"/>
      <c r="Q36" s="23"/>
      <c r="R36" s="23">
        <v>1.8</v>
      </c>
      <c r="S36" s="23"/>
      <c r="T36" s="23"/>
    </row>
    <row r="37" spans="1:20" ht="40.5" customHeight="1" x14ac:dyDescent="0.25">
      <c r="A37" s="23">
        <v>26</v>
      </c>
      <c r="B37" s="23" t="s">
        <v>281</v>
      </c>
      <c r="C37" s="23"/>
      <c r="D37" s="23">
        <v>46</v>
      </c>
      <c r="E37" s="23"/>
      <c r="F37" s="23"/>
      <c r="G37" s="23"/>
      <c r="H37" s="23"/>
      <c r="I37" s="23">
        <v>3</v>
      </c>
      <c r="J37" s="23">
        <v>4</v>
      </c>
      <c r="K37" s="23">
        <f t="shared" si="0"/>
        <v>11.5</v>
      </c>
      <c r="L37" s="23">
        <v>4</v>
      </c>
      <c r="M37" s="23">
        <v>4.5</v>
      </c>
      <c r="N37" s="23"/>
      <c r="O37" s="23"/>
      <c r="P37" s="23"/>
      <c r="Q37" s="23"/>
      <c r="R37" s="23">
        <v>3</v>
      </c>
      <c r="S37" s="23"/>
      <c r="T37" s="23"/>
    </row>
    <row r="38" spans="1:20" ht="40.5" customHeight="1" x14ac:dyDescent="0.25">
      <c r="A38" s="23">
        <v>27</v>
      </c>
      <c r="B38" s="23" t="s">
        <v>283</v>
      </c>
      <c r="C38" s="23"/>
      <c r="D38" s="23">
        <v>46</v>
      </c>
      <c r="E38" s="23"/>
      <c r="F38" s="23"/>
      <c r="G38" s="23"/>
      <c r="H38" s="23"/>
      <c r="I38" s="23">
        <v>4</v>
      </c>
      <c r="J38" s="23">
        <v>5</v>
      </c>
      <c r="K38" s="23">
        <f t="shared" si="0"/>
        <v>8</v>
      </c>
      <c r="L38" s="23">
        <v>1</v>
      </c>
      <c r="M38" s="23">
        <v>4</v>
      </c>
      <c r="N38" s="23"/>
      <c r="O38" s="23"/>
      <c r="P38" s="23"/>
      <c r="Q38" s="23"/>
      <c r="R38" s="23">
        <v>3</v>
      </c>
      <c r="S38" s="23"/>
      <c r="T38" s="23"/>
    </row>
    <row r="39" spans="1:20" ht="40.5" customHeight="1" x14ac:dyDescent="0.25">
      <c r="A39" s="23">
        <v>28</v>
      </c>
      <c r="B39" s="23" t="s">
        <v>287</v>
      </c>
      <c r="C39" s="23"/>
      <c r="D39" s="23">
        <v>76</v>
      </c>
      <c r="E39" s="23"/>
      <c r="F39" s="23"/>
      <c r="G39" s="23"/>
      <c r="H39" s="23"/>
      <c r="I39" s="23">
        <v>5</v>
      </c>
      <c r="J39" s="23">
        <v>6</v>
      </c>
      <c r="K39" s="23">
        <f t="shared" si="0"/>
        <v>9.3000000000000007</v>
      </c>
      <c r="L39" s="23">
        <v>3.5</v>
      </c>
      <c r="M39" s="23">
        <v>4</v>
      </c>
      <c r="N39" s="23"/>
      <c r="O39" s="23"/>
      <c r="P39" s="23"/>
      <c r="Q39" s="23"/>
      <c r="R39" s="23">
        <v>1.8</v>
      </c>
      <c r="S39" s="23"/>
      <c r="T39" s="23"/>
    </row>
    <row r="40" spans="1:20" ht="40.5" customHeight="1" x14ac:dyDescent="0.25">
      <c r="A40" s="23">
        <v>29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ht="40.5" customHeight="1" x14ac:dyDescent="0.25">
      <c r="A41" s="23">
        <v>30</v>
      </c>
    </row>
    <row r="42" spans="1:20" ht="40.5" customHeight="1" x14ac:dyDescent="0.25">
      <c r="A42" s="23">
        <v>31</v>
      </c>
    </row>
    <row r="43" spans="1:20" ht="40.5" customHeight="1" x14ac:dyDescent="0.25">
      <c r="A43" s="23">
        <v>32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70" t="s">
        <v>107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71" t="s">
        <v>108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62" t="s">
        <v>109</v>
      </c>
      <c r="E5" s="62"/>
      <c r="F5" s="62" t="s">
        <v>110</v>
      </c>
      <c r="G5" s="62"/>
      <c r="H5" s="62" t="s">
        <v>111</v>
      </c>
      <c r="I5" s="62"/>
      <c r="J5" s="62" t="s">
        <v>112</v>
      </c>
      <c r="K5" s="62"/>
      <c r="S5" s="62" t="s">
        <v>113</v>
      </c>
      <c r="T5" s="62"/>
      <c r="U5" s="62"/>
      <c r="V5" s="62"/>
      <c r="W5" s="62"/>
      <c r="X5" s="62"/>
      <c r="Y5" s="62" t="s">
        <v>114</v>
      </c>
      <c r="Z5" s="62"/>
    </row>
    <row r="6" spans="1:34" s="14" customFormat="1" ht="23.25" customHeight="1" x14ac:dyDescent="0.25">
      <c r="D6" s="61" t="s">
        <v>58</v>
      </c>
      <c r="E6" s="61"/>
      <c r="F6" s="61" t="s">
        <v>59</v>
      </c>
      <c r="G6" s="61"/>
      <c r="H6" s="61" t="s">
        <v>60</v>
      </c>
      <c r="I6" s="61"/>
      <c r="J6" s="61" t="s">
        <v>61</v>
      </c>
      <c r="K6" s="61"/>
      <c r="S6" s="62" t="s">
        <v>115</v>
      </c>
      <c r="T6" s="62"/>
      <c r="U6" s="62"/>
      <c r="V6" s="62" t="s">
        <v>116</v>
      </c>
      <c r="W6" s="62"/>
      <c r="X6" s="62"/>
      <c r="Y6" s="62"/>
      <c r="Z6" s="62"/>
    </row>
    <row r="7" spans="1:34" s="18" customFormat="1" ht="23.25" customHeight="1" x14ac:dyDescent="0.25">
      <c r="D7" s="72"/>
      <c r="E7" s="72"/>
      <c r="F7" s="72">
        <v>5</v>
      </c>
      <c r="G7" s="72"/>
      <c r="H7" s="72"/>
      <c r="I7" s="72"/>
      <c r="J7" s="72"/>
      <c r="K7" s="72"/>
      <c r="S7" s="72" t="s">
        <v>117</v>
      </c>
      <c r="T7" s="72"/>
      <c r="U7" s="72"/>
      <c r="V7" s="72" t="s">
        <v>118</v>
      </c>
      <c r="W7" s="72"/>
      <c r="X7" s="72"/>
      <c r="Y7" s="72" t="s">
        <v>119</v>
      </c>
      <c r="Z7" s="72"/>
    </row>
    <row r="8" spans="1:34" s="18" customFormat="1" ht="24.75" customHeight="1" x14ac:dyDescent="0.25">
      <c r="S8" s="72"/>
      <c r="T8" s="72"/>
      <c r="U8" s="72"/>
      <c r="V8" s="76"/>
      <c r="W8" s="77"/>
      <c r="X8" s="78"/>
      <c r="Y8" s="76"/>
      <c r="Z8" s="78"/>
    </row>
    <row r="10" spans="1:34" s="26" customFormat="1" ht="24.75" customHeight="1" x14ac:dyDescent="0.25">
      <c r="A10" s="61" t="s">
        <v>120</v>
      </c>
      <c r="B10" s="61"/>
      <c r="C10" s="62" t="s">
        <v>121</v>
      </c>
      <c r="D10" s="62" t="s">
        <v>230</v>
      </c>
      <c r="E10" s="62" t="s">
        <v>122</v>
      </c>
      <c r="F10" s="62" t="s">
        <v>123</v>
      </c>
      <c r="G10" s="62"/>
      <c r="H10" s="62"/>
      <c r="I10" s="62"/>
      <c r="J10" s="62"/>
      <c r="K10" s="62"/>
      <c r="L10" s="62"/>
      <c r="M10" s="62"/>
      <c r="N10" s="62"/>
      <c r="O10" s="62" t="s">
        <v>124</v>
      </c>
      <c r="P10" s="62"/>
      <c r="Q10" s="62"/>
      <c r="R10" s="62"/>
      <c r="S10" s="62"/>
      <c r="T10" s="62"/>
      <c r="U10" s="62"/>
      <c r="V10" s="62"/>
      <c r="W10" s="62"/>
      <c r="X10" s="62" t="s">
        <v>125</v>
      </c>
      <c r="Y10" s="62"/>
      <c r="Z10" s="62"/>
      <c r="AA10" s="62"/>
      <c r="AB10" s="61" t="s">
        <v>126</v>
      </c>
      <c r="AC10" s="61"/>
      <c r="AD10" s="61"/>
      <c r="AE10" s="61"/>
      <c r="AF10" s="62" t="s">
        <v>127</v>
      </c>
      <c r="AG10" s="67" t="s">
        <v>128</v>
      </c>
      <c r="AH10" s="62" t="s">
        <v>129</v>
      </c>
    </row>
    <row r="11" spans="1:34" s="26" customFormat="1" ht="42" customHeight="1" x14ac:dyDescent="0.25">
      <c r="A11" s="67" t="s">
        <v>130</v>
      </c>
      <c r="B11" s="61" t="s">
        <v>131</v>
      </c>
      <c r="C11" s="62"/>
      <c r="D11" s="62"/>
      <c r="E11" s="62"/>
      <c r="F11" s="62" t="s">
        <v>132</v>
      </c>
      <c r="G11" s="62" t="s">
        <v>133</v>
      </c>
      <c r="H11" s="62"/>
      <c r="I11" s="62"/>
      <c r="J11" s="62"/>
      <c r="K11" s="62" t="s">
        <v>134</v>
      </c>
      <c r="L11" s="62"/>
      <c r="M11" s="62"/>
      <c r="N11" s="62"/>
      <c r="O11" s="62" t="s">
        <v>132</v>
      </c>
      <c r="P11" s="62" t="s">
        <v>133</v>
      </c>
      <c r="Q11" s="62"/>
      <c r="R11" s="62"/>
      <c r="S11" s="62"/>
      <c r="T11" s="62" t="s">
        <v>134</v>
      </c>
      <c r="U11" s="62"/>
      <c r="V11" s="62"/>
      <c r="W11" s="62"/>
      <c r="X11" s="62"/>
      <c r="Y11" s="62"/>
      <c r="Z11" s="62"/>
      <c r="AA11" s="62"/>
      <c r="AB11" s="61"/>
      <c r="AC11" s="61"/>
      <c r="AD11" s="61"/>
      <c r="AE11" s="61"/>
      <c r="AF11" s="62"/>
      <c r="AG11" s="69"/>
      <c r="AH11" s="62"/>
    </row>
    <row r="12" spans="1:34" s="26" customFormat="1" ht="36" customHeight="1" x14ac:dyDescent="0.25">
      <c r="A12" s="69"/>
      <c r="B12" s="61"/>
      <c r="C12" s="62"/>
      <c r="D12" s="62"/>
      <c r="E12" s="62"/>
      <c r="F12" s="6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6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2" zoomScale="85" zoomScaleSheetLayoutView="85" workbookViewId="0">
      <selection activeCell="F99" sqref="F99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6" width="9.140625" style="12"/>
    <col min="7" max="7" width="9.140625" style="55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89" t="s">
        <v>163</v>
      </c>
      <c r="B1" s="89"/>
      <c r="C1" s="89"/>
      <c r="D1" s="89"/>
      <c r="E1" s="89"/>
      <c r="F1" s="89"/>
      <c r="G1" s="89"/>
      <c r="H1" s="89"/>
    </row>
    <row r="2" spans="1:8" s="27" customFormat="1" ht="24.75" customHeight="1" x14ac:dyDescent="0.25">
      <c r="B2" s="28" t="s">
        <v>164</v>
      </c>
      <c r="F2" s="90" t="s">
        <v>165</v>
      </c>
      <c r="G2" s="90"/>
      <c r="H2" s="90"/>
    </row>
    <row r="3" spans="1:8" ht="24" customHeight="1" x14ac:dyDescent="0.25">
      <c r="A3" s="81" t="s">
        <v>166</v>
      </c>
      <c r="B3" s="81" t="s">
        <v>167</v>
      </c>
      <c r="C3" s="81" t="s">
        <v>168</v>
      </c>
      <c r="D3" s="81" t="s">
        <v>169</v>
      </c>
      <c r="E3" s="81" t="s">
        <v>170</v>
      </c>
      <c r="F3" s="79" t="s">
        <v>171</v>
      </c>
      <c r="G3" s="79"/>
      <c r="H3" s="81" t="s">
        <v>172</v>
      </c>
    </row>
    <row r="4" spans="1:8" ht="64.5" customHeight="1" x14ac:dyDescent="0.25">
      <c r="A4" s="82"/>
      <c r="B4" s="82"/>
      <c r="C4" s="82"/>
      <c r="D4" s="82"/>
      <c r="E4" s="82"/>
      <c r="F4" s="17" t="s">
        <v>173</v>
      </c>
      <c r="G4" s="53" t="s">
        <v>327</v>
      </c>
      <c r="H4" s="82"/>
    </row>
    <row r="5" spans="1:8" ht="29.25" customHeight="1" x14ac:dyDescent="0.25">
      <c r="A5" s="10">
        <v>1</v>
      </c>
      <c r="B5" s="11" t="s">
        <v>288</v>
      </c>
      <c r="C5" s="11"/>
      <c r="D5" s="11">
        <v>2.1</v>
      </c>
      <c r="E5" s="11">
        <v>1.8</v>
      </c>
      <c r="F5" s="96" t="s">
        <v>331</v>
      </c>
      <c r="G5" s="54">
        <f xml:space="preserve"> D5*E5</f>
        <v>3.7800000000000002</v>
      </c>
      <c r="H5" s="11"/>
    </row>
    <row r="6" spans="1:8" ht="29.25" customHeight="1" x14ac:dyDescent="0.25">
      <c r="A6" s="10">
        <v>2</v>
      </c>
      <c r="B6" s="11" t="s">
        <v>289</v>
      </c>
      <c r="C6" s="11" t="s">
        <v>315</v>
      </c>
      <c r="D6" s="11">
        <v>2.5</v>
      </c>
      <c r="E6" s="11">
        <v>3</v>
      </c>
      <c r="F6" s="96" t="s">
        <v>332</v>
      </c>
      <c r="G6" s="54">
        <f t="shared" ref="G6:G8" si="0" xml:space="preserve"> D6*E6</f>
        <v>7.5</v>
      </c>
      <c r="H6" s="11"/>
    </row>
    <row r="7" spans="1:8" ht="29.25" customHeight="1" x14ac:dyDescent="0.25">
      <c r="A7" s="10">
        <v>3</v>
      </c>
      <c r="B7" s="11" t="s">
        <v>281</v>
      </c>
      <c r="C7" s="11"/>
      <c r="D7" s="11">
        <v>2.2000000000000002</v>
      </c>
      <c r="E7" s="11">
        <v>2</v>
      </c>
      <c r="F7" s="11" t="s">
        <v>333</v>
      </c>
      <c r="G7" s="54">
        <f t="shared" si="0"/>
        <v>4.4000000000000004</v>
      </c>
      <c r="H7" s="11"/>
    </row>
    <row r="8" spans="1:8" ht="29.25" customHeight="1" x14ac:dyDescent="0.25">
      <c r="A8" s="10">
        <v>4</v>
      </c>
      <c r="B8" s="11" t="s">
        <v>288</v>
      </c>
      <c r="C8" s="11"/>
      <c r="D8" s="11">
        <v>3</v>
      </c>
      <c r="E8" s="11">
        <v>1.7</v>
      </c>
      <c r="F8" s="11"/>
      <c r="G8" s="54">
        <f t="shared" si="0"/>
        <v>5.0999999999999996</v>
      </c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54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54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54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54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54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54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54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54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54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54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54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54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54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54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54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54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54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54"/>
      <c r="H26" s="11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9" t="s">
        <v>174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25">
      <c r="A29" s="10">
        <v>1</v>
      </c>
      <c r="B29" s="85" t="s">
        <v>175</v>
      </c>
      <c r="C29" s="85"/>
      <c r="D29" s="85"/>
      <c r="E29" s="85"/>
      <c r="F29" s="85"/>
      <c r="G29" s="85"/>
      <c r="H29" s="34" t="s">
        <v>303</v>
      </c>
    </row>
    <row r="30" spans="1:8" ht="31.5" customHeight="1" x14ac:dyDescent="0.25">
      <c r="A30" s="10">
        <v>2</v>
      </c>
      <c r="B30" s="85" t="s">
        <v>176</v>
      </c>
      <c r="C30" s="85"/>
      <c r="D30" s="85"/>
      <c r="E30" s="85"/>
      <c r="F30" s="85"/>
      <c r="G30" s="85"/>
      <c r="H30" s="34" t="s">
        <v>304</v>
      </c>
    </row>
    <row r="31" spans="1:8" ht="24.75" customHeight="1" x14ac:dyDescent="0.25">
      <c r="A31" s="10">
        <v>3</v>
      </c>
      <c r="B31" s="85" t="s">
        <v>177</v>
      </c>
      <c r="C31" s="85"/>
      <c r="D31" s="85"/>
      <c r="E31" s="85"/>
      <c r="F31" s="85"/>
      <c r="G31" s="85"/>
      <c r="H31" s="34">
        <v>0</v>
      </c>
    </row>
    <row r="32" spans="1:8" ht="24.75" customHeight="1" x14ac:dyDescent="0.25">
      <c r="A32" s="10">
        <v>4</v>
      </c>
      <c r="B32" s="86" t="s">
        <v>178</v>
      </c>
      <c r="C32" s="87"/>
      <c r="D32" s="87"/>
      <c r="E32" s="87"/>
      <c r="F32" s="87"/>
      <c r="G32" s="88"/>
      <c r="H32" s="34" t="s">
        <v>305</v>
      </c>
    </row>
    <row r="33" spans="1:8" ht="24.75" customHeight="1" x14ac:dyDescent="0.25">
      <c r="A33" s="10">
        <v>5</v>
      </c>
      <c r="B33" s="86" t="s">
        <v>179</v>
      </c>
      <c r="C33" s="87"/>
      <c r="D33" s="87"/>
      <c r="E33" s="87"/>
      <c r="F33" s="87"/>
      <c r="G33" s="88"/>
      <c r="H33" s="34" t="s">
        <v>290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32"/>
      <c r="H34" s="35"/>
    </row>
    <row r="35" spans="1:8" ht="24" customHeight="1" x14ac:dyDescent="0.25">
      <c r="B35" s="36" t="str">
        <f>B2</f>
        <v xml:space="preserve">    Grid No:  </v>
      </c>
      <c r="F35" s="36" t="s">
        <v>180</v>
      </c>
      <c r="G35" s="56"/>
    </row>
    <row r="36" spans="1:8" ht="27.6" customHeight="1" x14ac:dyDescent="0.25">
      <c r="A36" s="79" t="s">
        <v>166</v>
      </c>
      <c r="B36" s="79" t="s">
        <v>167</v>
      </c>
      <c r="C36" s="79" t="s">
        <v>168</v>
      </c>
      <c r="D36" s="81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150000000000006" customHeight="1" x14ac:dyDescent="0.25">
      <c r="A37" s="79"/>
      <c r="B37" s="79"/>
      <c r="C37" s="79"/>
      <c r="D37" s="82"/>
      <c r="E37" s="79"/>
      <c r="F37" s="17" t="s">
        <v>173</v>
      </c>
      <c r="G37" s="53" t="s">
        <v>327</v>
      </c>
      <c r="H37" s="79"/>
    </row>
    <row r="38" spans="1:8" ht="36" customHeight="1" x14ac:dyDescent="0.25">
      <c r="A38" s="10">
        <v>1</v>
      </c>
      <c r="B38" s="17" t="s">
        <v>291</v>
      </c>
      <c r="C38" s="17" t="s">
        <v>316</v>
      </c>
      <c r="D38" s="17">
        <v>3.5</v>
      </c>
      <c r="E38" s="17">
        <v>3</v>
      </c>
      <c r="F38" s="17" t="s">
        <v>334</v>
      </c>
      <c r="G38" s="54">
        <f t="shared" ref="G38:G41" si="1" xml:space="preserve"> D38*E38</f>
        <v>10.5</v>
      </c>
      <c r="H38" s="17"/>
    </row>
    <row r="39" spans="1:8" ht="36" customHeight="1" x14ac:dyDescent="0.25">
      <c r="A39" s="10">
        <v>2</v>
      </c>
      <c r="B39" s="17" t="s">
        <v>291</v>
      </c>
      <c r="C39" s="17" t="s">
        <v>316</v>
      </c>
      <c r="D39" s="17">
        <v>2.5</v>
      </c>
      <c r="E39" s="17">
        <v>2</v>
      </c>
      <c r="F39" s="17"/>
      <c r="G39" s="54">
        <f t="shared" si="1"/>
        <v>5</v>
      </c>
      <c r="H39" s="17"/>
    </row>
    <row r="40" spans="1:8" ht="36" customHeight="1" x14ac:dyDescent="0.25">
      <c r="A40" s="10">
        <v>3</v>
      </c>
      <c r="B40" s="17" t="s">
        <v>292</v>
      </c>
      <c r="C40" s="17" t="s">
        <v>317</v>
      </c>
      <c r="D40" s="17">
        <v>9</v>
      </c>
      <c r="E40" s="17">
        <v>5</v>
      </c>
      <c r="F40" s="17" t="s">
        <v>334</v>
      </c>
      <c r="G40" s="54">
        <f t="shared" si="1"/>
        <v>45</v>
      </c>
      <c r="H40" s="17"/>
    </row>
    <row r="41" spans="1:8" ht="36" customHeight="1" x14ac:dyDescent="0.25">
      <c r="A41" s="10">
        <v>4</v>
      </c>
      <c r="B41" s="17" t="s">
        <v>281</v>
      </c>
      <c r="C41" s="17"/>
      <c r="D41" s="17">
        <v>2</v>
      </c>
      <c r="E41" s="17">
        <v>1</v>
      </c>
      <c r="F41" s="17" t="s">
        <v>333</v>
      </c>
      <c r="G41" s="54">
        <f t="shared" si="1"/>
        <v>2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53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53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53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53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53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53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53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53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53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53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53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53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53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53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53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54"/>
      <c r="H57" s="11"/>
    </row>
    <row r="58" spans="1:8" ht="20.45" customHeight="1" x14ac:dyDescent="0.25">
      <c r="A58" s="29"/>
      <c r="B58" s="37"/>
      <c r="C58" s="38"/>
      <c r="D58" s="29"/>
      <c r="E58" s="29"/>
      <c r="F58" s="29"/>
      <c r="G58" s="32"/>
      <c r="H58" s="29"/>
    </row>
    <row r="59" spans="1:8" ht="24.75" customHeight="1" x14ac:dyDescent="0.25">
      <c r="A59" s="79" t="s">
        <v>174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25">
      <c r="A60" s="10">
        <v>1</v>
      </c>
      <c r="B60" s="85" t="s">
        <v>175</v>
      </c>
      <c r="C60" s="85"/>
      <c r="D60" s="85"/>
      <c r="E60" s="85"/>
      <c r="F60" s="85"/>
      <c r="G60" s="85"/>
      <c r="H60" s="10" t="s">
        <v>306</v>
      </c>
    </row>
    <row r="61" spans="1:8" ht="38.25" customHeight="1" x14ac:dyDescent="0.25">
      <c r="A61" s="10">
        <v>2</v>
      </c>
      <c r="B61" s="85" t="s">
        <v>176</v>
      </c>
      <c r="C61" s="85"/>
      <c r="D61" s="85"/>
      <c r="E61" s="85"/>
      <c r="F61" s="85"/>
      <c r="G61" s="85"/>
      <c r="H61" s="10" t="s">
        <v>307</v>
      </c>
    </row>
    <row r="62" spans="1:8" ht="25.5" customHeight="1" x14ac:dyDescent="0.25">
      <c r="A62" s="10">
        <v>3</v>
      </c>
      <c r="B62" s="85" t="s">
        <v>177</v>
      </c>
      <c r="C62" s="85"/>
      <c r="D62" s="85"/>
      <c r="E62" s="85"/>
      <c r="F62" s="85"/>
      <c r="G62" s="85"/>
      <c r="H62" s="10" t="s">
        <v>308</v>
      </c>
    </row>
    <row r="63" spans="1:8" ht="25.5" customHeight="1" x14ac:dyDescent="0.25">
      <c r="A63" s="10">
        <v>4</v>
      </c>
      <c r="B63" s="86" t="s">
        <v>181</v>
      </c>
      <c r="C63" s="87"/>
      <c r="D63" s="87"/>
      <c r="E63" s="87"/>
      <c r="F63" s="87"/>
      <c r="G63" s="88"/>
      <c r="H63" s="10" t="s">
        <v>309</v>
      </c>
    </row>
    <row r="64" spans="1:8" ht="24.75" customHeight="1" x14ac:dyDescent="0.25">
      <c r="A64" s="10">
        <v>5</v>
      </c>
      <c r="B64" s="85" t="s">
        <v>182</v>
      </c>
      <c r="C64" s="85"/>
      <c r="D64" s="85"/>
      <c r="E64" s="85"/>
      <c r="F64" s="85"/>
      <c r="G64" s="85"/>
      <c r="H64" s="10" t="s">
        <v>293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57"/>
      <c r="H65" s="35"/>
    </row>
    <row r="66" spans="1:8" ht="26.25" customHeight="1" x14ac:dyDescent="0.25">
      <c r="B66" s="36" t="str">
        <f>B2</f>
        <v xml:space="preserve">    Grid No:  </v>
      </c>
      <c r="F66" s="28" t="s">
        <v>239</v>
      </c>
      <c r="G66" s="58"/>
    </row>
    <row r="67" spans="1:8" ht="29.45" customHeight="1" x14ac:dyDescent="0.25">
      <c r="A67" s="79" t="s">
        <v>166</v>
      </c>
      <c r="B67" s="79" t="s">
        <v>167</v>
      </c>
      <c r="C67" s="79" t="s">
        <v>168</v>
      </c>
      <c r="D67" s="81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3" x14ac:dyDescent="0.25">
      <c r="A68" s="79"/>
      <c r="B68" s="79"/>
      <c r="C68" s="79"/>
      <c r="D68" s="82"/>
      <c r="E68" s="79"/>
      <c r="F68" s="17" t="s">
        <v>173</v>
      </c>
      <c r="G68" s="53" t="s">
        <v>327</v>
      </c>
      <c r="H68" s="79"/>
    </row>
    <row r="69" spans="1:8" s="27" customFormat="1" ht="41.25" customHeight="1" x14ac:dyDescent="0.25">
      <c r="A69" s="10">
        <v>1</v>
      </c>
      <c r="B69" s="39" t="s">
        <v>294</v>
      </c>
      <c r="C69" s="10" t="s">
        <v>318</v>
      </c>
      <c r="D69" s="10">
        <v>2.5</v>
      </c>
      <c r="E69" s="10">
        <v>2.5</v>
      </c>
      <c r="F69" s="96" t="s">
        <v>329</v>
      </c>
      <c r="G69" s="54">
        <f t="shared" ref="G69:G70" si="2" xml:space="preserve"> D69*E69</f>
        <v>6.25</v>
      </c>
      <c r="H69" s="10"/>
    </row>
    <row r="70" spans="1:8" s="27" customFormat="1" ht="41.25" customHeight="1" x14ac:dyDescent="0.25">
      <c r="A70" s="10">
        <v>2</v>
      </c>
      <c r="B70" s="39" t="s">
        <v>286</v>
      </c>
      <c r="C70" s="10" t="s">
        <v>319</v>
      </c>
      <c r="D70" s="10">
        <v>4.5</v>
      </c>
      <c r="E70" s="10">
        <v>1.8</v>
      </c>
      <c r="F70" s="96" t="s">
        <v>335</v>
      </c>
      <c r="G70" s="54">
        <f t="shared" si="2"/>
        <v>8.1</v>
      </c>
      <c r="H70" s="10"/>
    </row>
    <row r="71" spans="1:8" s="27" customFormat="1" ht="41.25" customHeight="1" x14ac:dyDescent="0.25">
      <c r="A71" s="10">
        <v>3</v>
      </c>
      <c r="B71" s="39"/>
      <c r="C71" s="10"/>
      <c r="D71" s="10"/>
      <c r="E71" s="10"/>
      <c r="F71" s="10"/>
      <c r="G71" s="54"/>
      <c r="H71" s="10"/>
    </row>
    <row r="72" spans="1:8" s="27" customFormat="1" ht="41.25" customHeight="1" x14ac:dyDescent="0.25">
      <c r="A72" s="10">
        <v>4</v>
      </c>
      <c r="B72" s="39"/>
      <c r="C72" s="10"/>
      <c r="D72" s="10"/>
      <c r="E72" s="10"/>
      <c r="F72" s="10"/>
      <c r="G72" s="54"/>
      <c r="H72" s="10"/>
    </row>
    <row r="73" spans="1:8" s="27" customFormat="1" ht="41.25" customHeight="1" x14ac:dyDescent="0.25">
      <c r="A73" s="10">
        <v>5</v>
      </c>
      <c r="B73" s="39"/>
      <c r="C73" s="10"/>
      <c r="D73" s="10"/>
      <c r="E73" s="10"/>
      <c r="F73" s="10"/>
      <c r="G73" s="59"/>
      <c r="H73" s="10"/>
    </row>
    <row r="74" spans="1:8" s="27" customFormat="1" ht="41.25" customHeight="1" x14ac:dyDescent="0.25">
      <c r="A74" s="10">
        <v>6</v>
      </c>
      <c r="B74" s="39"/>
      <c r="C74" s="10"/>
      <c r="D74" s="10"/>
      <c r="E74" s="10"/>
      <c r="F74" s="10"/>
      <c r="G74" s="59"/>
      <c r="H74" s="10"/>
    </row>
    <row r="75" spans="1:8" s="27" customFormat="1" ht="41.25" customHeight="1" x14ac:dyDescent="0.25">
      <c r="A75" s="10">
        <v>7</v>
      </c>
      <c r="B75" s="39"/>
      <c r="C75" s="10"/>
      <c r="D75" s="10"/>
      <c r="E75" s="10"/>
      <c r="F75" s="10"/>
      <c r="G75" s="59"/>
      <c r="H75" s="10"/>
    </row>
    <row r="76" spans="1:8" s="27" customFormat="1" ht="41.25" customHeight="1" x14ac:dyDescent="0.25">
      <c r="A76" s="10">
        <v>8</v>
      </c>
      <c r="B76" s="39"/>
      <c r="C76" s="10"/>
      <c r="D76" s="10"/>
      <c r="E76" s="10"/>
      <c r="F76" s="10"/>
      <c r="G76" s="59"/>
      <c r="H76" s="10"/>
    </row>
    <row r="77" spans="1:8" s="27" customFormat="1" ht="41.25" customHeight="1" x14ac:dyDescent="0.25">
      <c r="A77" s="10">
        <v>9</v>
      </c>
      <c r="B77" s="39"/>
      <c r="C77" s="10"/>
      <c r="D77" s="10"/>
      <c r="E77" s="10"/>
      <c r="F77" s="10"/>
      <c r="G77" s="59"/>
      <c r="H77" s="10"/>
    </row>
    <row r="78" spans="1:8" s="27" customFormat="1" ht="41.25" customHeight="1" x14ac:dyDescent="0.25">
      <c r="A78" s="10">
        <v>10</v>
      </c>
      <c r="B78" s="39"/>
      <c r="C78" s="10"/>
      <c r="D78" s="10"/>
      <c r="E78" s="10"/>
      <c r="F78" s="10"/>
      <c r="G78" s="59"/>
      <c r="H78" s="10"/>
    </row>
    <row r="79" spans="1:8" s="27" customFormat="1" ht="41.25" customHeight="1" x14ac:dyDescent="0.25">
      <c r="A79" s="10">
        <v>11</v>
      </c>
      <c r="B79" s="39"/>
      <c r="C79" s="10"/>
      <c r="D79" s="10"/>
      <c r="E79" s="10"/>
      <c r="F79" s="10"/>
      <c r="G79" s="59"/>
      <c r="H79" s="10"/>
    </row>
    <row r="80" spans="1:8" s="27" customFormat="1" ht="41.25" customHeight="1" x14ac:dyDescent="0.25">
      <c r="A80" s="10">
        <v>12</v>
      </c>
      <c r="B80" s="39"/>
      <c r="C80" s="10"/>
      <c r="D80" s="10"/>
      <c r="E80" s="10"/>
      <c r="F80" s="10"/>
      <c r="G80" s="59"/>
      <c r="H80" s="10"/>
    </row>
    <row r="81" spans="1:8" s="27" customFormat="1" ht="41.25" customHeight="1" x14ac:dyDescent="0.25">
      <c r="A81" s="10">
        <v>13</v>
      </c>
      <c r="B81" s="39"/>
      <c r="C81" s="10"/>
      <c r="D81" s="10"/>
      <c r="E81" s="10"/>
      <c r="F81" s="10"/>
      <c r="G81" s="59"/>
      <c r="H81" s="10"/>
    </row>
    <row r="82" spans="1:8" s="27" customFormat="1" ht="41.25" customHeight="1" x14ac:dyDescent="0.25">
      <c r="A82" s="10">
        <v>14</v>
      </c>
      <c r="B82" s="39"/>
      <c r="C82" s="10"/>
      <c r="D82" s="10"/>
      <c r="E82" s="10"/>
      <c r="F82" s="10"/>
      <c r="G82" s="59"/>
      <c r="H82" s="10"/>
    </row>
    <row r="83" spans="1:8" s="27" customFormat="1" ht="41.25" customHeight="1" x14ac:dyDescent="0.25">
      <c r="A83" s="10">
        <v>15</v>
      </c>
      <c r="B83" s="39"/>
      <c r="C83" s="10"/>
      <c r="D83" s="10"/>
      <c r="E83" s="10"/>
      <c r="F83" s="10"/>
      <c r="G83" s="59"/>
      <c r="H83" s="10"/>
    </row>
    <row r="84" spans="1:8" s="27" customFormat="1" ht="41.25" customHeight="1" x14ac:dyDescent="0.25">
      <c r="A84" s="10">
        <v>16</v>
      </c>
      <c r="B84" s="39"/>
      <c r="C84" s="10"/>
      <c r="D84" s="10"/>
      <c r="E84" s="10"/>
      <c r="F84" s="10"/>
      <c r="G84" s="59"/>
      <c r="H84" s="10"/>
    </row>
    <row r="85" spans="1:8" s="27" customFormat="1" ht="41.25" customHeight="1" x14ac:dyDescent="0.25">
      <c r="A85" s="10">
        <v>17</v>
      </c>
      <c r="B85" s="39"/>
      <c r="C85" s="10"/>
      <c r="D85" s="10"/>
      <c r="E85" s="10"/>
      <c r="F85" s="10"/>
      <c r="G85" s="59"/>
      <c r="H85" s="10"/>
    </row>
    <row r="86" spans="1:8" s="27" customFormat="1" ht="41.25" customHeight="1" x14ac:dyDescent="0.25">
      <c r="A86" s="10">
        <v>18</v>
      </c>
      <c r="B86" s="39"/>
      <c r="C86" s="10"/>
      <c r="D86" s="10"/>
      <c r="E86" s="10"/>
      <c r="F86" s="10"/>
      <c r="G86" s="59"/>
      <c r="H86" s="10"/>
    </row>
    <row r="87" spans="1:8" s="27" customFormat="1" ht="41.25" customHeight="1" x14ac:dyDescent="0.25">
      <c r="A87" s="10">
        <v>19</v>
      </c>
      <c r="B87" s="39"/>
      <c r="C87" s="10"/>
      <c r="D87" s="10"/>
      <c r="E87" s="10"/>
      <c r="F87" s="10"/>
      <c r="G87" s="59"/>
      <c r="H87" s="10"/>
    </row>
    <row r="88" spans="1:8" s="27" customFormat="1" ht="41.25" customHeight="1" x14ac:dyDescent="0.25">
      <c r="A88" s="10">
        <v>20</v>
      </c>
      <c r="B88" s="39"/>
      <c r="C88" s="10"/>
      <c r="D88" s="10"/>
      <c r="E88" s="10"/>
      <c r="F88" s="10"/>
      <c r="G88" s="59"/>
      <c r="H88" s="10"/>
    </row>
    <row r="89" spans="1:8" s="27" customFormat="1" ht="41.25" customHeight="1" x14ac:dyDescent="0.25">
      <c r="A89" s="10">
        <v>21</v>
      </c>
      <c r="B89" s="39"/>
      <c r="C89" s="10"/>
      <c r="D89" s="10"/>
      <c r="E89" s="10"/>
      <c r="F89" s="10"/>
      <c r="G89" s="59"/>
      <c r="H89" s="10"/>
    </row>
    <row r="90" spans="1:8" s="27" customFormat="1" ht="41.25" customHeight="1" x14ac:dyDescent="0.25">
      <c r="A90" s="10">
        <v>22</v>
      </c>
      <c r="B90" s="39"/>
      <c r="C90" s="10"/>
      <c r="D90" s="10"/>
      <c r="E90" s="10"/>
      <c r="F90" s="10"/>
      <c r="G90" s="59"/>
      <c r="H90" s="10"/>
    </row>
    <row r="91" spans="1:8" s="27" customFormat="1" ht="41.25" customHeight="1" x14ac:dyDescent="0.25">
      <c r="A91" s="10">
        <v>23</v>
      </c>
      <c r="B91" s="39"/>
      <c r="C91" s="10"/>
      <c r="D91" s="10"/>
      <c r="E91" s="10"/>
      <c r="F91" s="10"/>
      <c r="G91" s="59"/>
      <c r="H91" s="10"/>
    </row>
    <row r="92" spans="1:8" x14ac:dyDescent="0.25">
      <c r="A92" s="29"/>
      <c r="B92" s="29"/>
      <c r="C92" s="29"/>
      <c r="D92" s="29"/>
      <c r="E92" s="29"/>
      <c r="F92" s="29"/>
      <c r="G92" s="32"/>
      <c r="H92" s="29"/>
    </row>
    <row r="93" spans="1:8" ht="22.9" customHeight="1" x14ac:dyDescent="0.25">
      <c r="B93" s="36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25">
      <c r="A94" s="81" t="s">
        <v>166</v>
      </c>
      <c r="B94" s="81" t="s">
        <v>167</v>
      </c>
      <c r="C94" s="81" t="s">
        <v>168</v>
      </c>
      <c r="D94" s="81" t="s">
        <v>169</v>
      </c>
      <c r="E94" s="81" t="s">
        <v>170</v>
      </c>
      <c r="F94" s="83" t="s">
        <v>171</v>
      </c>
      <c r="G94" s="84"/>
      <c r="H94" s="81" t="s">
        <v>172</v>
      </c>
    </row>
    <row r="95" spans="1:8" ht="69.599999999999994" customHeight="1" x14ac:dyDescent="0.25">
      <c r="A95" s="82"/>
      <c r="B95" s="82"/>
      <c r="C95" s="82"/>
      <c r="D95" s="82"/>
      <c r="E95" s="82"/>
      <c r="F95" s="17" t="s">
        <v>173</v>
      </c>
      <c r="G95" s="53" t="s">
        <v>327</v>
      </c>
      <c r="H95" s="82"/>
    </row>
    <row r="96" spans="1:8" s="27" customFormat="1" ht="39" customHeight="1" x14ac:dyDescent="0.25">
      <c r="A96" s="40">
        <v>1</v>
      </c>
      <c r="B96" s="39" t="s">
        <v>295</v>
      </c>
      <c r="C96" s="10"/>
      <c r="D96" s="40">
        <v>2.8</v>
      </c>
      <c r="E96" s="41">
        <v>3.5</v>
      </c>
      <c r="F96" s="96" t="s">
        <v>336</v>
      </c>
      <c r="G96" s="54">
        <f t="shared" ref="G96:G98" si="3" xml:space="preserve"> D96*E96</f>
        <v>9.7999999999999989</v>
      </c>
      <c r="H96" s="22"/>
    </row>
    <row r="97" spans="1:8" s="27" customFormat="1" ht="39" customHeight="1" x14ac:dyDescent="0.25">
      <c r="A97" s="40">
        <v>2</v>
      </c>
      <c r="B97" s="39" t="s">
        <v>296</v>
      </c>
      <c r="C97" s="10"/>
      <c r="D97" s="40">
        <v>2.2000000000000002</v>
      </c>
      <c r="E97" s="41">
        <v>2.5</v>
      </c>
      <c r="F97" s="96" t="s">
        <v>337</v>
      </c>
      <c r="G97" s="54">
        <f t="shared" si="3"/>
        <v>5.5</v>
      </c>
      <c r="H97" s="22"/>
    </row>
    <row r="98" spans="1:8" s="27" customFormat="1" ht="39" customHeight="1" x14ac:dyDescent="0.25">
      <c r="A98" s="40">
        <v>3</v>
      </c>
      <c r="B98" s="39" t="s">
        <v>281</v>
      </c>
      <c r="C98" s="10"/>
      <c r="D98" s="40">
        <v>3.5</v>
      </c>
      <c r="E98" s="41">
        <v>3</v>
      </c>
      <c r="F98" s="22" t="s">
        <v>333</v>
      </c>
      <c r="G98" s="54">
        <f t="shared" si="3"/>
        <v>10.5</v>
      </c>
      <c r="H98" s="22"/>
    </row>
    <row r="99" spans="1:8" s="27" customFormat="1" ht="39" customHeight="1" x14ac:dyDescent="0.25">
      <c r="A99" s="40">
        <v>4</v>
      </c>
      <c r="B99" s="39"/>
      <c r="C99" s="10"/>
      <c r="D99" s="40"/>
      <c r="E99" s="41"/>
      <c r="F99" s="22"/>
      <c r="G99" s="60"/>
      <c r="H99" s="22"/>
    </row>
    <row r="100" spans="1:8" s="27" customFormat="1" ht="39" customHeight="1" x14ac:dyDescent="0.25">
      <c r="A100" s="40">
        <v>5</v>
      </c>
      <c r="B100" s="39"/>
      <c r="C100" s="10"/>
      <c r="D100" s="40"/>
      <c r="E100" s="41"/>
      <c r="F100" s="22"/>
      <c r="G100" s="60"/>
      <c r="H100" s="22"/>
    </row>
    <row r="101" spans="1:8" s="27" customFormat="1" ht="39" customHeight="1" x14ac:dyDescent="0.25">
      <c r="A101" s="40">
        <v>6</v>
      </c>
      <c r="B101" s="39"/>
      <c r="C101" s="10"/>
      <c r="D101" s="40"/>
      <c r="E101" s="41"/>
      <c r="F101" s="22"/>
      <c r="G101" s="60"/>
      <c r="H101" s="22"/>
    </row>
    <row r="102" spans="1:8" s="27" customFormat="1" ht="39" customHeight="1" x14ac:dyDescent="0.25">
      <c r="A102" s="40">
        <v>7</v>
      </c>
      <c r="B102" s="39"/>
      <c r="C102" s="10"/>
      <c r="D102" s="40"/>
      <c r="E102" s="41"/>
      <c r="F102" s="22"/>
      <c r="G102" s="60"/>
      <c r="H102" s="22"/>
    </row>
    <row r="103" spans="1:8" s="27" customFormat="1" ht="39" customHeight="1" x14ac:dyDescent="0.25">
      <c r="A103" s="40">
        <v>8</v>
      </c>
      <c r="B103" s="39"/>
      <c r="C103" s="10"/>
      <c r="D103" s="40"/>
      <c r="E103" s="41"/>
      <c r="F103" s="22"/>
      <c r="G103" s="60"/>
      <c r="H103" s="22"/>
    </row>
    <row r="104" spans="1:8" s="27" customFormat="1" ht="39" customHeight="1" x14ac:dyDescent="0.25">
      <c r="A104" s="40">
        <v>9</v>
      </c>
      <c r="B104" s="39"/>
      <c r="C104" s="10"/>
      <c r="D104" s="40"/>
      <c r="E104" s="41"/>
      <c r="F104" s="22"/>
      <c r="G104" s="60"/>
      <c r="H104" s="22"/>
    </row>
    <row r="105" spans="1:8" s="27" customFormat="1" ht="39" customHeight="1" x14ac:dyDescent="0.25">
      <c r="A105" s="40">
        <v>10</v>
      </c>
      <c r="B105" s="39"/>
      <c r="C105" s="10"/>
      <c r="D105" s="40"/>
      <c r="E105" s="41"/>
      <c r="F105" s="22"/>
      <c r="G105" s="60"/>
      <c r="H105" s="22"/>
    </row>
    <row r="106" spans="1:8" s="27" customFormat="1" ht="39" customHeight="1" x14ac:dyDescent="0.25">
      <c r="A106" s="40">
        <v>11</v>
      </c>
      <c r="B106" s="39"/>
      <c r="C106" s="10"/>
      <c r="D106" s="40"/>
      <c r="E106" s="41"/>
      <c r="F106" s="22"/>
      <c r="G106" s="60"/>
      <c r="H106" s="22"/>
    </row>
    <row r="107" spans="1:8" s="27" customFormat="1" ht="39" customHeight="1" x14ac:dyDescent="0.25">
      <c r="A107" s="40">
        <v>12</v>
      </c>
      <c r="B107" s="39"/>
      <c r="C107" s="10"/>
      <c r="D107" s="40"/>
      <c r="E107" s="41"/>
      <c r="F107" s="22"/>
      <c r="G107" s="60"/>
      <c r="H107" s="22"/>
    </row>
    <row r="108" spans="1:8" s="27" customFormat="1" ht="39" customHeight="1" x14ac:dyDescent="0.25">
      <c r="A108" s="40">
        <v>13</v>
      </c>
      <c r="B108" s="39"/>
      <c r="C108" s="10"/>
      <c r="D108" s="40"/>
      <c r="E108" s="41"/>
      <c r="F108" s="22"/>
      <c r="G108" s="60"/>
      <c r="H108" s="22"/>
    </row>
    <row r="109" spans="1:8" s="27" customFormat="1" ht="39" customHeight="1" x14ac:dyDescent="0.25">
      <c r="A109" s="40">
        <v>14</v>
      </c>
      <c r="B109" s="39"/>
      <c r="C109" s="10"/>
      <c r="D109" s="40"/>
      <c r="E109" s="41"/>
      <c r="F109" s="22"/>
      <c r="G109" s="60"/>
      <c r="H109" s="22"/>
    </row>
    <row r="110" spans="1:8" s="27" customFormat="1" ht="39" customHeight="1" x14ac:dyDescent="0.25">
      <c r="A110" s="40">
        <v>15</v>
      </c>
      <c r="B110" s="39"/>
      <c r="C110" s="10"/>
      <c r="D110" s="40"/>
      <c r="E110" s="41"/>
      <c r="F110" s="22"/>
      <c r="G110" s="60"/>
      <c r="H110" s="22"/>
    </row>
    <row r="111" spans="1:8" s="27" customFormat="1" ht="39" customHeight="1" x14ac:dyDescent="0.25">
      <c r="A111" s="40">
        <v>16</v>
      </c>
      <c r="B111" s="39"/>
      <c r="C111" s="10"/>
      <c r="D111" s="40"/>
      <c r="E111" s="41"/>
      <c r="F111" s="22"/>
      <c r="G111" s="60"/>
      <c r="H111" s="22"/>
    </row>
    <row r="112" spans="1:8" s="27" customFormat="1" ht="39" customHeight="1" x14ac:dyDescent="0.25">
      <c r="A112" s="40">
        <v>17</v>
      </c>
      <c r="B112" s="39"/>
      <c r="C112" s="10"/>
      <c r="D112" s="40"/>
      <c r="E112" s="41"/>
      <c r="F112" s="22"/>
      <c r="G112" s="60"/>
      <c r="H112" s="22"/>
    </row>
    <row r="113" spans="1:8" s="27" customFormat="1" ht="39" customHeight="1" x14ac:dyDescent="0.25">
      <c r="A113" s="40">
        <v>18</v>
      </c>
      <c r="B113" s="39"/>
      <c r="C113" s="10"/>
      <c r="D113" s="40"/>
      <c r="E113" s="41"/>
      <c r="F113" s="22"/>
      <c r="G113" s="60"/>
      <c r="H113" s="22"/>
    </row>
    <row r="114" spans="1:8" s="27" customFormat="1" ht="39" customHeight="1" x14ac:dyDescent="0.25">
      <c r="A114" s="40">
        <v>19</v>
      </c>
      <c r="B114" s="39"/>
      <c r="C114" s="10"/>
      <c r="D114" s="40"/>
      <c r="E114" s="41"/>
      <c r="F114" s="22"/>
      <c r="G114" s="60"/>
      <c r="H114" s="22"/>
    </row>
    <row r="115" spans="1:8" s="27" customFormat="1" ht="39" customHeight="1" x14ac:dyDescent="0.25">
      <c r="A115" s="40">
        <v>20</v>
      </c>
      <c r="B115" s="39"/>
      <c r="C115" s="10"/>
      <c r="D115" s="40"/>
      <c r="E115" s="41"/>
      <c r="F115" s="22"/>
      <c r="G115" s="60"/>
      <c r="H115" s="22"/>
    </row>
    <row r="116" spans="1:8" s="27" customFormat="1" ht="39" customHeight="1" x14ac:dyDescent="0.25">
      <c r="A116" s="40">
        <v>21</v>
      </c>
      <c r="B116" s="39"/>
      <c r="C116" s="10"/>
      <c r="D116" s="40"/>
      <c r="E116" s="41"/>
      <c r="F116" s="22"/>
      <c r="G116" s="60"/>
      <c r="H116" s="22"/>
    </row>
    <row r="117" spans="1:8" s="27" customFormat="1" ht="39" customHeight="1" x14ac:dyDescent="0.25">
      <c r="A117" s="40">
        <v>22</v>
      </c>
      <c r="B117" s="39"/>
      <c r="C117" s="10"/>
      <c r="D117" s="40"/>
      <c r="E117" s="41"/>
      <c r="F117" s="22"/>
      <c r="G117" s="60"/>
      <c r="H117" s="22"/>
    </row>
    <row r="118" spans="1:8" s="27" customFormat="1" ht="39" customHeight="1" x14ac:dyDescent="0.25">
      <c r="A118" s="40">
        <v>23</v>
      </c>
      <c r="B118" s="39"/>
      <c r="C118" s="10"/>
      <c r="D118" s="40"/>
      <c r="E118" s="41"/>
      <c r="F118" s="22"/>
      <c r="G118" s="60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0" zoomScale="70" zoomScaleNormal="85" zoomScaleSheetLayoutView="70" workbookViewId="0">
      <selection activeCell="E48" sqref="E48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36.42578125" style="31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89" t="s">
        <v>183</v>
      </c>
      <c r="B1" s="89"/>
      <c r="C1" s="89"/>
      <c r="D1" s="89"/>
      <c r="E1" s="89"/>
      <c r="F1" s="89"/>
      <c r="G1" s="89"/>
    </row>
    <row r="2" spans="1:7" ht="45.6" customHeight="1" x14ac:dyDescent="0.25">
      <c r="E2" s="90" t="s">
        <v>165</v>
      </c>
      <c r="F2" s="90"/>
      <c r="G2" s="90"/>
    </row>
    <row r="3" spans="1:7" ht="45.6" customHeight="1" x14ac:dyDescent="0.25">
      <c r="A3" s="79" t="s">
        <v>166</v>
      </c>
      <c r="B3" s="79" t="s">
        <v>167</v>
      </c>
      <c r="C3" s="66" t="s">
        <v>168</v>
      </c>
      <c r="D3" s="79" t="s">
        <v>184</v>
      </c>
      <c r="E3" s="79" t="s">
        <v>171</v>
      </c>
      <c r="F3" s="79"/>
      <c r="G3" s="79" t="s">
        <v>185</v>
      </c>
    </row>
    <row r="4" spans="1:7" ht="45.6" customHeight="1" x14ac:dyDescent="0.25">
      <c r="A4" s="79"/>
      <c r="B4" s="79"/>
      <c r="C4" s="66"/>
      <c r="D4" s="79"/>
      <c r="E4" s="81" t="s">
        <v>186</v>
      </c>
      <c r="F4" s="81" t="s">
        <v>187</v>
      </c>
      <c r="G4" s="79"/>
    </row>
    <row r="5" spans="1:7" ht="45.6" customHeight="1" thickBot="1" x14ac:dyDescent="0.3">
      <c r="A5" s="79"/>
      <c r="B5" s="79"/>
      <c r="C5" s="66"/>
      <c r="D5" s="79"/>
      <c r="E5" s="82"/>
      <c r="F5" s="82"/>
      <c r="G5" s="79"/>
    </row>
    <row r="6" spans="1:7" ht="45.6" customHeight="1" thickBot="1" x14ac:dyDescent="0.3">
      <c r="A6" s="10">
        <v>1</v>
      </c>
      <c r="B6" s="17" t="s">
        <v>297</v>
      </c>
      <c r="C6" s="44"/>
      <c r="D6" s="17">
        <v>35</v>
      </c>
      <c r="E6" s="10" t="s">
        <v>323</v>
      </c>
      <c r="F6" s="52">
        <f>0.05*(D6)*(D6)</f>
        <v>61.25</v>
      </c>
      <c r="G6" s="17"/>
    </row>
    <row r="7" spans="1:7" ht="45.6" customHeight="1" thickBot="1" x14ac:dyDescent="0.3">
      <c r="A7" s="10">
        <v>2</v>
      </c>
      <c r="B7" s="17" t="s">
        <v>297</v>
      </c>
      <c r="C7" s="44"/>
      <c r="D7" s="17">
        <v>40</v>
      </c>
      <c r="E7" s="10" t="s">
        <v>323</v>
      </c>
      <c r="F7" s="52">
        <f t="shared" ref="F7:F14" si="0">0.05*(D7)*(D7)</f>
        <v>80</v>
      </c>
      <c r="G7" s="17"/>
    </row>
    <row r="8" spans="1:7" ht="45.6" customHeight="1" thickBot="1" x14ac:dyDescent="0.3">
      <c r="A8" s="10">
        <v>3</v>
      </c>
      <c r="B8" s="17" t="s">
        <v>297</v>
      </c>
      <c r="C8" s="44"/>
      <c r="D8" s="17">
        <v>42</v>
      </c>
      <c r="E8" s="10" t="s">
        <v>323</v>
      </c>
      <c r="F8" s="52">
        <f t="shared" si="0"/>
        <v>88.2</v>
      </c>
      <c r="G8" s="17"/>
    </row>
    <row r="9" spans="1:7" ht="45.6" customHeight="1" thickBot="1" x14ac:dyDescent="0.3">
      <c r="A9" s="10">
        <v>4</v>
      </c>
      <c r="B9" s="17" t="s">
        <v>297</v>
      </c>
      <c r="C9" s="44"/>
      <c r="D9" s="17">
        <v>25</v>
      </c>
      <c r="E9" s="10" t="s">
        <v>323</v>
      </c>
      <c r="F9" s="52">
        <f t="shared" si="0"/>
        <v>31.25</v>
      </c>
      <c r="G9" s="17"/>
    </row>
    <row r="10" spans="1:7" ht="45.6" customHeight="1" thickBot="1" x14ac:dyDescent="0.3">
      <c r="A10" s="10">
        <v>5</v>
      </c>
      <c r="B10" s="17" t="s">
        <v>297</v>
      </c>
      <c r="C10" s="44"/>
      <c r="D10" s="17">
        <v>27</v>
      </c>
      <c r="E10" s="10" t="s">
        <v>323</v>
      </c>
      <c r="F10" s="52">
        <f t="shared" si="0"/>
        <v>36.450000000000003</v>
      </c>
      <c r="G10" s="17"/>
    </row>
    <row r="11" spans="1:7" ht="45.6" customHeight="1" thickBot="1" x14ac:dyDescent="0.3">
      <c r="A11" s="10">
        <v>6</v>
      </c>
      <c r="B11" s="17" t="s">
        <v>281</v>
      </c>
      <c r="C11" s="44"/>
      <c r="D11" s="17">
        <v>80</v>
      </c>
      <c r="E11" s="10" t="s">
        <v>324</v>
      </c>
      <c r="F11" s="52">
        <f t="shared" si="0"/>
        <v>320</v>
      </c>
      <c r="G11" s="17"/>
    </row>
    <row r="12" spans="1:7" ht="45.6" customHeight="1" thickBot="1" x14ac:dyDescent="0.3">
      <c r="A12" s="10">
        <v>7</v>
      </c>
      <c r="B12" s="17" t="s">
        <v>298</v>
      </c>
      <c r="C12" s="44"/>
      <c r="D12" s="17">
        <v>52</v>
      </c>
      <c r="E12" s="10" t="s">
        <v>325</v>
      </c>
      <c r="F12" s="52">
        <f t="shared" si="0"/>
        <v>135.20000000000002</v>
      </c>
      <c r="G12" s="17"/>
    </row>
    <row r="13" spans="1:7" ht="45.6" customHeight="1" thickBot="1" x14ac:dyDescent="0.3">
      <c r="A13" s="10">
        <v>8</v>
      </c>
      <c r="B13" s="17" t="s">
        <v>288</v>
      </c>
      <c r="C13" s="44"/>
      <c r="D13" s="17">
        <v>43</v>
      </c>
      <c r="F13" s="52">
        <f>0.05*(D13)*(D13)</f>
        <v>92.45</v>
      </c>
      <c r="G13" s="17"/>
    </row>
    <row r="14" spans="1:7" ht="45.6" customHeight="1" thickBot="1" x14ac:dyDescent="0.3">
      <c r="A14" s="10">
        <v>9</v>
      </c>
      <c r="B14" s="17" t="s">
        <v>299</v>
      </c>
      <c r="C14" s="44"/>
      <c r="D14" s="17">
        <v>30</v>
      </c>
      <c r="E14" s="10" t="s">
        <v>326</v>
      </c>
      <c r="F14" s="52">
        <f t="shared" si="0"/>
        <v>45</v>
      </c>
      <c r="G14" s="17"/>
    </row>
    <row r="15" spans="1:7" ht="45.6" customHeight="1" x14ac:dyDescent="0.25">
      <c r="A15" s="10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9" t="s">
        <v>174</v>
      </c>
      <c r="B33" s="79"/>
      <c r="C33" s="79"/>
      <c r="D33" s="79"/>
      <c r="E33" s="79"/>
      <c r="F33" s="79"/>
      <c r="G33" s="79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190</v>
      </c>
      <c r="C35" s="46"/>
      <c r="E35" s="89" t="s">
        <v>191</v>
      </c>
      <c r="F35" s="89"/>
      <c r="G35" s="89"/>
    </row>
    <row r="36" spans="1:7" ht="45.6" customHeight="1" x14ac:dyDescent="0.25">
      <c r="A36" s="79" t="s">
        <v>166</v>
      </c>
      <c r="B36" s="79" t="s">
        <v>167</v>
      </c>
      <c r="C36" s="91" t="s">
        <v>168</v>
      </c>
      <c r="D36" s="79" t="s">
        <v>184</v>
      </c>
      <c r="E36" s="79" t="s">
        <v>171</v>
      </c>
      <c r="F36" s="79"/>
      <c r="G36" s="79" t="s">
        <v>185</v>
      </c>
    </row>
    <row r="37" spans="1:7" ht="45.6" customHeight="1" x14ac:dyDescent="0.25">
      <c r="A37" s="79"/>
      <c r="B37" s="79"/>
      <c r="C37" s="92"/>
      <c r="D37" s="79"/>
      <c r="E37" s="17" t="s">
        <v>186</v>
      </c>
      <c r="F37" s="17" t="s">
        <v>187</v>
      </c>
      <c r="G37" s="79"/>
    </row>
    <row r="38" spans="1:7" ht="45.6" customHeight="1" thickBot="1" x14ac:dyDescent="0.3">
      <c r="A38" s="79"/>
      <c r="B38" s="79"/>
      <c r="C38" s="93"/>
      <c r="D38" s="79"/>
      <c r="E38" s="17" t="s">
        <v>188</v>
      </c>
      <c r="F38" s="17" t="s">
        <v>189</v>
      </c>
      <c r="G38" s="79"/>
    </row>
    <row r="39" spans="1:7" s="27" customFormat="1" ht="45.6" customHeight="1" thickBot="1" x14ac:dyDescent="0.3">
      <c r="A39" s="40">
        <v>1</v>
      </c>
      <c r="B39" s="22" t="s">
        <v>300</v>
      </c>
      <c r="C39" s="47" t="s">
        <v>320</v>
      </c>
      <c r="D39" s="40">
        <v>35</v>
      </c>
      <c r="E39" s="96" t="s">
        <v>328</v>
      </c>
      <c r="F39" s="52">
        <f t="shared" ref="F39:F42" si="1">0.05*(D39)*(D39)</f>
        <v>61.25</v>
      </c>
      <c r="G39" s="22"/>
    </row>
    <row r="40" spans="1:7" s="27" customFormat="1" ht="45.6" customHeight="1" thickBot="1" x14ac:dyDescent="0.3">
      <c r="A40" s="40">
        <v>2</v>
      </c>
      <c r="B40" s="22" t="s">
        <v>301</v>
      </c>
      <c r="C40" s="47" t="s">
        <v>321</v>
      </c>
      <c r="D40" s="40">
        <v>25</v>
      </c>
      <c r="E40" s="96" t="s">
        <v>329</v>
      </c>
      <c r="F40" s="52">
        <f t="shared" si="1"/>
        <v>31.25</v>
      </c>
      <c r="G40" s="22"/>
    </row>
    <row r="41" spans="1:7" s="27" customFormat="1" ht="45.6" customHeight="1" thickBot="1" x14ac:dyDescent="0.25">
      <c r="A41" s="40">
        <v>3</v>
      </c>
      <c r="B41" s="22" t="s">
        <v>298</v>
      </c>
      <c r="C41" s="47"/>
      <c r="D41" s="40">
        <v>22</v>
      </c>
      <c r="E41" s="22"/>
      <c r="F41" s="52">
        <f t="shared" si="1"/>
        <v>24.200000000000003</v>
      </c>
      <c r="G41" s="22"/>
    </row>
    <row r="42" spans="1:7" s="27" customFormat="1" ht="45.6" customHeight="1" thickBot="1" x14ac:dyDescent="0.3">
      <c r="A42" s="40">
        <v>4</v>
      </c>
      <c r="B42" s="22" t="s">
        <v>302</v>
      </c>
      <c r="C42" s="47" t="s">
        <v>322</v>
      </c>
      <c r="D42" s="40">
        <v>43</v>
      </c>
      <c r="E42" s="96" t="s">
        <v>330</v>
      </c>
      <c r="F42" s="52">
        <f t="shared" si="1"/>
        <v>92.45</v>
      </c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9" t="s">
        <v>174</v>
      </c>
      <c r="B62" s="79"/>
      <c r="C62" s="79"/>
      <c r="D62" s="79"/>
      <c r="E62" s="79"/>
      <c r="F62" s="79"/>
      <c r="G62" s="79"/>
    </row>
  </sheetData>
  <mergeCells count="19">
    <mergeCell ref="A1:G1"/>
    <mergeCell ref="E2:G2"/>
    <mergeCell ref="A3:A5"/>
    <mergeCell ref="B3:B5"/>
    <mergeCell ref="C3:C5"/>
    <mergeCell ref="D3:D5"/>
    <mergeCell ref="E3:F3"/>
    <mergeCell ref="G3:G5"/>
    <mergeCell ref="E4:E5"/>
    <mergeCell ref="F4:F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94" t="s">
        <v>192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71" t="s">
        <v>193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5" spans="1:11" ht="105" customHeight="1" x14ac:dyDescent="0.25">
      <c r="A5" s="2" t="s">
        <v>109</v>
      </c>
      <c r="B5" s="4" t="s">
        <v>194</v>
      </c>
      <c r="C5" s="4" t="s">
        <v>195</v>
      </c>
      <c r="D5" s="4" t="s">
        <v>196</v>
      </c>
      <c r="E5" s="2" t="s">
        <v>197</v>
      </c>
      <c r="F5" s="2" t="s">
        <v>198</v>
      </c>
      <c r="G5" s="4" t="s">
        <v>199</v>
      </c>
      <c r="I5" s="95" t="s">
        <v>200</v>
      </c>
      <c r="J5" s="95"/>
      <c r="K5" s="9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201</v>
      </c>
      <c r="F6" s="2" t="s">
        <v>202</v>
      </c>
      <c r="G6" s="2" t="s">
        <v>203</v>
      </c>
      <c r="I6" s="95"/>
      <c r="J6" s="95"/>
      <c r="K6" s="95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95" t="s">
        <v>204</v>
      </c>
      <c r="J7" s="95"/>
      <c r="K7" s="95"/>
    </row>
    <row r="9" spans="1:11" ht="36.75" customHeight="1" x14ac:dyDescent="0.25">
      <c r="A9" s="62" t="s">
        <v>205</v>
      </c>
      <c r="B9" s="61" t="s">
        <v>206</v>
      </c>
      <c r="C9" s="61"/>
      <c r="D9" s="61"/>
      <c r="E9" s="61"/>
      <c r="F9" s="61" t="s">
        <v>207</v>
      </c>
      <c r="G9" s="61"/>
      <c r="H9" s="61"/>
    </row>
    <row r="10" spans="1:11" s="43" customFormat="1" ht="75" customHeight="1" x14ac:dyDescent="0.25">
      <c r="A10" s="62"/>
      <c r="B10" s="4" t="s">
        <v>167</v>
      </c>
      <c r="C10" s="4" t="s">
        <v>209</v>
      </c>
      <c r="D10" s="4" t="s">
        <v>231</v>
      </c>
      <c r="E10" s="4" t="s">
        <v>210</v>
      </c>
      <c r="F10" s="4" t="s">
        <v>208</v>
      </c>
      <c r="G10" s="4" t="s">
        <v>211</v>
      </c>
      <c r="H10" s="4" t="s">
        <v>221</v>
      </c>
    </row>
    <row r="11" spans="1:11" ht="24.75" customHeight="1" x14ac:dyDescent="0.25">
      <c r="A11" s="23" t="s">
        <v>64</v>
      </c>
      <c r="B11" s="23" t="s">
        <v>212</v>
      </c>
      <c r="C11" s="23" t="s">
        <v>142</v>
      </c>
      <c r="D11" s="23" t="s">
        <v>91</v>
      </c>
      <c r="E11" s="23" t="s">
        <v>213</v>
      </c>
      <c r="F11" s="23" t="s">
        <v>214</v>
      </c>
      <c r="G11" s="23" t="s">
        <v>215</v>
      </c>
      <c r="H11" s="23" t="s">
        <v>216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6" zoomScaleSheetLayoutView="10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61" t="s">
        <v>225</v>
      </c>
      <c r="B1" s="61"/>
      <c r="C1" s="61"/>
      <c r="D1" s="61"/>
      <c r="E1" s="61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228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61" t="s">
        <v>235</v>
      </c>
      <c r="B19" s="61"/>
      <c r="C19" s="61"/>
      <c r="D19" s="61"/>
      <c r="E19" s="61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2024-06-15T14:45:04Z</dcterms:modified>
</cp:coreProperties>
</file>