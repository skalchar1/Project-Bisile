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360" windowWidth="19416" windowHeight="7656" activeTab="2"/>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s>
  <definedNames>
    <definedName name="_xlnm.Print_Titles" localSheetId="4">'F-B'!$1:$1</definedName>
    <definedName name="_xlnm.Print_Titles" localSheetId="2">'F-III A1'!$9:$10</definedName>
    <definedName name="_xlnm.Print_Titles" localSheetId="5">'Form C'!$1:$1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9"/>
  <c r="F1"/>
  <c r="C25" i="8"/>
  <c r="C17"/>
  <c r="C8"/>
  <c r="C2"/>
  <c r="C5" i="15"/>
  <c r="K7"/>
  <c r="K6"/>
  <c r="G7"/>
  <c r="C7"/>
  <c r="G6"/>
  <c r="C6"/>
  <c r="C21" i="13" l="1"/>
  <c r="C12"/>
  <c r="C11"/>
  <c r="C8"/>
  <c r="C9"/>
  <c r="C10"/>
  <c r="C7"/>
  <c r="B8" i="8" l="1"/>
  <c r="B25"/>
  <c r="B17"/>
</calcChain>
</file>

<file path=xl/sharedStrings.xml><?xml version="1.0" encoding="utf-8"?>
<sst xmlns="http://schemas.openxmlformats.org/spreadsheetml/2006/main" count="474" uniqueCount="286">
  <si>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</si>
  <si>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</si>
  <si>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</si>
  <si>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</si>
  <si>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</si>
  <si>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</si>
  <si>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</si>
  <si>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</si>
  <si>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</si>
  <si>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</si>
  <si>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</si>
  <si>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</si>
  <si>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</si>
  <si>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</si>
  <si>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</si>
  <si>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</si>
  <si>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</si>
  <si>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</si>
  <si>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</si>
  <si>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</si>
  <si>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</si>
  <si>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</si>
  <si>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</si>
  <si>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</si>
  <si>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</si>
  <si>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</si>
  <si>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</si>
  <si>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</si>
  <si>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</si>
  <si>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</si>
  <si>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</si>
  <si>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</si>
  <si>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</si>
  <si>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</si>
  <si>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</si>
  <si>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</si>
  <si>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</si>
  <si>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</si>
  <si>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</si>
  <si>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</si>
  <si>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</si>
  <si>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</si>
  <si>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</si>
  <si>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</si>
  <si>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</si>
  <si>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</si>
  <si>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</si>
  <si>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</si>
  <si>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</si>
  <si>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</si>
  <si>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</si>
  <si>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</si>
  <si>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</si>
  <si>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</si>
  <si>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</si>
  <si>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</si>
  <si>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</si>
  <si>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</si>
  <si>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</si>
  <si>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</si>
  <si>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</si>
  <si>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</si>
  <si>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</si>
  <si>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</si>
  <si>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</si>
  <si>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</si>
  <si>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</si>
  <si>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</si>
  <si>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</si>
  <si>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</si>
  <si>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</si>
  <si>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</si>
  <si>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</si>
  <si>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</si>
  <si>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</si>
  <si>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</si>
  <si>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</si>
  <si>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</si>
  <si>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</si>
  <si>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</si>
  <si>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</si>
  <si>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</si>
  <si>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</si>
  <si>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</si>
  <si>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</si>
  <si>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</si>
  <si>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</si>
  <si>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</si>
  <si>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 xml:space="preserve">(1)Tract - </t>
  </si>
  <si>
    <t>(2) Aspect - North/South/East/ West/North-East/South-East /North-West/South-west</t>
  </si>
  <si>
    <t>(10) Underwood  Species-</t>
  </si>
  <si>
    <t>(11) Climbers-</t>
  </si>
  <si>
    <t xml:space="preserve"> (12) Rattans - </t>
  </si>
  <si>
    <t xml:space="preserve"> (13) NTFP yielding Sps - </t>
  </si>
  <si>
    <t>Refrence  Tree Sl No</t>
  </si>
  <si>
    <t>Name of Division: Sagara</t>
  </si>
  <si>
    <t>Plantation status :</t>
  </si>
  <si>
    <t>water bodies :</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</si>
  <si>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</si>
  <si>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</si>
  <si>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</si>
  <si>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</si>
  <si>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</si>
  <si>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Rock and geology</t>
    </r>
    <r>
      <rPr>
        <sz val="11"/>
        <color rgb="FF000000"/>
        <rFont val="Calibri"/>
        <family val="2"/>
      </rPr>
      <t xml:space="preserve"> - Igneous Rocks / Sedimentary Rocks / Metamorphic Rocks  </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</si>
  <si>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</si>
  <si>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</si>
  <si>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</si>
  <si>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</si>
  <si>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rPr>
        <b/>
        <u/>
        <sz val="11"/>
        <color rgb="FF000000"/>
        <rFont val="Calibri"/>
        <family val="2"/>
      </rPr>
      <t>Presence of bamboos</t>
    </r>
    <r>
      <rPr>
        <sz val="11"/>
        <color rgb="FF000000"/>
        <rFont val="Calibri"/>
        <family val="2"/>
      </rPr>
      <t xml:space="preserve"> : Present / Absent</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</si>
  <si>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</si>
  <si>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</si>
  <si>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 xml:space="preserve">Canopy Density -  % </t>
  </si>
  <si>
    <t>Presence Of Invasive Species :</t>
  </si>
  <si>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</si>
  <si>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</si>
  <si>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</si>
  <si>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</si>
  <si>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</si>
  <si>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</si>
  <si>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</si>
  <si>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</si>
  <si>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</si>
  <si>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</si>
  <si>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¨ÉvÀÛUÀ¼À §UÉÎ ªÀiÁ»w</t>
  </si>
  <si>
    <t>CAzÁdÄ ¸ÀASÉå</t>
  </si>
  <si>
    <t>PÀæ.¸ÀA.</t>
  </si>
  <si>
    <t>¨ÉvÀÛzÀ eÁwAiÀÄ ¸ÀÜ½ÃAiÀÄ ºÉ¸ÀgÀÄ</t>
  </si>
  <si>
    <t>QgÀÄ CgÀtå GvÀà£ÀßUÀ¼À£ÀÄß ¤ÃqÀÄªÀ ¸À¸ÀåUÀ¼ÀÄ/ªÀÄgÀUÀ¼ÀÄ ºÁUÀÆ OµÀ¢üÃAiÀÄ ¸À¸ÀåUÀ¼ÀÄ</t>
  </si>
  <si>
    <t>ªÀÄgÀzÀ eÁw</t>
  </si>
  <si>
    <t>VqÀUÀ¼À eÁw</t>
  </si>
  <si>
    <t>¸ÀtÚ ¸À¸ÀåUÀ¼À eÁw</t>
  </si>
  <si>
    <t>§½îUÀ¼À eÁw</t>
  </si>
  <si>
    <t>G¥ÀAiÉÆÃV¸ÀÄªÀ ¨sÁUÀ</t>
  </si>
  <si>
    <t>Sl.No.</t>
  </si>
  <si>
    <t>Cane Species Local Name</t>
  </si>
  <si>
    <t>Botanical Name</t>
  </si>
  <si>
    <t>Aproximate Nos</t>
  </si>
  <si>
    <t>s¸À¸Àå±Á¹ÛçÃAiÀÄ ºÉ¸ÀgÀÄ</t>
  </si>
  <si>
    <t xml:space="preserve">Aprox qty/No </t>
  </si>
  <si>
    <t>zÉÆgÉAiÀÄÄªÀ ¥ÀæªÀiÁt (UÁæA/PÉ.f)</t>
  </si>
  <si>
    <t>PÀæ. ¸ÀA.</t>
  </si>
  <si>
    <t>PÀ®ÄèºÀÆªÀÅUÀ¼À eÁw</t>
  </si>
  <si>
    <t>east</t>
  </si>
  <si>
    <t>present (hebbidiru)</t>
  </si>
  <si>
    <t>huriakki,humble</t>
  </si>
  <si>
    <t>ondelaga,bhogi, jari gida</t>
  </si>
  <si>
    <t>huriakki,kendal,kadumensasu,akkiharakalu</t>
  </si>
  <si>
    <t>present halbettha</t>
  </si>
  <si>
    <t>no</t>
  </si>
  <si>
    <t>group of maddarasa, group of salle,heavy vate,mild matthi,salle,</t>
  </si>
  <si>
    <t>20-25 thale hore</t>
  </si>
  <si>
    <t>kumsa,kadu menasu balli,</t>
  </si>
  <si>
    <t>reserve forest</t>
  </si>
  <si>
    <t>dense forest</t>
  </si>
  <si>
    <t>gently roling</t>
  </si>
  <si>
    <t>metamorphic rocks</t>
  </si>
  <si>
    <t>mild</t>
  </si>
  <si>
    <t>moderate</t>
  </si>
  <si>
    <t>none</t>
  </si>
  <si>
    <t>scanty</t>
  </si>
  <si>
    <t>preset</t>
  </si>
  <si>
    <t>present activity eliphant eating the vaate plant</t>
  </si>
  <si>
    <t>maddarasa</t>
  </si>
  <si>
    <t>madambadi</t>
  </si>
  <si>
    <t>bhogi</t>
  </si>
  <si>
    <t>35gm</t>
  </si>
  <si>
    <t>10gms</t>
  </si>
  <si>
    <t>huriakki</t>
  </si>
  <si>
    <t>5gms</t>
  </si>
  <si>
    <t>3.246kg</t>
  </si>
  <si>
    <t>7.12kg</t>
  </si>
  <si>
    <t>madambadi, ondelaga, moderate</t>
  </si>
  <si>
    <t>salle</t>
  </si>
  <si>
    <t>jambe</t>
  </si>
  <si>
    <t>akkiharakalu</t>
  </si>
  <si>
    <t>2.437kg</t>
  </si>
  <si>
    <t>4.368kg</t>
  </si>
  <si>
    <t>hunalu</t>
  </si>
  <si>
    <t>matthi</t>
  </si>
  <si>
    <t>kalam</t>
  </si>
  <si>
    <t>godda</t>
  </si>
  <si>
    <t>kavalu</t>
  </si>
  <si>
    <t>kumsanballi(c)</t>
  </si>
  <si>
    <t>neersalle</t>
  </si>
  <si>
    <t>madddarasa</t>
  </si>
  <si>
    <t>jambe(1)</t>
  </si>
  <si>
    <t>3m</t>
  </si>
  <si>
    <t>hilli</t>
  </si>
  <si>
    <t>Range</t>
  </si>
  <si>
    <t>Grid  No.</t>
  </si>
  <si>
    <t xml:space="preserve">LATITUDE(dd.dddd) </t>
  </si>
  <si>
    <t xml:space="preserve">LONGITUDE (dd.dddd) </t>
  </si>
  <si>
    <t>vaate,maddarasa,bettha,salle,killarbhogi,matthi,neervaate,hunalu</t>
  </si>
  <si>
    <t>(3) Canopy Density -  %  ( &gt;0.75 / 0.5-0.75 / &lt;0.5)</t>
  </si>
  <si>
    <t>humble present in Scanty</t>
  </si>
  <si>
    <t>Lateritic soil</t>
  </si>
  <si>
    <t>(4) Rock-</t>
  </si>
  <si>
    <t>(5) Soil-</t>
  </si>
  <si>
    <t>(6) Grasses-</t>
  </si>
  <si>
    <t>(7) weeds-</t>
  </si>
  <si>
    <t>(8) Bamboos -</t>
  </si>
  <si>
    <t>(9) Herbs-</t>
  </si>
  <si>
    <t>(10) Shrubs -</t>
  </si>
  <si>
    <t>Metamorphic Rocks</t>
  </si>
  <si>
    <t xml:space="preserve">Block and or beat </t>
  </si>
  <si>
    <t>Grid No.</t>
  </si>
  <si>
    <t xml:space="preserve">ALTTTUDE </t>
  </si>
  <si>
    <t>4 to 15</t>
  </si>
  <si>
    <t>(1) Soil Type</t>
  </si>
  <si>
    <t>(2) Soil Permeability</t>
  </si>
  <si>
    <t>(3) Soil Depth</t>
  </si>
  <si>
    <t>Soil Erosion</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</si>
  <si>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Heavily degrated/ Moderately degrated / Mildly degrated /Not degrated
</t>
    </r>
  </si>
  <si>
    <t>50 cm</t>
  </si>
  <si>
    <t>Low Permiability</t>
  </si>
  <si>
    <t>Damage by wild life-Eliphant eating vaate plants found</t>
  </si>
  <si>
    <t>Absent</t>
  </si>
  <si>
    <t>Kumsanaballi</t>
  </si>
  <si>
    <t>0.376 Kg</t>
  </si>
  <si>
    <t>0.50 Kgs</t>
  </si>
  <si>
    <t>2.500 Kgs</t>
  </si>
  <si>
    <t>0.543 Kgs</t>
  </si>
  <si>
    <t>2.000 Kgs</t>
  </si>
  <si>
    <t>1.500 Kgs</t>
  </si>
  <si>
    <t>Stem</t>
  </si>
  <si>
    <r>
      <t xml:space="preserve">Maddarasa ( </t>
    </r>
    <r>
      <rPr>
        <i/>
        <u/>
        <sz val="12"/>
        <color theme="1"/>
        <rFont val="Times New Roman"/>
        <family val="1"/>
      </rPr>
      <t>Tabernaemontana heyneyana</t>
    </r>
    <r>
      <rPr>
        <sz val="12"/>
        <color theme="1"/>
        <rFont val="Times New Roman"/>
        <family val="1"/>
      </rPr>
      <t xml:space="preserve"> )</t>
    </r>
  </si>
  <si>
    <t>200 Gms</t>
  </si>
  <si>
    <t>Hunalu</t>
  </si>
  <si>
    <t>Sallle</t>
  </si>
  <si>
    <t>Dead</t>
  </si>
  <si>
    <t>Alive</t>
  </si>
  <si>
    <t>Pumale RF</t>
  </si>
  <si>
    <t xml:space="preserve">12.5651
</t>
  </si>
  <si>
    <t>261 mts MSL</t>
  </si>
  <si>
    <t>Xylia xylocarpa</t>
  </si>
  <si>
    <t>Aporousa lindleyana</t>
  </si>
  <si>
    <t>Terminalia tomentosa</t>
  </si>
  <si>
    <t>Lannea coromandalica</t>
  </si>
  <si>
    <t>Careya arborea</t>
  </si>
  <si>
    <t>Tabernae montana heyneyana</t>
  </si>
  <si>
    <t>Calycopteris floribunda</t>
  </si>
  <si>
    <t>Terminalia paniculata</t>
  </si>
  <si>
    <t>Sullia</t>
  </si>
  <si>
    <t>X-8</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</si>
  <si>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</si>
  <si>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</si>
  <si>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</si>
  <si>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</si>
  <si>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</si>
  <si>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</si>
  <si>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</si>
  <si>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</si>
  <si>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</si>
  <si>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</si>
  <si>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</si>
  <si>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</si>
  <si>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</si>
  <si>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</si>
  <si>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</si>
  <si>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</si>
  <si>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</si>
  <si>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</si>
  <si>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c</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</si>
  <si>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</si>
  <si>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</si>
  <si>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</si>
  <si>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</si>
  <si>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</si>
  <si>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</si>
  <si>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</si>
  <si>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</si>
  <si>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</si>
  <si>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</si>
  <si>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</si>
  <si>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</si>
  <si>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</si>
  <si>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</si>
  <si>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</si>
  <si>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</si>
  <si>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</si>
  <si>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Nil</t>
  </si>
  <si>
    <t>Mitragyna parviflora</t>
  </si>
  <si>
    <t>Xylia xylocarapa</t>
  </si>
  <si>
    <t>Linociera malabarica</t>
  </si>
  <si>
    <t>Tabernaemontana heyneyana</t>
  </si>
  <si>
    <t>From Sullia traverse by Asphalt road leading to Doddathota via Ubbardka Mitturu for 9.30 Kms.Here turns right and traverse South Eastwards in an Asphalt road leading to Kudkukli  for  4.80Kms to reach Kudkuli.Here turns right and traverse Westwards by foot for 870 mts to reach the center of the Plot</t>
  </si>
</sst>
</file>

<file path=xl/styles.xml><?xml version="1.0" encoding="utf-8"?>
<styleSheet xmlns="http://schemas.openxmlformats.org/spreadsheetml/2006/main">
  <numFmts count="1">
    <numFmt numFmtId="164" formatCode="[$-409]d/mmm/yyyy;@"/>
  </numFmts>
  <fonts count="30">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b/>
      <u/>
      <sz val="11"/>
      <color rgb="FF000000"/>
      <name val="Calibri"/>
      <family val="2"/>
    </font>
    <font>
      <sz val="11"/>
      <name val="Times New Roman"/>
      <family val="1"/>
    </font>
    <font>
      <b/>
      <sz val="11"/>
      <name val="Times New Roman"/>
      <family val="1"/>
    </font>
    <font>
      <b/>
      <sz val="12"/>
      <color theme="1"/>
      <name val="Nudi 01 e"/>
    </font>
    <font>
      <b/>
      <sz val="12"/>
      <color theme="1"/>
      <name val="Nudi web 01 e"/>
    </font>
    <font>
      <b/>
      <sz val="11"/>
      <name val="Calibri"/>
      <family val="2"/>
    </font>
    <font>
      <i/>
      <u/>
      <sz val="12"/>
      <color theme="1"/>
      <name val="Times New Roman"/>
      <family val="1"/>
    </font>
    <font>
      <b/>
      <sz val="11"/>
      <color theme="1"/>
      <name val="Calibri"/>
      <family val="2"/>
      <scheme val="minor"/>
    </font>
    <font>
      <u/>
      <sz val="12"/>
      <color theme="1"/>
      <name val="Times New Roman"/>
      <family val="1"/>
    </font>
    <font>
      <i/>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5">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12" fillId="0" borderId="5" xfId="2" applyFont="1" applyFill="1" applyBorder="1" applyAlignment="1">
      <alignment vertical="top" wrapText="1"/>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0" fontId="12" fillId="0" borderId="8" xfId="2" applyFont="1" applyBorder="1" applyAlignment="1">
      <alignment vertical="top"/>
    </xf>
    <xf numFmtId="0" fontId="8" fillId="0" borderId="1" xfId="2" applyBorder="1">
      <alignment vertical="center"/>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6" fillId="0" borderId="5" xfId="2" applyFont="1" applyBorder="1" applyAlignment="1">
      <alignment vertical="top"/>
    </xf>
    <xf numFmtId="0" fontId="9" fillId="0" borderId="5" xfId="2" applyFont="1" applyBorder="1" applyAlignment="1">
      <alignment vertical="top"/>
    </xf>
    <xf numFmtId="0" fontId="16" fillId="0" borderId="5"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5" xfId="2" applyFont="1" applyFill="1" applyBorder="1" applyAlignment="1">
      <alignment horizontal="left" vertical="top" wrapText="1"/>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17" fontId="12" fillId="0" borderId="5" xfId="2" applyNumberFormat="1" applyFont="1" applyBorder="1" applyAlignment="1">
      <alignment vertical="top"/>
    </xf>
    <xf numFmtId="0" fontId="12" fillId="0" borderId="5" xfId="2" applyFont="1" applyBorder="1" applyAlignment="1">
      <alignment horizontal="left" vertical="top"/>
    </xf>
    <xf numFmtId="0" fontId="12" fillId="0" borderId="8" xfId="2" applyFont="1" applyBorder="1" applyAlignment="1">
      <alignment horizontal="left" vertical="top" wrapText="1"/>
    </xf>
    <xf numFmtId="0" fontId="8" fillId="0" borderId="10" xfId="2" applyBorder="1" applyAlignment="1">
      <alignment horizontal="left" vertical="top" wrapText="1"/>
    </xf>
    <xf numFmtId="10" fontId="8" fillId="0" borderId="12" xfId="2" applyNumberFormat="1" applyBorder="1" applyAlignment="1">
      <alignment horizontal="left" vertical="center"/>
    </xf>
    <xf numFmtId="0" fontId="13" fillId="0" borderId="0" xfId="2" applyFont="1" applyBorder="1" applyAlignment="1">
      <alignment vertical="top" wrapText="1"/>
    </xf>
    <xf numFmtId="0" fontId="12" fillId="0" borderId="1" xfId="2" applyFont="1" applyFill="1" applyBorder="1" applyAlignment="1">
      <alignment horizontal="left" vertical="top" wrapText="1"/>
    </xf>
    <xf numFmtId="10" fontId="8" fillId="0" borderId="4" xfId="2" applyNumberFormat="1" applyBorder="1" applyAlignment="1">
      <alignment horizontal="left" vertical="center"/>
    </xf>
    <xf numFmtId="0" fontId="9" fillId="0" borderId="2" xfId="2" applyFont="1" applyFill="1" applyBorder="1" applyAlignment="1">
      <alignment horizontal="center" vertical="top"/>
    </xf>
    <xf numFmtId="0" fontId="9" fillId="0" borderId="2" xfId="2" applyFont="1" applyFill="1" applyBorder="1" applyAlignment="1">
      <alignment horizontal="left" vertical="top" wrapText="1"/>
    </xf>
    <xf numFmtId="0" fontId="21" fillId="0" borderId="1" xfId="2" applyFont="1" applyBorder="1" applyAlignment="1">
      <alignment horizontal="center" vertical="center" wrapText="1"/>
    </xf>
    <xf numFmtId="0" fontId="16" fillId="0" borderId="1" xfId="2" applyFont="1" applyBorder="1" applyAlignment="1">
      <alignment vertical="top"/>
    </xf>
    <xf numFmtId="9" fontId="12" fillId="0" borderId="5" xfId="2" applyNumberFormat="1" applyFont="1" applyBorder="1" applyAlignment="1">
      <alignment horizontal="left" vertical="top"/>
    </xf>
    <xf numFmtId="0" fontId="8" fillId="0" borderId="1" xfId="2" applyBorder="1" applyAlignment="1">
      <alignment horizontal="center" vertical="center"/>
    </xf>
    <xf numFmtId="0" fontId="12" fillId="0" borderId="5" xfId="2" applyFont="1" applyBorder="1" applyAlignment="1">
      <alignment vertical="top" wrapText="1"/>
    </xf>
    <xf numFmtId="0" fontId="3" fillId="0" borderId="1" xfId="0" applyFont="1" applyBorder="1" applyAlignment="1">
      <alignment horizontal="left" vertical="center"/>
    </xf>
    <xf numFmtId="0" fontId="4" fillId="0" borderId="1" xfId="0" applyFont="1" applyFill="1" applyBorder="1" applyAlignment="1">
      <alignment vertical="center" wrapText="1"/>
    </xf>
    <xf numFmtId="0" fontId="3" fillId="0" borderId="1" xfId="0" applyFont="1" applyBorder="1" applyAlignment="1">
      <alignment horizontal="center" vertical="top"/>
    </xf>
    <xf numFmtId="0" fontId="0" fillId="0" borderId="0" xfId="0" applyAlignment="1">
      <alignmen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12" fillId="0" borderId="1" xfId="2" applyFont="1" applyBorder="1" applyAlignment="1">
      <alignment horizontal="left" vertical="top" wrapText="1"/>
    </xf>
    <xf numFmtId="0" fontId="2" fillId="0" borderId="5" xfId="0" applyFont="1" applyBorder="1" applyAlignment="1">
      <alignment horizontal="center" vertical="center" wrapText="1"/>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5"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3" fillId="0" borderId="1" xfId="0" applyFont="1" applyFill="1" applyBorder="1" applyAlignment="1">
      <alignment horizontal="left" vertical="center"/>
    </xf>
    <xf numFmtId="0" fontId="0" fillId="0" borderId="1" xfId="0" applyFill="1" applyBorder="1"/>
    <xf numFmtId="0" fontId="26" fillId="0" borderId="0" xfId="0" applyFont="1"/>
    <xf numFmtId="0" fontId="0" fillId="0" borderId="0" xfId="0" applyAlignment="1">
      <alignment horizontal="left"/>
    </xf>
    <xf numFmtId="0" fontId="23" fillId="0" borderId="0" xfId="0" applyFont="1" applyAlignment="1">
      <alignment horizontal="center" vertical="center"/>
    </xf>
    <xf numFmtId="0" fontId="28" fillId="0" borderId="44" xfId="0" applyFont="1" applyBorder="1" applyAlignment="1">
      <alignment horizontal="center" vertical="center" wrapText="1"/>
    </xf>
    <xf numFmtId="0" fontId="4" fillId="0" borderId="3" xfId="0" applyFont="1" applyFill="1" applyBorder="1" applyAlignment="1">
      <alignment horizontal="left" vertical="center"/>
    </xf>
    <xf numFmtId="0" fontId="4" fillId="0" borderId="3" xfId="0" applyFont="1" applyFill="1" applyBorder="1" applyAlignment="1">
      <alignment horizontal="left"/>
    </xf>
    <xf numFmtId="0" fontId="5"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2" fontId="4" fillId="0" borderId="1" xfId="0" applyNumberFormat="1" applyFont="1" applyFill="1" applyBorder="1" applyAlignment="1">
      <alignment horizontal="center" vertical="center" wrapText="1"/>
    </xf>
    <xf numFmtId="2" fontId="4" fillId="0" borderId="6" xfId="0" applyNumberFormat="1" applyFont="1" applyFill="1" applyBorder="1" applyAlignment="1">
      <alignment horizontal="center" vertical="center" wrapText="1"/>
    </xf>
    <xf numFmtId="0" fontId="4"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Border="1" applyAlignment="1">
      <alignment horizontal="left" vertical="center"/>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xf>
    <xf numFmtId="0" fontId="18"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3" fillId="0" borderId="1" xfId="0" applyFont="1" applyFill="1" applyBorder="1" applyAlignment="1">
      <alignment horizontal="center" vertical="center" wrapText="1"/>
    </xf>
    <xf numFmtId="0" fontId="22" fillId="0" borderId="1" xfId="0" applyFont="1" applyFill="1" applyBorder="1" applyAlignment="1">
      <alignment horizontal="left" vertical="center"/>
    </xf>
    <xf numFmtId="0" fontId="26" fillId="0" borderId="1" xfId="0" applyFont="1" applyFill="1" applyBorder="1"/>
    <xf numFmtId="0" fontId="0" fillId="0" borderId="1" xfId="0" applyFill="1" applyBorder="1" applyAlignment="1">
      <alignment horizontal="left"/>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4" fontId="24"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8" fillId="0" borderId="39" xfId="0" applyFont="1" applyBorder="1" applyAlignment="1">
      <alignment horizontal="center" vertical="center" wrapText="1"/>
    </xf>
    <xf numFmtId="0" fontId="28" fillId="0" borderId="40" xfId="0" applyFont="1" applyBorder="1" applyAlignment="1">
      <alignment horizontal="center" vertical="center" wrapText="1"/>
    </xf>
    <xf numFmtId="0" fontId="28" fillId="0" borderId="41"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8" xfId="0" applyFont="1" applyBorder="1" applyAlignment="1">
      <alignment horizontal="center" vertical="center" wrapText="1"/>
    </xf>
    <xf numFmtId="0" fontId="28" fillId="0" borderId="45" xfId="0" applyFont="1" applyBorder="1" applyAlignment="1">
      <alignment horizontal="center" vertical="center" wrapText="1"/>
    </xf>
    <xf numFmtId="0" fontId="28" fillId="0" borderId="42" xfId="0" applyFont="1" applyBorder="1" applyAlignment="1">
      <alignment horizontal="center" vertical="center" wrapText="1"/>
    </xf>
    <xf numFmtId="0" fontId="28" fillId="0" borderId="43" xfId="0" applyFont="1" applyBorder="1" applyAlignment="1">
      <alignment horizontal="center" vertical="center" wrapText="1"/>
    </xf>
    <xf numFmtId="0" fontId="28" fillId="0" borderId="44" xfId="0" applyFont="1" applyBorder="1" applyAlignment="1">
      <alignment horizontal="center" vertical="center" wrapText="1"/>
    </xf>
    <xf numFmtId="0" fontId="27" fillId="0" borderId="0" xfId="0" applyFont="1" applyAlignment="1">
      <alignment horizontal="center" vertical="center"/>
    </xf>
    <xf numFmtId="0" fontId="29" fillId="0" borderId="38"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37"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17" fillId="0" borderId="2"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19"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9.DEVACHALLA%20RF%20EB-1/6.DRFEB-1;%20B&amp;CX-15_GN.%207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8A.KILARMALE%20RF-73/8).645%20KMRF%20XII-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6">
          <cell r="C6" t="str">
            <v>Sullia</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G32"/>
  <sheetViews>
    <sheetView showWhiteSpace="0" view="pageLayout" topLeftCell="A28" zoomScaleNormal="107" workbookViewId="0">
      <selection activeCell="E13" sqref="E13"/>
    </sheetView>
  </sheetViews>
  <sheetFormatPr defaultColWidth="9.88671875" defaultRowHeight="14.4"/>
  <cols>
    <col min="1" max="1" width="6.44140625" style="19" customWidth="1"/>
    <col min="2" max="2" width="33" style="20" customWidth="1"/>
    <col min="3" max="3" width="59.77734375" style="20" customWidth="1"/>
    <col min="4" max="4" width="9.88671875" style="20" customWidth="1"/>
    <col min="5" max="16384" width="9.88671875" style="20"/>
  </cols>
  <sheetData>
    <row r="1" spans="1:7" ht="17.399999999999999">
      <c r="B1" s="145" t="s">
        <v>0</v>
      </c>
      <c r="C1" s="145"/>
    </row>
    <row r="2" spans="1:7" ht="17.399999999999999">
      <c r="B2" s="145" t="s">
        <v>1</v>
      </c>
      <c r="C2" s="145"/>
    </row>
    <row r="3" spans="1:7" ht="15.6">
      <c r="A3" s="21" t="s">
        <v>83</v>
      </c>
      <c r="C3" s="22" t="s">
        <v>84</v>
      </c>
    </row>
    <row r="5" spans="1:7" ht="23.25" customHeight="1">
      <c r="A5" s="23" t="s">
        <v>26</v>
      </c>
      <c r="B5" s="23" t="s">
        <v>2</v>
      </c>
      <c r="C5" s="23" t="s">
        <v>3</v>
      </c>
    </row>
    <row r="6" spans="1:7" ht="18.75" customHeight="1">
      <c r="A6" s="24">
        <v>1</v>
      </c>
      <c r="B6" s="25" t="s">
        <v>188</v>
      </c>
      <c r="C6" s="26" t="s">
        <v>242</v>
      </c>
    </row>
    <row r="7" spans="1:7" ht="16.05" customHeight="1">
      <c r="A7" s="24">
        <v>2</v>
      </c>
      <c r="B7" s="27" t="s">
        <v>85</v>
      </c>
      <c r="C7" s="88" t="s">
        <v>231</v>
      </c>
    </row>
    <row r="8" spans="1:7" ht="16.5" customHeight="1">
      <c r="A8" s="24">
        <v>3</v>
      </c>
      <c r="B8" s="27" t="s">
        <v>86</v>
      </c>
      <c r="C8" s="88" t="s">
        <v>243</v>
      </c>
    </row>
    <row r="9" spans="1:7" ht="19.5" customHeight="1">
      <c r="A9" s="30">
        <v>4</v>
      </c>
      <c r="B9" s="50" t="s">
        <v>189</v>
      </c>
      <c r="C9" s="31">
        <v>568</v>
      </c>
    </row>
    <row r="10" spans="1:7" ht="18" customHeight="1">
      <c r="A10" s="30">
        <v>5</v>
      </c>
      <c r="B10" s="50" t="s">
        <v>190</v>
      </c>
      <c r="C10" s="108" t="s">
        <v>232</v>
      </c>
      <c r="E10" s="28"/>
      <c r="F10" s="29"/>
      <c r="G10" s="28"/>
    </row>
    <row r="11" spans="1:7" ht="19.5" customHeight="1">
      <c r="A11" s="30">
        <v>6</v>
      </c>
      <c r="B11" s="50" t="s">
        <v>191</v>
      </c>
      <c r="C11" s="31">
        <v>75.457499999999996</v>
      </c>
    </row>
    <row r="12" spans="1:7" ht="84" customHeight="1">
      <c r="A12" s="24">
        <v>7</v>
      </c>
      <c r="B12" s="27" t="s">
        <v>4</v>
      </c>
      <c r="C12" s="108" t="s">
        <v>285</v>
      </c>
    </row>
    <row r="13" spans="1:7" ht="31.05" customHeight="1">
      <c r="A13" s="24">
        <v>8</v>
      </c>
      <c r="B13" s="27" t="s">
        <v>87</v>
      </c>
      <c r="C13" s="89" t="s">
        <v>192</v>
      </c>
    </row>
    <row r="14" spans="1:7" ht="30.6" customHeight="1">
      <c r="A14" s="34">
        <v>9</v>
      </c>
      <c r="B14" s="35" t="s">
        <v>5</v>
      </c>
      <c r="C14" s="36"/>
    </row>
    <row r="15" spans="1:7" ht="17.100000000000001" customHeight="1">
      <c r="A15" s="37"/>
      <c r="B15" s="38" t="s">
        <v>88</v>
      </c>
      <c r="C15" s="39" t="s">
        <v>187</v>
      </c>
    </row>
    <row r="16" spans="1:7" ht="44.1" customHeight="1">
      <c r="A16" s="34"/>
      <c r="B16" s="57" t="s">
        <v>89</v>
      </c>
      <c r="C16" s="36" t="s">
        <v>142</v>
      </c>
    </row>
    <row r="17" spans="1:5" ht="34.5" customHeight="1">
      <c r="A17" s="34"/>
      <c r="B17" s="93" t="s">
        <v>193</v>
      </c>
      <c r="C17" s="94">
        <v>0.78200000000000003</v>
      </c>
      <c r="E17" s="32"/>
    </row>
    <row r="18" spans="1:5" ht="17.55" customHeight="1">
      <c r="A18" s="37"/>
      <c r="B18" s="93" t="s">
        <v>196</v>
      </c>
      <c r="C18" s="91" t="s">
        <v>203</v>
      </c>
      <c r="E18" s="92"/>
    </row>
    <row r="19" spans="1:5" ht="14.55" customHeight="1">
      <c r="A19" s="37"/>
      <c r="B19" s="93" t="s">
        <v>197</v>
      </c>
      <c r="C19" s="36" t="s">
        <v>195</v>
      </c>
    </row>
    <row r="20" spans="1:5" ht="14.85" customHeight="1">
      <c r="A20" s="37"/>
      <c r="B20" s="40" t="s">
        <v>198</v>
      </c>
      <c r="C20" s="90" t="s">
        <v>194</v>
      </c>
    </row>
    <row r="21" spans="1:5" ht="19.350000000000001" customHeight="1">
      <c r="A21" s="37"/>
      <c r="B21" s="40" t="s">
        <v>199</v>
      </c>
      <c r="C21" s="36" t="s">
        <v>171</v>
      </c>
    </row>
    <row r="22" spans="1:5" ht="19.2" customHeight="1">
      <c r="A22" s="37"/>
      <c r="B22" s="40" t="s">
        <v>200</v>
      </c>
      <c r="C22" s="36" t="s">
        <v>143</v>
      </c>
    </row>
    <row r="23" spans="1:5" ht="18.45" customHeight="1">
      <c r="A23" s="37"/>
      <c r="B23" s="40" t="s">
        <v>201</v>
      </c>
      <c r="C23" s="36" t="s">
        <v>145</v>
      </c>
    </row>
    <row r="24" spans="1:5" ht="16.5" customHeight="1">
      <c r="A24" s="37"/>
      <c r="B24" s="40" t="s">
        <v>202</v>
      </c>
      <c r="C24" s="36" t="s">
        <v>144</v>
      </c>
    </row>
    <row r="25" spans="1:5" ht="14.55" customHeight="1">
      <c r="A25" s="37"/>
      <c r="B25" s="40" t="s">
        <v>90</v>
      </c>
      <c r="C25" s="36" t="s">
        <v>146</v>
      </c>
    </row>
    <row r="26" spans="1:5" ht="17.7" customHeight="1">
      <c r="A26" s="37"/>
      <c r="B26" s="40" t="s">
        <v>91</v>
      </c>
      <c r="C26" s="36" t="s">
        <v>151</v>
      </c>
    </row>
    <row r="27" spans="1:5" ht="15.6">
      <c r="A27" s="37"/>
      <c r="B27" s="40" t="s">
        <v>92</v>
      </c>
      <c r="C27" s="36" t="s">
        <v>147</v>
      </c>
    </row>
    <row r="28" spans="1:5" ht="15" customHeight="1">
      <c r="A28" s="37"/>
      <c r="B28" s="93" t="s">
        <v>93</v>
      </c>
      <c r="C28" s="41" t="s">
        <v>148</v>
      </c>
    </row>
    <row r="29" spans="1:5" ht="15" customHeight="1">
      <c r="A29" s="34">
        <v>10</v>
      </c>
      <c r="B29" s="40" t="s">
        <v>6</v>
      </c>
      <c r="C29" s="36" t="s">
        <v>149</v>
      </c>
    </row>
    <row r="30" spans="1:5" ht="15.6" customHeight="1">
      <c r="A30" s="56">
        <v>11</v>
      </c>
      <c r="B30" s="55" t="s">
        <v>7</v>
      </c>
      <c r="C30" s="40" t="s">
        <v>150</v>
      </c>
    </row>
    <row r="31" spans="1:5" ht="14.55" customHeight="1">
      <c r="A31" s="56">
        <v>12</v>
      </c>
      <c r="B31" s="55" t="s">
        <v>94</v>
      </c>
      <c r="C31" s="40" t="s">
        <v>185</v>
      </c>
    </row>
    <row r="32" spans="1:5" ht="28.8">
      <c r="A32" s="95">
        <v>13</v>
      </c>
      <c r="B32" s="96" t="s">
        <v>74</v>
      </c>
      <c r="C32" s="93" t="s">
        <v>186</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dimension ref="A1:C38"/>
  <sheetViews>
    <sheetView showWhiteSpace="0" view="pageLayout" zoomScaleNormal="95" workbookViewId="0">
      <selection activeCell="B16" sqref="B16"/>
    </sheetView>
  </sheetViews>
  <sheetFormatPr defaultColWidth="9.88671875" defaultRowHeight="14.4"/>
  <cols>
    <col min="1" max="1" width="4" style="20" customWidth="1"/>
    <col min="2" max="2" width="50" style="20" customWidth="1"/>
    <col min="3" max="3" width="34.77734375" style="20" customWidth="1"/>
    <col min="4" max="4" width="9.88671875" style="20" customWidth="1"/>
    <col min="5" max="16384" width="9.88671875" style="20"/>
  </cols>
  <sheetData>
    <row r="1" spans="1:3" ht="17.399999999999999">
      <c r="A1" s="145" t="s">
        <v>8</v>
      </c>
      <c r="B1" s="145"/>
      <c r="C1" s="145"/>
    </row>
    <row r="2" spans="1:3" ht="17.399999999999999">
      <c r="A2" s="145" t="s">
        <v>9</v>
      </c>
      <c r="B2" s="145"/>
      <c r="C2" s="145"/>
    </row>
    <row r="3" spans="1:3">
      <c r="C3" s="42"/>
    </row>
    <row r="4" spans="1:3" ht="15.6">
      <c r="A4" s="21" t="s">
        <v>95</v>
      </c>
      <c r="B4" s="43"/>
      <c r="C4" s="22" t="s">
        <v>84</v>
      </c>
    </row>
    <row r="5" spans="1:3" ht="15.6">
      <c r="A5" s="43"/>
      <c r="B5" s="43"/>
      <c r="C5" s="43"/>
    </row>
    <row r="6" spans="1:3" s="45" customFormat="1" ht="27" customHeight="1">
      <c r="A6" s="97" t="s">
        <v>26</v>
      </c>
      <c r="B6" s="44" t="s">
        <v>3</v>
      </c>
      <c r="C6" s="44" t="s">
        <v>10</v>
      </c>
    </row>
    <row r="7" spans="1:3" ht="18" customHeight="1">
      <c r="A7" s="30">
        <v>1</v>
      </c>
      <c r="B7" s="48" t="s">
        <v>188</v>
      </c>
      <c r="C7" s="26" t="str">
        <f>'Form-1'!C6</f>
        <v>Sullia</v>
      </c>
    </row>
    <row r="8" spans="1:3" ht="18.45" customHeight="1">
      <c r="A8" s="30">
        <v>2</v>
      </c>
      <c r="B8" s="49" t="s">
        <v>204</v>
      </c>
      <c r="C8" s="26" t="str">
        <f>'Form-1'!C7</f>
        <v>Pumale RF</v>
      </c>
    </row>
    <row r="9" spans="1:3" ht="22.05" customHeight="1">
      <c r="A9" s="30">
        <v>3</v>
      </c>
      <c r="B9" s="49" t="s">
        <v>86</v>
      </c>
      <c r="C9" s="26" t="str">
        <f>'Form-1'!C8</f>
        <v>X-8</v>
      </c>
    </row>
    <row r="10" spans="1:3" ht="18" customHeight="1">
      <c r="A10" s="30">
        <v>4</v>
      </c>
      <c r="B10" s="50" t="s">
        <v>205</v>
      </c>
      <c r="C10" s="26">
        <f>'Form-1'!C9</f>
        <v>568</v>
      </c>
    </row>
    <row r="11" spans="1:3" ht="21.75" customHeight="1">
      <c r="A11" s="30">
        <v>5</v>
      </c>
      <c r="B11" s="50" t="s">
        <v>190</v>
      </c>
      <c r="C11" s="26" t="str">
        <f>'Form-1'!C10</f>
        <v>12.5651</v>
      </c>
    </row>
    <row r="12" spans="1:3" ht="18" customHeight="1">
      <c r="A12" s="30">
        <v>6</v>
      </c>
      <c r="B12" s="50" t="s">
        <v>191</v>
      </c>
      <c r="C12" s="26">
        <f>'Form-1'!C11</f>
        <v>75.457499999999996</v>
      </c>
    </row>
    <row r="13" spans="1:3" ht="18.75" customHeight="1">
      <c r="A13" s="30">
        <v>7</v>
      </c>
      <c r="B13" s="50" t="s">
        <v>206</v>
      </c>
      <c r="C13" s="31" t="s">
        <v>233</v>
      </c>
    </row>
    <row r="14" spans="1:3" ht="29.1" customHeight="1">
      <c r="A14" s="24">
        <v>8</v>
      </c>
      <c r="B14" s="51" t="s">
        <v>98</v>
      </c>
      <c r="C14" s="27" t="s">
        <v>152</v>
      </c>
    </row>
    <row r="15" spans="1:3" ht="29.1" customHeight="1">
      <c r="A15" s="24">
        <v>9</v>
      </c>
      <c r="B15" s="51" t="s">
        <v>99</v>
      </c>
      <c r="C15" s="17" t="s">
        <v>153</v>
      </c>
    </row>
    <row r="16" spans="1:3" ht="29.1" customHeight="1">
      <c r="A16" s="24">
        <v>10</v>
      </c>
      <c r="B16" s="51" t="s">
        <v>100</v>
      </c>
      <c r="C16" s="27" t="s">
        <v>154</v>
      </c>
    </row>
    <row r="17" spans="1:3" ht="17.25" customHeight="1">
      <c r="A17" s="24">
        <v>11</v>
      </c>
      <c r="B17" s="51" t="s">
        <v>101</v>
      </c>
      <c r="C17" s="87" t="s">
        <v>207</v>
      </c>
    </row>
    <row r="18" spans="1:3" ht="29.1" customHeight="1">
      <c r="A18" s="24">
        <v>12</v>
      </c>
      <c r="B18" s="51" t="s">
        <v>102</v>
      </c>
      <c r="C18" s="27" t="s">
        <v>142</v>
      </c>
    </row>
    <row r="19" spans="1:3" ht="29.1" customHeight="1">
      <c r="A19" s="24">
        <v>13</v>
      </c>
      <c r="B19" s="51" t="s">
        <v>103</v>
      </c>
      <c r="C19" s="27" t="s">
        <v>155</v>
      </c>
    </row>
    <row r="20" spans="1:3" ht="16.05" customHeight="1">
      <c r="A20" s="24">
        <v>14</v>
      </c>
      <c r="B20" s="52" t="s">
        <v>11</v>
      </c>
      <c r="C20" s="36"/>
    </row>
    <row r="21" spans="1:3" ht="15.45" customHeight="1">
      <c r="A21" s="33"/>
      <c r="B21" s="52" t="s">
        <v>208</v>
      </c>
      <c r="C21" s="47" t="str">
        <f>'Form-1'!C19</f>
        <v>Lateritic soil</v>
      </c>
    </row>
    <row r="22" spans="1:3" ht="15.45" customHeight="1">
      <c r="A22" s="33"/>
      <c r="B22" s="52" t="s">
        <v>210</v>
      </c>
      <c r="C22" s="47" t="s">
        <v>213</v>
      </c>
    </row>
    <row r="23" spans="1:3" ht="17.55" customHeight="1">
      <c r="A23" s="33"/>
      <c r="B23" s="98" t="s">
        <v>209</v>
      </c>
      <c r="C23" s="47" t="s">
        <v>214</v>
      </c>
    </row>
    <row r="24" spans="1:3" ht="17.100000000000001" customHeight="1">
      <c r="A24" s="24">
        <v>15</v>
      </c>
      <c r="B24" s="20" t="s">
        <v>211</v>
      </c>
      <c r="C24" s="46" t="s">
        <v>156</v>
      </c>
    </row>
    <row r="25" spans="1:3" ht="16.05" customHeight="1">
      <c r="A25" s="24">
        <v>16</v>
      </c>
      <c r="B25" s="51" t="s">
        <v>104</v>
      </c>
      <c r="C25" s="99">
        <v>0.5</v>
      </c>
    </row>
    <row r="26" spans="1:3" ht="18.600000000000001" customHeight="1">
      <c r="A26" s="24">
        <v>17</v>
      </c>
      <c r="B26" s="51" t="s">
        <v>105</v>
      </c>
      <c r="C26" s="27" t="s">
        <v>157</v>
      </c>
    </row>
    <row r="27" spans="1:3" ht="59.55" customHeight="1">
      <c r="A27" s="24">
        <v>18</v>
      </c>
      <c r="B27" s="51" t="s">
        <v>106</v>
      </c>
      <c r="C27" s="101" t="s">
        <v>215</v>
      </c>
    </row>
    <row r="28" spans="1:3" ht="18" customHeight="1">
      <c r="A28" s="24">
        <v>19</v>
      </c>
      <c r="B28" s="53" t="s">
        <v>107</v>
      </c>
      <c r="C28" s="27" t="s">
        <v>158</v>
      </c>
    </row>
    <row r="29" spans="1:3" ht="17.55" customHeight="1">
      <c r="A29" s="24">
        <v>20</v>
      </c>
      <c r="B29" s="53" t="s">
        <v>108</v>
      </c>
      <c r="C29" s="27" t="s">
        <v>216</v>
      </c>
    </row>
    <row r="30" spans="1:3" ht="30" customHeight="1">
      <c r="A30" s="24">
        <v>21</v>
      </c>
      <c r="B30" s="54" t="s">
        <v>109</v>
      </c>
      <c r="C30" s="27" t="s">
        <v>159</v>
      </c>
    </row>
    <row r="31" spans="1:3" ht="33" customHeight="1">
      <c r="A31" s="24">
        <v>22</v>
      </c>
      <c r="B31" s="51" t="s">
        <v>110</v>
      </c>
      <c r="C31" s="27" t="s">
        <v>159</v>
      </c>
    </row>
    <row r="32" spans="1:3" ht="16.5" customHeight="1">
      <c r="A32" s="24">
        <v>23</v>
      </c>
      <c r="B32" s="52" t="s">
        <v>96</v>
      </c>
      <c r="C32" s="27" t="s">
        <v>148</v>
      </c>
    </row>
    <row r="33" spans="1:3" ht="16.5" customHeight="1">
      <c r="A33" s="24">
        <v>24</v>
      </c>
      <c r="B33" s="52" t="s">
        <v>112</v>
      </c>
      <c r="C33" s="27" t="s">
        <v>217</v>
      </c>
    </row>
    <row r="34" spans="1:3" ht="16.05" customHeight="1">
      <c r="A34" s="24">
        <v>25</v>
      </c>
      <c r="B34" s="52" t="s">
        <v>97</v>
      </c>
      <c r="C34" s="27" t="s">
        <v>160</v>
      </c>
    </row>
    <row r="35" spans="1:3" ht="45.45" customHeight="1">
      <c r="A35" s="24">
        <v>26</v>
      </c>
      <c r="B35" s="51" t="s">
        <v>212</v>
      </c>
      <c r="C35" s="101" t="s">
        <v>161</v>
      </c>
    </row>
    <row r="36" spans="1:3" ht="14.55" customHeight="1">
      <c r="A36" s="24">
        <v>27</v>
      </c>
      <c r="B36" s="53" t="s">
        <v>12</v>
      </c>
      <c r="C36" s="27" t="s">
        <v>148</v>
      </c>
    </row>
    <row r="37" spans="1:3" ht="18.600000000000001" customHeight="1">
      <c r="A37" s="24">
        <v>28</v>
      </c>
      <c r="B37" s="51" t="s">
        <v>13</v>
      </c>
      <c r="C37" s="27" t="s">
        <v>148</v>
      </c>
    </row>
    <row r="38" spans="1:3" ht="15.6">
      <c r="A38" s="100">
        <v>29</v>
      </c>
      <c r="B38" s="93" t="s">
        <v>111</v>
      </c>
      <c r="C38" s="94">
        <v>0.86199999999999999</v>
      </c>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L65"/>
  <sheetViews>
    <sheetView tabSelected="1" workbookViewId="0">
      <selection activeCell="C12" sqref="C12"/>
    </sheetView>
  </sheetViews>
  <sheetFormatPr defaultRowHeight="14.4"/>
  <cols>
    <col min="1" max="1" width="4.5546875" customWidth="1"/>
    <col min="2" max="2" width="12.21875" customWidth="1"/>
    <col min="3" max="3" width="15.21875" style="120" customWidth="1"/>
    <col min="4" max="4" width="14.77734375" style="121"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77" t="s">
        <v>244</v>
      </c>
      <c r="B1" s="177"/>
      <c r="C1" s="177"/>
      <c r="D1" s="177"/>
      <c r="E1" s="177"/>
      <c r="F1" s="177"/>
      <c r="G1" s="177"/>
      <c r="H1" s="177"/>
      <c r="I1" s="177"/>
      <c r="J1" s="177"/>
      <c r="K1" s="177"/>
      <c r="L1" s="177"/>
    </row>
    <row r="2" spans="1:12" ht="15.6" customHeight="1">
      <c r="A2" s="177" t="s">
        <v>245</v>
      </c>
      <c r="B2" s="177"/>
      <c r="C2" s="177"/>
      <c r="D2" s="177"/>
      <c r="E2" s="177"/>
      <c r="F2" s="177"/>
      <c r="G2" s="177"/>
      <c r="H2" s="177"/>
      <c r="I2" s="177"/>
      <c r="J2" s="177"/>
      <c r="K2" s="177"/>
      <c r="L2" s="177"/>
    </row>
    <row r="3" spans="1:12" ht="15.6" customHeight="1">
      <c r="A3" s="177" t="s">
        <v>246</v>
      </c>
      <c r="B3" s="177"/>
      <c r="C3" s="177"/>
      <c r="D3" s="177"/>
      <c r="E3" s="177"/>
      <c r="F3" s="177"/>
      <c r="G3" s="177"/>
      <c r="H3" s="177"/>
      <c r="I3" s="177"/>
      <c r="J3" s="177"/>
      <c r="K3" s="177"/>
      <c r="L3" s="177"/>
    </row>
    <row r="4" spans="1:12" ht="15.6" customHeight="1" thickBot="1">
      <c r="A4" s="178"/>
      <c r="B4" s="178"/>
      <c r="C4" s="178"/>
      <c r="D4" s="178"/>
      <c r="E4" s="178"/>
      <c r="F4" s="178"/>
      <c r="G4" s="178"/>
      <c r="H4" s="178"/>
      <c r="I4" s="178"/>
      <c r="J4" s="178"/>
      <c r="K4" s="178"/>
      <c r="L4" s="178"/>
    </row>
    <row r="5" spans="1:12" ht="15.6" customHeight="1">
      <c r="A5" s="179" t="s">
        <v>247</v>
      </c>
      <c r="B5" s="180"/>
      <c r="C5" s="181" t="str">
        <f>'Form-1'!C8</f>
        <v>X-8</v>
      </c>
      <c r="D5" s="182"/>
      <c r="E5" s="183" t="s">
        <v>248</v>
      </c>
      <c r="F5" s="181"/>
      <c r="G5" s="181"/>
      <c r="H5" s="181"/>
      <c r="I5" s="182"/>
      <c r="J5" s="110" t="s">
        <v>249</v>
      </c>
      <c r="K5" s="180"/>
      <c r="L5" s="184"/>
    </row>
    <row r="6" spans="1:12" ht="15.6" customHeight="1">
      <c r="A6" s="165" t="s">
        <v>250</v>
      </c>
      <c r="B6" s="166"/>
      <c r="C6" s="167" t="str">
        <f>'[1]Form-1'!C6</f>
        <v>Sullia</v>
      </c>
      <c r="D6" s="168"/>
      <c r="E6" s="111" t="s">
        <v>251</v>
      </c>
      <c r="F6" s="112"/>
      <c r="G6" s="167" t="str">
        <f>'[2]Form 1'!C3</f>
        <v>Mangalore</v>
      </c>
      <c r="H6" s="167"/>
      <c r="I6" s="168"/>
      <c r="J6" s="111" t="s">
        <v>252</v>
      </c>
      <c r="K6" s="167" t="str">
        <f>'Form-2'!C13</f>
        <v>261 mts MSL</v>
      </c>
      <c r="L6" s="169"/>
    </row>
    <row r="7" spans="1:12" ht="15.6" customHeight="1" thickBot="1">
      <c r="A7" s="170" t="s">
        <v>253</v>
      </c>
      <c r="B7" s="171"/>
      <c r="C7" s="172" t="str">
        <f>'Form-1'!C10</f>
        <v>12.5651</v>
      </c>
      <c r="D7" s="173"/>
      <c r="E7" s="113" t="s">
        <v>254</v>
      </c>
      <c r="F7" s="114"/>
      <c r="G7" s="174">
        <f>'Form-1'!C11</f>
        <v>75.457499999999996</v>
      </c>
      <c r="H7" s="174"/>
      <c r="I7" s="175"/>
      <c r="J7" s="113" t="s">
        <v>255</v>
      </c>
      <c r="K7" s="174">
        <f>'Form-1'!C9</f>
        <v>568</v>
      </c>
      <c r="L7" s="176"/>
    </row>
    <row r="8" spans="1:12" ht="15.6" customHeight="1" thickBot="1">
      <c r="A8" s="5"/>
      <c r="B8" s="5"/>
      <c r="C8" s="115"/>
      <c r="D8" s="116"/>
      <c r="E8" s="1"/>
      <c r="F8" s="1"/>
      <c r="G8" s="1"/>
      <c r="H8" s="1"/>
      <c r="I8" s="1"/>
      <c r="J8" s="1"/>
      <c r="K8" s="1"/>
      <c r="L8" s="1"/>
    </row>
    <row r="9" spans="1:12" ht="18.600000000000001" customHeight="1">
      <c r="A9" s="152" t="s">
        <v>26</v>
      </c>
      <c r="B9" s="154" t="s">
        <v>27</v>
      </c>
      <c r="C9" s="155"/>
      <c r="D9" s="158" t="s">
        <v>28</v>
      </c>
      <c r="E9" s="160" t="s">
        <v>256</v>
      </c>
      <c r="F9" s="117" t="s">
        <v>257</v>
      </c>
      <c r="G9" s="160" t="s">
        <v>258</v>
      </c>
      <c r="H9" s="162" t="s">
        <v>31</v>
      </c>
      <c r="I9" s="163"/>
      <c r="J9" s="163"/>
      <c r="K9" s="164"/>
      <c r="L9" s="148" t="s">
        <v>259</v>
      </c>
    </row>
    <row r="10" spans="1:12" ht="49.05" customHeight="1">
      <c r="A10" s="153"/>
      <c r="B10" s="156"/>
      <c r="C10" s="157"/>
      <c r="D10" s="159"/>
      <c r="E10" s="161"/>
      <c r="F10" s="109" t="s">
        <v>260</v>
      </c>
      <c r="G10" s="161"/>
      <c r="H10" s="150" t="s">
        <v>261</v>
      </c>
      <c r="I10" s="151"/>
      <c r="J10" s="150" t="s">
        <v>34</v>
      </c>
      <c r="K10" s="151"/>
      <c r="L10" s="149"/>
    </row>
    <row r="11" spans="1:12" ht="15.6" customHeight="1">
      <c r="A11" s="141">
        <v>1</v>
      </c>
      <c r="B11" s="142" t="s">
        <v>234</v>
      </c>
      <c r="C11" s="143"/>
      <c r="D11" s="118" t="s">
        <v>173</v>
      </c>
      <c r="E11" s="80">
        <v>74</v>
      </c>
      <c r="F11" s="80">
        <v>74</v>
      </c>
      <c r="G11" s="80">
        <v>10</v>
      </c>
      <c r="H11" s="146"/>
      <c r="I11" s="146"/>
      <c r="J11" s="147"/>
      <c r="K11" s="147"/>
      <c r="L11" s="141"/>
    </row>
    <row r="12" spans="1:12" ht="15.6" customHeight="1">
      <c r="A12" s="141">
        <v>2</v>
      </c>
      <c r="B12" s="142" t="s">
        <v>235</v>
      </c>
      <c r="C12" s="143"/>
      <c r="D12" s="118" t="s">
        <v>172</v>
      </c>
      <c r="E12" s="80">
        <v>59</v>
      </c>
      <c r="F12" s="80">
        <v>59</v>
      </c>
      <c r="G12" s="80">
        <v>8</v>
      </c>
      <c r="H12" s="146"/>
      <c r="I12" s="146"/>
      <c r="J12" s="147"/>
      <c r="K12" s="147"/>
      <c r="L12" s="141"/>
    </row>
    <row r="13" spans="1:12" ht="15.6" customHeight="1">
      <c r="A13" s="141">
        <v>3</v>
      </c>
      <c r="B13" s="142" t="s">
        <v>236</v>
      </c>
      <c r="C13" s="143"/>
      <c r="D13" s="118" t="s">
        <v>178</v>
      </c>
      <c r="E13" s="80">
        <v>97</v>
      </c>
      <c r="F13" s="80">
        <v>97</v>
      </c>
      <c r="G13" s="80">
        <v>10</v>
      </c>
      <c r="H13" s="146"/>
      <c r="I13" s="146"/>
      <c r="J13" s="147"/>
      <c r="K13" s="147"/>
      <c r="L13" s="141"/>
    </row>
    <row r="14" spans="1:12" ht="15.6" customHeight="1">
      <c r="A14" s="141">
        <v>4</v>
      </c>
      <c r="B14" s="142" t="s">
        <v>235</v>
      </c>
      <c r="C14" s="143"/>
      <c r="D14" s="118" t="s">
        <v>172</v>
      </c>
      <c r="E14" s="80">
        <v>56</v>
      </c>
      <c r="F14" s="80">
        <v>56</v>
      </c>
      <c r="G14" s="80">
        <v>7</v>
      </c>
      <c r="H14" s="146"/>
      <c r="I14" s="146"/>
      <c r="J14" s="147"/>
      <c r="K14" s="147"/>
      <c r="L14" s="141"/>
    </row>
    <row r="15" spans="1:12" ht="15.6" customHeight="1">
      <c r="A15" s="141">
        <v>5</v>
      </c>
      <c r="B15" s="142" t="s">
        <v>235</v>
      </c>
      <c r="C15" s="143"/>
      <c r="D15" s="118" t="s">
        <v>172</v>
      </c>
      <c r="E15" s="80">
        <v>68</v>
      </c>
      <c r="F15" s="80">
        <v>68</v>
      </c>
      <c r="G15" s="80">
        <v>7</v>
      </c>
      <c r="H15" s="146"/>
      <c r="I15" s="146"/>
      <c r="J15" s="147"/>
      <c r="K15" s="147"/>
      <c r="L15" s="141"/>
    </row>
    <row r="16" spans="1:12" ht="15.6" customHeight="1">
      <c r="A16" s="141">
        <v>6</v>
      </c>
      <c r="B16" s="142" t="s">
        <v>235</v>
      </c>
      <c r="C16" s="143"/>
      <c r="D16" s="118" t="s">
        <v>172</v>
      </c>
      <c r="E16" s="80">
        <v>48</v>
      </c>
      <c r="F16" s="80">
        <v>48</v>
      </c>
      <c r="G16" s="80">
        <v>10</v>
      </c>
      <c r="H16" s="146"/>
      <c r="I16" s="146"/>
      <c r="J16" s="147"/>
      <c r="K16" s="147"/>
      <c r="L16" s="141"/>
    </row>
    <row r="17" spans="1:12" ht="15.6" customHeight="1">
      <c r="A17" s="141">
        <v>7</v>
      </c>
      <c r="B17" s="142" t="s">
        <v>281</v>
      </c>
      <c r="C17" s="143"/>
      <c r="D17" s="118" t="s">
        <v>179</v>
      </c>
      <c r="E17" s="80">
        <v>35</v>
      </c>
      <c r="F17" s="80">
        <v>35</v>
      </c>
      <c r="G17" s="80">
        <v>8</v>
      </c>
      <c r="H17" s="146"/>
      <c r="I17" s="146"/>
      <c r="J17" s="147"/>
      <c r="K17" s="147"/>
      <c r="L17" s="141"/>
    </row>
    <row r="18" spans="1:12" ht="15.6" customHeight="1">
      <c r="A18" s="141">
        <v>8</v>
      </c>
      <c r="B18" s="142" t="s">
        <v>234</v>
      </c>
      <c r="C18" s="143"/>
      <c r="D18" s="118" t="s">
        <v>173</v>
      </c>
      <c r="E18" s="80">
        <v>68</v>
      </c>
      <c r="F18" s="80">
        <v>68</v>
      </c>
      <c r="G18" s="80">
        <v>10</v>
      </c>
      <c r="H18" s="146"/>
      <c r="I18" s="146"/>
      <c r="J18" s="147"/>
      <c r="K18" s="147"/>
      <c r="L18" s="141"/>
    </row>
    <row r="19" spans="1:12" ht="15.6">
      <c r="A19" s="141">
        <v>9</v>
      </c>
      <c r="B19" s="142" t="s">
        <v>236</v>
      </c>
      <c r="C19" s="143"/>
      <c r="D19" s="118" t="s">
        <v>178</v>
      </c>
      <c r="E19" s="80">
        <v>63</v>
      </c>
      <c r="F19" s="80">
        <v>63</v>
      </c>
      <c r="G19" s="80">
        <v>10</v>
      </c>
      <c r="H19" s="146"/>
      <c r="I19" s="146"/>
      <c r="J19" s="147"/>
      <c r="K19" s="147"/>
      <c r="L19" s="141"/>
    </row>
    <row r="20" spans="1:12" ht="15.6" customHeight="1">
      <c r="A20" s="141">
        <v>10</v>
      </c>
      <c r="B20" s="142" t="s">
        <v>235</v>
      </c>
      <c r="C20" s="143"/>
      <c r="D20" s="118" t="s">
        <v>172</v>
      </c>
      <c r="E20" s="80">
        <v>53</v>
      </c>
      <c r="F20" s="80">
        <v>53</v>
      </c>
      <c r="G20" s="80">
        <v>10</v>
      </c>
      <c r="H20" s="146"/>
      <c r="I20" s="146"/>
      <c r="J20" s="147"/>
      <c r="K20" s="147"/>
      <c r="L20" s="141"/>
    </row>
    <row r="21" spans="1:12" ht="15.6" customHeight="1">
      <c r="A21" s="141">
        <v>11</v>
      </c>
      <c r="B21" s="142" t="s">
        <v>234</v>
      </c>
      <c r="C21" s="143"/>
      <c r="D21" s="118" t="s">
        <v>173</v>
      </c>
      <c r="E21" s="80">
        <v>87</v>
      </c>
      <c r="F21" s="80">
        <v>87</v>
      </c>
      <c r="G21" s="80">
        <v>12</v>
      </c>
      <c r="H21" s="146"/>
      <c r="I21" s="146"/>
      <c r="J21" s="147"/>
      <c r="K21" s="147"/>
      <c r="L21" s="141"/>
    </row>
    <row r="22" spans="1:12" ht="15.6" customHeight="1">
      <c r="A22" s="141">
        <v>12</v>
      </c>
      <c r="B22" s="142" t="s">
        <v>235</v>
      </c>
      <c r="C22" s="143"/>
      <c r="D22" s="118" t="s">
        <v>172</v>
      </c>
      <c r="E22" s="80">
        <v>46</v>
      </c>
      <c r="F22" s="80">
        <v>46</v>
      </c>
      <c r="G22" s="80">
        <v>10</v>
      </c>
      <c r="H22" s="146"/>
      <c r="I22" s="146"/>
      <c r="J22" s="147"/>
      <c r="K22" s="147"/>
      <c r="L22" s="141"/>
    </row>
    <row r="23" spans="1:12" ht="15.6">
      <c r="A23" s="141">
        <v>13</v>
      </c>
      <c r="B23" s="142" t="s">
        <v>235</v>
      </c>
      <c r="C23" s="143"/>
      <c r="D23" s="118" t="s">
        <v>172</v>
      </c>
      <c r="E23" s="80">
        <v>46</v>
      </c>
      <c r="F23" s="80">
        <v>46</v>
      </c>
      <c r="G23" s="80">
        <v>10</v>
      </c>
      <c r="H23" s="146"/>
      <c r="I23" s="146"/>
      <c r="J23" s="147"/>
      <c r="K23" s="147"/>
      <c r="L23" s="141"/>
    </row>
    <row r="24" spans="1:12" ht="15.6">
      <c r="A24" s="141">
        <v>14</v>
      </c>
      <c r="B24" s="142" t="s">
        <v>235</v>
      </c>
      <c r="C24" s="143"/>
      <c r="D24" s="118" t="s">
        <v>172</v>
      </c>
      <c r="E24" s="80">
        <v>107</v>
      </c>
      <c r="F24" s="80">
        <v>107</v>
      </c>
      <c r="G24" s="80">
        <v>12</v>
      </c>
      <c r="H24" s="146"/>
      <c r="I24" s="146"/>
      <c r="J24" s="147"/>
      <c r="K24" s="147"/>
      <c r="L24" s="141"/>
    </row>
    <row r="25" spans="1:12" ht="15.6">
      <c r="A25" s="141">
        <v>15</v>
      </c>
      <c r="B25" s="142" t="s">
        <v>236</v>
      </c>
      <c r="C25" s="143"/>
      <c r="D25" s="118" t="s">
        <v>178</v>
      </c>
      <c r="E25" s="80">
        <v>46</v>
      </c>
      <c r="F25" s="80">
        <v>46</v>
      </c>
      <c r="G25" s="80">
        <v>10</v>
      </c>
      <c r="H25" s="146"/>
      <c r="I25" s="146"/>
      <c r="J25" s="147"/>
      <c r="K25" s="147"/>
      <c r="L25" s="141"/>
    </row>
    <row r="26" spans="1:12" ht="15.6">
      <c r="A26" s="141">
        <v>16</v>
      </c>
      <c r="B26" s="142" t="s">
        <v>235</v>
      </c>
      <c r="C26" s="143"/>
      <c r="D26" s="118" t="s">
        <v>172</v>
      </c>
      <c r="E26" s="80">
        <v>41</v>
      </c>
      <c r="F26" s="80">
        <v>41</v>
      </c>
      <c r="G26" s="80">
        <v>10</v>
      </c>
      <c r="H26" s="146"/>
      <c r="I26" s="146"/>
      <c r="J26" s="147"/>
      <c r="K26" s="147"/>
      <c r="L26" s="141"/>
    </row>
    <row r="27" spans="1:12" ht="15.6">
      <c r="A27" s="141">
        <v>17</v>
      </c>
      <c r="B27" s="142" t="s">
        <v>237</v>
      </c>
      <c r="C27" s="143"/>
      <c r="D27" s="118" t="s">
        <v>180</v>
      </c>
      <c r="E27" s="80">
        <v>123</v>
      </c>
      <c r="F27" s="80">
        <v>123</v>
      </c>
      <c r="G27" s="80">
        <v>15</v>
      </c>
      <c r="H27" s="146"/>
      <c r="I27" s="146"/>
      <c r="J27" s="147"/>
      <c r="K27" s="147"/>
      <c r="L27" s="141"/>
    </row>
    <row r="28" spans="1:12" ht="15.6">
      <c r="A28" s="141">
        <v>18</v>
      </c>
      <c r="B28" s="142" t="s">
        <v>235</v>
      </c>
      <c r="C28" s="143"/>
      <c r="D28" s="118" t="s">
        <v>172</v>
      </c>
      <c r="E28" s="80">
        <v>41</v>
      </c>
      <c r="F28" s="80">
        <v>41</v>
      </c>
      <c r="G28" s="80">
        <v>10</v>
      </c>
      <c r="H28" s="146"/>
      <c r="I28" s="146"/>
      <c r="J28" s="147"/>
      <c r="K28" s="147"/>
      <c r="L28" s="141"/>
    </row>
    <row r="29" spans="1:12" ht="15.6">
      <c r="A29" s="141">
        <v>19</v>
      </c>
      <c r="B29" s="142" t="s">
        <v>236</v>
      </c>
      <c r="C29" s="143"/>
      <c r="D29" s="118" t="s">
        <v>178</v>
      </c>
      <c r="E29" s="80">
        <v>39</v>
      </c>
      <c r="F29" s="80">
        <v>39</v>
      </c>
      <c r="G29" s="80">
        <v>8</v>
      </c>
      <c r="H29" s="146"/>
      <c r="I29" s="146"/>
      <c r="J29" s="147"/>
      <c r="K29" s="147"/>
      <c r="L29" s="141"/>
    </row>
    <row r="30" spans="1:12" ht="15.6">
      <c r="A30" s="141">
        <v>20</v>
      </c>
      <c r="B30" s="142" t="s">
        <v>236</v>
      </c>
      <c r="C30" s="143"/>
      <c r="D30" s="118" t="s">
        <v>178</v>
      </c>
      <c r="E30" s="80">
        <v>80</v>
      </c>
      <c r="F30" s="80">
        <v>80</v>
      </c>
      <c r="G30" s="80">
        <v>20</v>
      </c>
      <c r="H30" s="146"/>
      <c r="I30" s="146"/>
      <c r="J30" s="147"/>
      <c r="K30" s="147"/>
      <c r="L30" s="141"/>
    </row>
    <row r="31" spans="1:12" ht="15.6">
      <c r="A31" s="141">
        <v>21</v>
      </c>
      <c r="B31" s="142" t="s">
        <v>235</v>
      </c>
      <c r="C31" s="143"/>
      <c r="D31" s="118" t="s">
        <v>172</v>
      </c>
      <c r="E31" s="80">
        <v>54</v>
      </c>
      <c r="F31" s="80">
        <v>54</v>
      </c>
      <c r="G31" s="80">
        <v>10</v>
      </c>
      <c r="H31" s="146"/>
      <c r="I31" s="146"/>
      <c r="J31" s="147"/>
      <c r="K31" s="147"/>
      <c r="L31" s="141"/>
    </row>
    <row r="32" spans="1:12" ht="15.6">
      <c r="A32" s="141">
        <v>22</v>
      </c>
      <c r="B32" s="142" t="s">
        <v>234</v>
      </c>
      <c r="C32" s="143"/>
      <c r="D32" s="118" t="s">
        <v>173</v>
      </c>
      <c r="E32" s="80">
        <v>79</v>
      </c>
      <c r="F32" s="80">
        <v>79</v>
      </c>
      <c r="G32" s="80">
        <v>10</v>
      </c>
      <c r="H32" s="146"/>
      <c r="I32" s="146"/>
      <c r="J32" s="147"/>
      <c r="K32" s="147"/>
      <c r="L32" s="141"/>
    </row>
    <row r="33" spans="1:12" ht="15.6">
      <c r="A33" s="141">
        <v>23</v>
      </c>
      <c r="B33" s="142" t="s">
        <v>235</v>
      </c>
      <c r="C33" s="143"/>
      <c r="D33" s="118" t="s">
        <v>172</v>
      </c>
      <c r="E33" s="80">
        <v>36</v>
      </c>
      <c r="F33" s="80">
        <v>36</v>
      </c>
      <c r="G33" s="80">
        <v>8</v>
      </c>
      <c r="H33" s="146"/>
      <c r="I33" s="146"/>
      <c r="J33" s="147"/>
      <c r="K33" s="147"/>
      <c r="L33" s="141"/>
    </row>
    <row r="34" spans="1:12" ht="15.6">
      <c r="A34" s="141">
        <v>24</v>
      </c>
      <c r="B34" s="142" t="s">
        <v>235</v>
      </c>
      <c r="C34" s="143"/>
      <c r="D34" s="118" t="s">
        <v>172</v>
      </c>
      <c r="E34" s="80">
        <v>41</v>
      </c>
      <c r="F34" s="80">
        <v>41</v>
      </c>
      <c r="G34" s="80">
        <v>8</v>
      </c>
      <c r="H34" s="146"/>
      <c r="I34" s="146"/>
      <c r="J34" s="147"/>
      <c r="K34" s="147"/>
      <c r="L34" s="141"/>
    </row>
    <row r="35" spans="1:12" ht="15.6">
      <c r="A35" s="141">
        <v>25</v>
      </c>
      <c r="B35" s="142" t="s">
        <v>235</v>
      </c>
      <c r="C35" s="143"/>
      <c r="D35" s="118" t="s">
        <v>172</v>
      </c>
      <c r="E35" s="80">
        <v>32</v>
      </c>
      <c r="F35" s="80">
        <v>32</v>
      </c>
      <c r="G35" s="80">
        <v>7</v>
      </c>
      <c r="H35" s="146"/>
      <c r="I35" s="146"/>
      <c r="J35" s="147"/>
      <c r="K35" s="147"/>
      <c r="L35" s="141"/>
    </row>
    <row r="36" spans="1:12" ht="15.6">
      <c r="A36" s="141">
        <v>26</v>
      </c>
      <c r="B36" s="142" t="s">
        <v>235</v>
      </c>
      <c r="C36" s="143"/>
      <c r="D36" s="118" t="s">
        <v>172</v>
      </c>
      <c r="E36" s="80">
        <v>44</v>
      </c>
      <c r="F36" s="80">
        <v>44</v>
      </c>
      <c r="G36" s="80">
        <v>7</v>
      </c>
      <c r="H36" s="146"/>
      <c r="I36" s="146"/>
      <c r="J36" s="147"/>
      <c r="K36" s="147"/>
      <c r="L36" s="141"/>
    </row>
    <row r="37" spans="1:12" ht="15.6">
      <c r="A37" s="141">
        <v>27</v>
      </c>
      <c r="B37" s="142" t="s">
        <v>238</v>
      </c>
      <c r="C37" s="143"/>
      <c r="D37" s="118" t="s">
        <v>181</v>
      </c>
      <c r="E37" s="80">
        <v>42</v>
      </c>
      <c r="F37" s="80">
        <v>42</v>
      </c>
      <c r="G37" s="80">
        <v>9</v>
      </c>
      <c r="H37" s="146"/>
      <c r="I37" s="146"/>
      <c r="J37" s="147"/>
      <c r="K37" s="147"/>
      <c r="L37" s="141"/>
    </row>
    <row r="38" spans="1:12" ht="15.6">
      <c r="A38" s="141">
        <v>28</v>
      </c>
      <c r="B38" s="142" t="s">
        <v>235</v>
      </c>
      <c r="C38" s="143"/>
      <c r="D38" s="118" t="s">
        <v>172</v>
      </c>
      <c r="E38" s="80">
        <v>49</v>
      </c>
      <c r="F38" s="80">
        <v>49</v>
      </c>
      <c r="G38" s="80">
        <v>10</v>
      </c>
      <c r="H38" s="146"/>
      <c r="I38" s="146"/>
      <c r="J38" s="147"/>
      <c r="K38" s="147"/>
      <c r="L38" s="141"/>
    </row>
    <row r="39" spans="1:12" ht="15.6">
      <c r="A39" s="141">
        <v>29</v>
      </c>
      <c r="B39" s="142" t="s">
        <v>235</v>
      </c>
      <c r="C39" s="143"/>
      <c r="D39" s="118" t="s">
        <v>172</v>
      </c>
      <c r="E39" s="80">
        <v>41</v>
      </c>
      <c r="F39" s="80">
        <v>41</v>
      </c>
      <c r="G39" s="80">
        <v>8</v>
      </c>
      <c r="H39" s="146"/>
      <c r="I39" s="146"/>
      <c r="J39" s="147"/>
      <c r="K39" s="147"/>
      <c r="L39" s="141"/>
    </row>
    <row r="40" spans="1:12" ht="15.6">
      <c r="A40" s="141">
        <v>30</v>
      </c>
      <c r="B40" s="142" t="s">
        <v>237</v>
      </c>
      <c r="C40" s="143"/>
      <c r="D40" s="118" t="s">
        <v>180</v>
      </c>
      <c r="E40" s="80">
        <v>95</v>
      </c>
      <c r="F40" s="80">
        <v>95</v>
      </c>
      <c r="G40" s="80">
        <v>12</v>
      </c>
      <c r="H40" s="146"/>
      <c r="I40" s="146"/>
      <c r="J40" s="147"/>
      <c r="K40" s="147"/>
      <c r="L40" s="141"/>
    </row>
    <row r="41" spans="1:12" ht="15.6">
      <c r="A41" s="141">
        <v>31</v>
      </c>
      <c r="B41" s="142" t="s">
        <v>235</v>
      </c>
      <c r="C41" s="143"/>
      <c r="D41" s="118" t="s">
        <v>172</v>
      </c>
      <c r="E41" s="80">
        <v>65</v>
      </c>
      <c r="F41" s="80">
        <v>65</v>
      </c>
      <c r="G41" s="80">
        <v>8</v>
      </c>
      <c r="H41" s="146"/>
      <c r="I41" s="146"/>
      <c r="J41" s="147"/>
      <c r="K41" s="147"/>
      <c r="L41" s="141"/>
    </row>
    <row r="42" spans="1:12" ht="15.6">
      <c r="A42" s="141">
        <v>32</v>
      </c>
      <c r="B42" s="142" t="s">
        <v>239</v>
      </c>
      <c r="C42" s="143"/>
      <c r="D42" s="118" t="s">
        <v>162</v>
      </c>
      <c r="E42" s="80">
        <v>39</v>
      </c>
      <c r="F42" s="80">
        <v>39</v>
      </c>
      <c r="G42" s="80">
        <v>8</v>
      </c>
      <c r="H42" s="146"/>
      <c r="I42" s="146"/>
      <c r="J42" s="147"/>
      <c r="K42" s="147"/>
      <c r="L42" s="141"/>
    </row>
    <row r="43" spans="1:12" ht="15.6">
      <c r="A43" s="141">
        <v>33</v>
      </c>
      <c r="B43" s="142" t="s">
        <v>235</v>
      </c>
      <c r="C43" s="143"/>
      <c r="D43" s="118" t="s">
        <v>172</v>
      </c>
      <c r="E43" s="80">
        <v>56</v>
      </c>
      <c r="F43" s="80">
        <v>56</v>
      </c>
      <c r="G43" s="80">
        <v>9</v>
      </c>
      <c r="H43" s="146"/>
      <c r="I43" s="146"/>
      <c r="J43" s="147"/>
      <c r="K43" s="147"/>
      <c r="L43" s="141"/>
    </row>
    <row r="44" spans="1:12" ht="15.6">
      <c r="A44" s="141">
        <v>34</v>
      </c>
      <c r="B44" s="142" t="s">
        <v>240</v>
      </c>
      <c r="C44" s="143"/>
      <c r="D44" s="118" t="s">
        <v>182</v>
      </c>
      <c r="E44" s="80">
        <v>45</v>
      </c>
      <c r="F44" s="80">
        <v>45</v>
      </c>
      <c r="G44" s="80">
        <v>7</v>
      </c>
      <c r="H44" s="146"/>
      <c r="I44" s="146"/>
      <c r="J44" s="147"/>
      <c r="K44" s="147"/>
      <c r="L44" s="141"/>
    </row>
    <row r="45" spans="1:12" ht="15.6">
      <c r="A45" s="141">
        <v>35</v>
      </c>
      <c r="B45" s="142" t="s">
        <v>241</v>
      </c>
      <c r="C45" s="143"/>
      <c r="D45" s="118" t="s">
        <v>177</v>
      </c>
      <c r="E45" s="80">
        <v>132</v>
      </c>
      <c r="F45" s="80">
        <v>132</v>
      </c>
      <c r="G45" s="80">
        <v>20</v>
      </c>
      <c r="H45" s="146"/>
      <c r="I45" s="146"/>
      <c r="J45" s="147"/>
      <c r="K45" s="147"/>
      <c r="L45" s="141"/>
    </row>
    <row r="46" spans="1:12" ht="15.6">
      <c r="A46" s="141">
        <v>36</v>
      </c>
      <c r="B46" s="142" t="s">
        <v>234</v>
      </c>
      <c r="C46" s="143"/>
      <c r="D46" s="118" t="s">
        <v>173</v>
      </c>
      <c r="E46" s="80">
        <v>125</v>
      </c>
      <c r="F46" s="80">
        <v>125</v>
      </c>
      <c r="G46" s="80">
        <v>15</v>
      </c>
      <c r="H46" s="146"/>
      <c r="I46" s="146"/>
      <c r="J46" s="147"/>
      <c r="K46" s="147"/>
      <c r="L46" s="141"/>
    </row>
    <row r="47" spans="1:12" ht="15.6">
      <c r="A47" s="141">
        <v>37</v>
      </c>
      <c r="B47" s="142" t="s">
        <v>235</v>
      </c>
      <c r="C47" s="143"/>
      <c r="D47" s="118" t="s">
        <v>183</v>
      </c>
      <c r="E47" s="80">
        <v>57</v>
      </c>
      <c r="F47" s="80">
        <v>57</v>
      </c>
      <c r="G47" s="80">
        <v>8</v>
      </c>
      <c r="H47" s="146"/>
      <c r="I47" s="146"/>
      <c r="J47" s="147"/>
      <c r="K47" s="147"/>
      <c r="L47" s="141"/>
    </row>
    <row r="48" spans="1:12" ht="15.6">
      <c r="A48" s="141">
        <v>38</v>
      </c>
      <c r="B48" s="142" t="s">
        <v>235</v>
      </c>
      <c r="C48" s="143"/>
      <c r="D48" s="118" t="s">
        <v>172</v>
      </c>
      <c r="E48" s="80">
        <v>44</v>
      </c>
      <c r="F48" s="80">
        <v>44</v>
      </c>
      <c r="G48" s="80">
        <v>9</v>
      </c>
      <c r="H48" s="146"/>
      <c r="I48" s="146"/>
      <c r="J48" s="147"/>
      <c r="K48" s="147"/>
      <c r="L48" s="141"/>
    </row>
    <row r="49" spans="1:12" ht="15.6">
      <c r="A49" s="141">
        <v>39</v>
      </c>
      <c r="B49" s="142" t="s">
        <v>235</v>
      </c>
      <c r="C49" s="143"/>
      <c r="D49" s="118" t="s">
        <v>172</v>
      </c>
      <c r="E49" s="80">
        <v>45</v>
      </c>
      <c r="F49" s="80">
        <v>45</v>
      </c>
      <c r="G49" s="80">
        <v>10</v>
      </c>
      <c r="H49" s="146"/>
      <c r="I49" s="146"/>
      <c r="J49" s="147"/>
      <c r="K49" s="147"/>
      <c r="L49" s="141"/>
    </row>
    <row r="50" spans="1:12" ht="15.6">
      <c r="A50" s="141">
        <v>40</v>
      </c>
      <c r="B50" s="142" t="s">
        <v>241</v>
      </c>
      <c r="C50" s="143"/>
      <c r="D50" s="118" t="s">
        <v>177</v>
      </c>
      <c r="E50" s="80">
        <v>38</v>
      </c>
      <c r="F50" s="80">
        <v>38</v>
      </c>
      <c r="G50" s="80">
        <v>8</v>
      </c>
      <c r="H50" s="146"/>
      <c r="I50" s="146"/>
      <c r="J50" s="147"/>
      <c r="K50" s="147"/>
      <c r="L50" s="141"/>
    </row>
    <row r="51" spans="1:12" ht="15.6">
      <c r="A51" s="141">
        <v>41</v>
      </c>
      <c r="B51" s="142" t="s">
        <v>235</v>
      </c>
      <c r="C51" s="143"/>
      <c r="D51" s="118" t="s">
        <v>183</v>
      </c>
      <c r="E51" s="80">
        <v>65</v>
      </c>
      <c r="F51" s="80">
        <v>65</v>
      </c>
      <c r="G51" s="80">
        <v>10</v>
      </c>
      <c r="H51" s="146"/>
      <c r="I51" s="146"/>
      <c r="J51" s="147"/>
      <c r="K51" s="147"/>
      <c r="L51" s="141"/>
    </row>
    <row r="52" spans="1:12" ht="15.6">
      <c r="A52" s="141">
        <v>42</v>
      </c>
      <c r="B52" s="142" t="s">
        <v>241</v>
      </c>
      <c r="C52" s="143"/>
      <c r="D52" s="118" t="s">
        <v>177</v>
      </c>
      <c r="E52" s="80">
        <v>33</v>
      </c>
      <c r="F52" s="80">
        <v>33</v>
      </c>
      <c r="G52" s="80">
        <v>9</v>
      </c>
      <c r="H52" s="146"/>
      <c r="I52" s="146"/>
      <c r="J52" s="147"/>
      <c r="K52" s="147"/>
      <c r="L52" s="141"/>
    </row>
    <row r="53" spans="1:12" ht="15.6">
      <c r="A53" s="141">
        <v>43</v>
      </c>
      <c r="B53" s="142" t="s">
        <v>241</v>
      </c>
      <c r="C53" s="143"/>
      <c r="D53" s="118" t="s">
        <v>177</v>
      </c>
      <c r="E53" s="80">
        <v>38</v>
      </c>
      <c r="F53" s="80">
        <v>38</v>
      </c>
      <c r="G53" s="80">
        <v>8</v>
      </c>
      <c r="H53" s="146"/>
      <c r="I53" s="146"/>
      <c r="J53" s="147"/>
      <c r="K53" s="147"/>
      <c r="L53" s="141"/>
    </row>
    <row r="54" spans="1:12" ht="15.6">
      <c r="A54" s="141">
        <v>44</v>
      </c>
      <c r="B54" s="142" t="s">
        <v>235</v>
      </c>
      <c r="C54" s="143"/>
      <c r="D54" s="118" t="s">
        <v>172</v>
      </c>
      <c r="E54" s="80">
        <v>31</v>
      </c>
      <c r="F54" s="80">
        <v>31</v>
      </c>
      <c r="G54" s="80">
        <v>8</v>
      </c>
      <c r="H54" s="146"/>
      <c r="I54" s="146"/>
      <c r="J54" s="147"/>
      <c r="K54" s="147"/>
      <c r="L54" s="141"/>
    </row>
    <row r="55" spans="1:12" ht="15.6">
      <c r="A55" s="141">
        <v>45</v>
      </c>
      <c r="B55" s="142" t="s">
        <v>235</v>
      </c>
      <c r="C55" s="143"/>
      <c r="D55" s="118" t="s">
        <v>172</v>
      </c>
      <c r="E55" s="80">
        <v>45</v>
      </c>
      <c r="F55" s="80">
        <v>45</v>
      </c>
      <c r="G55" s="80">
        <v>10</v>
      </c>
      <c r="H55" s="146"/>
      <c r="I55" s="146"/>
      <c r="J55" s="147"/>
      <c r="K55" s="147"/>
      <c r="L55" s="141"/>
    </row>
    <row r="56" spans="1:12" ht="15.6">
      <c r="A56" s="141">
        <v>46</v>
      </c>
      <c r="B56" s="142" t="s">
        <v>234</v>
      </c>
      <c r="C56" s="143"/>
      <c r="D56" s="118" t="s">
        <v>173</v>
      </c>
      <c r="E56" s="80">
        <v>138</v>
      </c>
      <c r="F56" s="80">
        <v>138</v>
      </c>
      <c r="G56" s="80">
        <v>15</v>
      </c>
      <c r="H56" s="146"/>
      <c r="I56" s="146"/>
      <c r="J56" s="147"/>
      <c r="K56" s="147"/>
      <c r="L56" s="141"/>
    </row>
    <row r="57" spans="1:12" ht="15.6">
      <c r="A57" s="141">
        <v>47</v>
      </c>
      <c r="B57" s="142" t="s">
        <v>235</v>
      </c>
      <c r="C57" s="143"/>
      <c r="D57" s="118" t="s">
        <v>172</v>
      </c>
      <c r="E57" s="80">
        <v>36</v>
      </c>
      <c r="F57" s="80">
        <v>36</v>
      </c>
      <c r="G57" s="80">
        <v>9</v>
      </c>
      <c r="H57" s="146"/>
      <c r="I57" s="146"/>
      <c r="J57" s="147"/>
      <c r="K57" s="147"/>
      <c r="L57" s="141"/>
    </row>
    <row r="58" spans="1:12" ht="15.6">
      <c r="A58" s="141">
        <v>48</v>
      </c>
      <c r="B58" s="142" t="s">
        <v>239</v>
      </c>
      <c r="C58" s="143"/>
      <c r="D58" s="118" t="s">
        <v>184</v>
      </c>
      <c r="E58" s="80">
        <v>37</v>
      </c>
      <c r="F58" s="80">
        <v>37</v>
      </c>
      <c r="G58" s="80">
        <v>8</v>
      </c>
      <c r="H58" s="146"/>
      <c r="I58" s="146"/>
      <c r="J58" s="147"/>
      <c r="K58" s="147"/>
      <c r="L58" s="141"/>
    </row>
    <row r="59" spans="1:12" ht="15.6">
      <c r="A59" s="141">
        <v>49</v>
      </c>
      <c r="B59" s="142" t="s">
        <v>234</v>
      </c>
      <c r="C59" s="143"/>
      <c r="D59" s="118" t="s">
        <v>173</v>
      </c>
      <c r="E59" s="80">
        <v>129</v>
      </c>
      <c r="F59" s="80">
        <v>129</v>
      </c>
      <c r="G59" s="80">
        <v>15</v>
      </c>
      <c r="H59" s="146"/>
      <c r="I59" s="146"/>
      <c r="J59" s="147"/>
      <c r="K59" s="147"/>
      <c r="L59" s="141"/>
    </row>
    <row r="60" spans="1:12" ht="15.6">
      <c r="A60" s="141">
        <v>50</v>
      </c>
      <c r="B60" s="142" t="s">
        <v>234</v>
      </c>
      <c r="C60" s="143"/>
      <c r="D60" s="118" t="s">
        <v>173</v>
      </c>
      <c r="E60" s="80">
        <v>109</v>
      </c>
      <c r="F60" s="80">
        <v>109</v>
      </c>
      <c r="G60" s="80">
        <v>20</v>
      </c>
      <c r="H60" s="146"/>
      <c r="I60" s="146"/>
      <c r="J60" s="147"/>
      <c r="K60" s="147"/>
      <c r="L60" s="141"/>
    </row>
    <row r="61" spans="1:12" ht="15.6">
      <c r="A61" s="141">
        <v>51</v>
      </c>
      <c r="B61" s="142" t="s">
        <v>238</v>
      </c>
      <c r="C61" s="143"/>
      <c r="D61" s="118" t="s">
        <v>181</v>
      </c>
      <c r="E61" s="80">
        <v>60</v>
      </c>
      <c r="F61" s="80">
        <v>60</v>
      </c>
      <c r="G61" s="80">
        <v>10</v>
      </c>
      <c r="H61" s="146"/>
      <c r="I61" s="146"/>
      <c r="J61" s="147"/>
      <c r="K61" s="147"/>
      <c r="L61" s="141"/>
    </row>
    <row r="62" spans="1:12" ht="15.6">
      <c r="A62" s="141">
        <v>52</v>
      </c>
      <c r="B62" s="142" t="s">
        <v>235</v>
      </c>
      <c r="C62" s="143"/>
      <c r="D62" s="118" t="s">
        <v>172</v>
      </c>
      <c r="E62" s="80">
        <v>56</v>
      </c>
      <c r="F62" s="80">
        <v>56</v>
      </c>
      <c r="G62" s="80">
        <v>10</v>
      </c>
      <c r="H62" s="146"/>
      <c r="I62" s="146"/>
      <c r="J62" s="147"/>
      <c r="K62" s="147"/>
      <c r="L62" s="141"/>
    </row>
    <row r="63" spans="1:12" ht="15.6">
      <c r="A63" s="141">
        <v>53</v>
      </c>
      <c r="B63" s="142" t="s">
        <v>234</v>
      </c>
      <c r="C63" s="143"/>
      <c r="D63" s="118" t="s">
        <v>173</v>
      </c>
      <c r="E63" s="80">
        <v>74</v>
      </c>
      <c r="F63" s="80">
        <v>74</v>
      </c>
      <c r="G63" s="80">
        <v>12</v>
      </c>
      <c r="H63" s="146"/>
      <c r="I63" s="146"/>
      <c r="J63" s="147"/>
      <c r="K63" s="147"/>
      <c r="L63" s="141"/>
    </row>
    <row r="64" spans="1:12" ht="15.6">
      <c r="A64" s="141">
        <v>54</v>
      </c>
      <c r="B64" s="142" t="s">
        <v>235</v>
      </c>
      <c r="C64" s="143"/>
      <c r="D64" s="118" t="s">
        <v>172</v>
      </c>
      <c r="E64" s="80">
        <v>57</v>
      </c>
      <c r="F64" s="80">
        <v>57</v>
      </c>
      <c r="G64" s="80">
        <v>12</v>
      </c>
      <c r="H64" s="146"/>
      <c r="I64" s="146"/>
      <c r="J64" s="147"/>
      <c r="K64" s="147"/>
      <c r="L64" s="141"/>
    </row>
    <row r="65" spans="1:12" ht="15.6">
      <c r="A65" s="119"/>
      <c r="B65" s="119"/>
      <c r="C65" s="143"/>
      <c r="D65" s="144"/>
      <c r="E65" s="119"/>
      <c r="F65" s="119"/>
      <c r="G65" s="119"/>
      <c r="H65" s="146"/>
      <c r="I65" s="146"/>
      <c r="J65" s="147"/>
      <c r="K65" s="147"/>
      <c r="L65" s="141"/>
    </row>
  </sheetData>
  <mergeCells count="135">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 ref="L9:L10"/>
    <mergeCell ref="H10:I10"/>
    <mergeCell ref="J10:K10"/>
    <mergeCell ref="H11:I11"/>
    <mergeCell ref="J11:K11"/>
    <mergeCell ref="H12:I12"/>
    <mergeCell ref="J12:K12"/>
    <mergeCell ref="A9:A10"/>
    <mergeCell ref="B9:C10"/>
    <mergeCell ref="D9:D10"/>
    <mergeCell ref="E9:E10"/>
    <mergeCell ref="G9:G10"/>
    <mergeCell ref="H9:K9"/>
    <mergeCell ref="H16:I16"/>
    <mergeCell ref="J16:K16"/>
    <mergeCell ref="H17:I17"/>
    <mergeCell ref="J17:K17"/>
    <mergeCell ref="H18:I18"/>
    <mergeCell ref="J18:K18"/>
    <mergeCell ref="H13:I13"/>
    <mergeCell ref="J13:K13"/>
    <mergeCell ref="H14:I14"/>
    <mergeCell ref="J14:K14"/>
    <mergeCell ref="H15:I15"/>
    <mergeCell ref="J15:K15"/>
    <mergeCell ref="H22:I22"/>
    <mergeCell ref="J22:K22"/>
    <mergeCell ref="H23:I23"/>
    <mergeCell ref="J23:K23"/>
    <mergeCell ref="H24:I24"/>
    <mergeCell ref="J24:K24"/>
    <mergeCell ref="H19:I19"/>
    <mergeCell ref="J19:K19"/>
    <mergeCell ref="H20:I20"/>
    <mergeCell ref="J20:K20"/>
    <mergeCell ref="H21:I21"/>
    <mergeCell ref="J21:K21"/>
    <mergeCell ref="H28:I28"/>
    <mergeCell ref="J28:K28"/>
    <mergeCell ref="H29:I29"/>
    <mergeCell ref="J29:K29"/>
    <mergeCell ref="H30:I30"/>
    <mergeCell ref="J30:K30"/>
    <mergeCell ref="H25:I25"/>
    <mergeCell ref="J25:K25"/>
    <mergeCell ref="H26:I26"/>
    <mergeCell ref="J26:K26"/>
    <mergeCell ref="H27:I27"/>
    <mergeCell ref="J27:K27"/>
    <mergeCell ref="H34:I34"/>
    <mergeCell ref="J34:K34"/>
    <mergeCell ref="H35:I35"/>
    <mergeCell ref="J35:K35"/>
    <mergeCell ref="H36:I36"/>
    <mergeCell ref="J36:K36"/>
    <mergeCell ref="H31:I31"/>
    <mergeCell ref="J31:K31"/>
    <mergeCell ref="H32:I32"/>
    <mergeCell ref="J32:K32"/>
    <mergeCell ref="H33:I33"/>
    <mergeCell ref="J33:K33"/>
    <mergeCell ref="H40:I40"/>
    <mergeCell ref="J40:K40"/>
    <mergeCell ref="H41:I41"/>
    <mergeCell ref="J41:K41"/>
    <mergeCell ref="H42:I42"/>
    <mergeCell ref="J42:K42"/>
    <mergeCell ref="H37:I37"/>
    <mergeCell ref="J37:K37"/>
    <mergeCell ref="H38:I38"/>
    <mergeCell ref="J38:K38"/>
    <mergeCell ref="H39:I39"/>
    <mergeCell ref="J39:K39"/>
    <mergeCell ref="H46:I46"/>
    <mergeCell ref="J46:K46"/>
    <mergeCell ref="H47:I47"/>
    <mergeCell ref="J47:K47"/>
    <mergeCell ref="H48:I48"/>
    <mergeCell ref="J48:K48"/>
    <mergeCell ref="H43:I43"/>
    <mergeCell ref="J43:K43"/>
    <mergeCell ref="H44:I44"/>
    <mergeCell ref="J44:K44"/>
    <mergeCell ref="H45:I45"/>
    <mergeCell ref="J45:K45"/>
    <mergeCell ref="H52:I52"/>
    <mergeCell ref="J52:K52"/>
    <mergeCell ref="H53:I53"/>
    <mergeCell ref="J53:K53"/>
    <mergeCell ref="H54:I54"/>
    <mergeCell ref="J54:K54"/>
    <mergeCell ref="H49:I49"/>
    <mergeCell ref="J49:K49"/>
    <mergeCell ref="H50:I50"/>
    <mergeCell ref="J50:K50"/>
    <mergeCell ref="H51:I51"/>
    <mergeCell ref="J51:K51"/>
    <mergeCell ref="H58:I58"/>
    <mergeCell ref="J58:K58"/>
    <mergeCell ref="H59:I59"/>
    <mergeCell ref="J59:K59"/>
    <mergeCell ref="H60:I60"/>
    <mergeCell ref="J60:K60"/>
    <mergeCell ref="H55:I55"/>
    <mergeCell ref="J55:K55"/>
    <mergeCell ref="H56:I56"/>
    <mergeCell ref="J56:K56"/>
    <mergeCell ref="H57:I57"/>
    <mergeCell ref="J57:K57"/>
    <mergeCell ref="H64:I64"/>
    <mergeCell ref="J64:K64"/>
    <mergeCell ref="H65:I65"/>
    <mergeCell ref="J65:K65"/>
    <mergeCell ref="H61:I61"/>
    <mergeCell ref="J61:K61"/>
    <mergeCell ref="H62:I62"/>
    <mergeCell ref="J62:K62"/>
    <mergeCell ref="H63:I63"/>
    <mergeCell ref="J63:K6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view="pageLayout" workbookViewId="0">
      <selection activeCell="C12" sqref="C12"/>
    </sheetView>
  </sheetViews>
  <sheetFormatPr defaultRowHeight="14.4"/>
  <cols>
    <col min="1" max="1" width="3.6640625" customWidth="1"/>
    <col min="2" max="2" width="14.21875" customWidth="1"/>
    <col min="3" max="3" width="11.33203125" customWidth="1"/>
    <col min="4" max="4" width="7.77734375" customWidth="1"/>
    <col min="5" max="13" width="4.21875" customWidth="1"/>
    <col min="15" max="15" width="7.21875" bestFit="1" customWidth="1"/>
    <col min="17" max="17" width="11.77734375" customWidth="1"/>
  </cols>
  <sheetData>
    <row r="1" spans="1:17" ht="21">
      <c r="A1" s="197" t="s">
        <v>263</v>
      </c>
      <c r="B1" s="197"/>
      <c r="C1" s="197"/>
      <c r="D1" s="197"/>
      <c r="E1" s="197"/>
      <c r="F1" s="197"/>
      <c r="G1" s="197"/>
      <c r="H1" s="197"/>
      <c r="I1" s="197"/>
      <c r="J1" s="197"/>
      <c r="K1" s="197"/>
      <c r="L1" s="197"/>
      <c r="M1" s="197"/>
      <c r="N1" s="197"/>
      <c r="O1" s="197"/>
      <c r="P1" s="197"/>
      <c r="Q1" s="197"/>
    </row>
    <row r="2" spans="1:17" ht="21">
      <c r="A2" s="197" t="s">
        <v>264</v>
      </c>
      <c r="B2" s="197"/>
      <c r="C2" s="197"/>
      <c r="D2" s="197"/>
      <c r="E2" s="197"/>
      <c r="F2" s="197"/>
      <c r="G2" s="197"/>
      <c r="H2" s="197"/>
      <c r="I2" s="197"/>
      <c r="J2" s="197"/>
      <c r="K2" s="197"/>
      <c r="L2" s="197"/>
      <c r="M2" s="197"/>
      <c r="N2" s="197"/>
      <c r="O2" s="197"/>
      <c r="P2" s="197"/>
      <c r="Q2" s="197"/>
    </row>
    <row r="3" spans="1:17">
      <c r="A3" s="122"/>
    </row>
    <row r="4" spans="1:17" ht="15" thickBot="1">
      <c r="A4" s="122"/>
    </row>
    <row r="5" spans="1:17" ht="16.2" thickBot="1">
      <c r="A5" s="191" t="s">
        <v>26</v>
      </c>
      <c r="B5" s="191" t="s">
        <v>27</v>
      </c>
      <c r="C5" s="191" t="s">
        <v>265</v>
      </c>
      <c r="D5" s="191" t="s">
        <v>266</v>
      </c>
      <c r="E5" s="199" t="s">
        <v>267</v>
      </c>
      <c r="F5" s="200"/>
      <c r="G5" s="200"/>
      <c r="H5" s="200"/>
      <c r="I5" s="200"/>
      <c r="J5" s="200"/>
      <c r="K5" s="200"/>
      <c r="L5" s="200"/>
      <c r="M5" s="201"/>
      <c r="N5" s="191" t="s">
        <v>268</v>
      </c>
      <c r="O5" s="199" t="s">
        <v>269</v>
      </c>
      <c r="P5" s="201"/>
      <c r="Q5" s="191" t="s">
        <v>270</v>
      </c>
    </row>
    <row r="6" spans="1:17" ht="15.6">
      <c r="A6" s="192"/>
      <c r="B6" s="192"/>
      <c r="C6" s="192"/>
      <c r="D6" s="192"/>
      <c r="E6" s="188" t="s">
        <v>271</v>
      </c>
      <c r="F6" s="189"/>
      <c r="G6" s="190"/>
      <c r="H6" s="188" t="s">
        <v>272</v>
      </c>
      <c r="I6" s="189"/>
      <c r="J6" s="190"/>
      <c r="K6" s="188" t="s">
        <v>273</v>
      </c>
      <c r="L6" s="189"/>
      <c r="M6" s="190"/>
      <c r="N6" s="192"/>
      <c r="O6" s="191" t="s">
        <v>274</v>
      </c>
      <c r="P6" s="191" t="s">
        <v>275</v>
      </c>
      <c r="Q6" s="192"/>
    </row>
    <row r="7" spans="1:17" ht="16.2" thickBot="1">
      <c r="A7" s="192"/>
      <c r="B7" s="192"/>
      <c r="C7" s="198"/>
      <c r="D7" s="192"/>
      <c r="E7" s="194" t="s">
        <v>276</v>
      </c>
      <c r="F7" s="195"/>
      <c r="G7" s="196"/>
      <c r="H7" s="194" t="s">
        <v>277</v>
      </c>
      <c r="I7" s="195"/>
      <c r="J7" s="196"/>
      <c r="K7" s="194" t="s">
        <v>276</v>
      </c>
      <c r="L7" s="195"/>
      <c r="M7" s="196"/>
      <c r="N7" s="192"/>
      <c r="O7" s="192"/>
      <c r="P7" s="192"/>
      <c r="Q7" s="192"/>
    </row>
    <row r="8" spans="1:17" ht="16.2" thickBot="1">
      <c r="A8" s="193"/>
      <c r="B8" s="193"/>
      <c r="C8" s="193"/>
      <c r="D8" s="193"/>
      <c r="E8" s="123" t="s">
        <v>278</v>
      </c>
      <c r="F8" s="123" t="s">
        <v>279</v>
      </c>
      <c r="G8" s="123" t="s">
        <v>262</v>
      </c>
      <c r="H8" s="123" t="s">
        <v>278</v>
      </c>
      <c r="I8" s="123" t="s">
        <v>279</v>
      </c>
      <c r="J8" s="123" t="s">
        <v>262</v>
      </c>
      <c r="K8" s="123" t="s">
        <v>278</v>
      </c>
      <c r="L8" s="123" t="s">
        <v>279</v>
      </c>
      <c r="M8" s="123" t="s">
        <v>262</v>
      </c>
      <c r="N8" s="193"/>
      <c r="O8" s="193"/>
      <c r="P8" s="193"/>
      <c r="Q8" s="193"/>
    </row>
    <row r="9" spans="1:17" ht="24.6" customHeight="1" thickBot="1">
      <c r="A9" s="185" t="s">
        <v>280</v>
      </c>
      <c r="B9" s="186"/>
      <c r="C9" s="186"/>
      <c r="D9" s="186"/>
      <c r="E9" s="186"/>
      <c r="F9" s="186"/>
      <c r="G9" s="186"/>
      <c r="H9" s="186"/>
      <c r="I9" s="186"/>
      <c r="J9" s="186"/>
      <c r="K9" s="186"/>
      <c r="L9" s="186"/>
      <c r="M9" s="186"/>
      <c r="N9" s="186"/>
      <c r="O9" s="186"/>
      <c r="P9" s="186"/>
      <c r="Q9" s="187"/>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view="pageLayout" topLeftCell="A13" workbookViewId="0">
      <selection activeCell="B21" sqref="B21"/>
    </sheetView>
  </sheetViews>
  <sheetFormatPr defaultColWidth="9.21875" defaultRowHeight="15.6"/>
  <cols>
    <col min="1" max="1" width="3.88671875" style="4" customWidth="1"/>
    <col min="2" max="2" width="29.109375" style="4" customWidth="1"/>
    <col min="3" max="3" width="15" style="4" customWidth="1"/>
    <col min="4" max="4" width="9.21875" style="4" customWidth="1"/>
    <col min="5" max="5" width="7.6640625" style="4" customWidth="1"/>
    <col min="6" max="6" width="9.21875" style="4"/>
    <col min="7" max="7" width="10.33203125" style="4" customWidth="1"/>
    <col min="8" max="8" width="16.109375" style="4" customWidth="1"/>
    <col min="9" max="10" width="9.21875" style="4"/>
    <col min="11" max="11" width="10.21875" style="4" bestFit="1" customWidth="1"/>
    <col min="12" max="16384" width="9.21875" style="4"/>
  </cols>
  <sheetData>
    <row r="1" spans="1:8" ht="18" customHeight="1">
      <c r="A1" s="208" t="s">
        <v>118</v>
      </c>
      <c r="B1" s="209"/>
      <c r="C1" s="209"/>
      <c r="D1" s="209"/>
      <c r="E1" s="209"/>
      <c r="F1" s="209"/>
      <c r="G1" s="209"/>
      <c r="H1" s="210"/>
    </row>
    <row r="2" spans="1:8" s="11" customFormat="1" ht="17.55" customHeight="1">
      <c r="A2" s="70"/>
      <c r="B2" s="71" t="s">
        <v>24</v>
      </c>
      <c r="C2" s="124">
        <f>'Form-1'!C9</f>
        <v>568</v>
      </c>
      <c r="D2" s="72"/>
      <c r="E2" s="72"/>
      <c r="F2" s="209" t="s">
        <v>25</v>
      </c>
      <c r="G2" s="209"/>
      <c r="H2" s="210"/>
    </row>
    <row r="3" spans="1:8" ht="17.55" customHeight="1">
      <c r="A3" s="204" t="s">
        <v>26</v>
      </c>
      <c r="B3" s="204" t="s">
        <v>27</v>
      </c>
      <c r="C3" s="204" t="s">
        <v>28</v>
      </c>
      <c r="D3" s="204" t="s">
        <v>29</v>
      </c>
      <c r="E3" s="204" t="s">
        <v>30</v>
      </c>
      <c r="F3" s="202" t="s">
        <v>31</v>
      </c>
      <c r="G3" s="202"/>
      <c r="H3" s="204" t="s">
        <v>32</v>
      </c>
    </row>
    <row r="4" spans="1:8" ht="46.5" customHeight="1">
      <c r="A4" s="205"/>
      <c r="B4" s="205"/>
      <c r="C4" s="205"/>
      <c r="D4" s="205"/>
      <c r="E4" s="205"/>
      <c r="F4" s="126" t="s">
        <v>33</v>
      </c>
      <c r="G4" s="126" t="s">
        <v>34</v>
      </c>
      <c r="H4" s="205"/>
    </row>
    <row r="5" spans="1:8" ht="16.5" customHeight="1">
      <c r="A5" s="64">
        <v>1</v>
      </c>
      <c r="B5" s="103"/>
      <c r="C5" s="103" t="s">
        <v>163</v>
      </c>
      <c r="D5" s="103">
        <v>0.6</v>
      </c>
      <c r="E5" s="103">
        <v>0.8</v>
      </c>
      <c r="F5" s="103"/>
      <c r="G5" s="103" t="s">
        <v>165</v>
      </c>
      <c r="H5" s="103"/>
    </row>
    <row r="6" spans="1:8" ht="16.5" customHeight="1">
      <c r="A6" s="64">
        <v>2</v>
      </c>
      <c r="B6" s="103"/>
      <c r="C6" s="103" t="s">
        <v>163</v>
      </c>
      <c r="D6" s="103">
        <v>0.3</v>
      </c>
      <c r="E6" s="103">
        <v>0.3</v>
      </c>
      <c r="F6" s="103"/>
      <c r="G6" s="103" t="s">
        <v>166</v>
      </c>
      <c r="H6" s="103"/>
    </row>
    <row r="7" spans="1:8" ht="16.5" customHeight="1">
      <c r="A7" s="64">
        <v>3</v>
      </c>
      <c r="B7" s="103"/>
      <c r="C7" s="103" t="s">
        <v>167</v>
      </c>
      <c r="D7" s="103">
        <v>0.2</v>
      </c>
      <c r="E7" s="103">
        <v>0.2</v>
      </c>
      <c r="F7" s="103"/>
      <c r="G7" s="103" t="s">
        <v>168</v>
      </c>
      <c r="H7" s="103"/>
    </row>
    <row r="8" spans="1:8" s="11" customFormat="1" ht="15" customHeight="1">
      <c r="A8" s="70"/>
      <c r="B8" s="71" t="str">
        <f>B2</f>
        <v xml:space="preserve">    Grid No:  </v>
      </c>
      <c r="C8" s="124">
        <f>C2</f>
        <v>568</v>
      </c>
      <c r="D8" s="72"/>
      <c r="E8" s="72"/>
      <c r="F8" s="73" t="s">
        <v>41</v>
      </c>
      <c r="G8" s="73"/>
      <c r="H8" s="74"/>
    </row>
    <row r="9" spans="1:8" ht="13.5" customHeight="1">
      <c r="A9" s="202" t="s">
        <v>26</v>
      </c>
      <c r="B9" s="202" t="s">
        <v>27</v>
      </c>
      <c r="C9" s="202" t="s">
        <v>28</v>
      </c>
      <c r="D9" s="204" t="s">
        <v>29</v>
      </c>
      <c r="E9" s="202" t="s">
        <v>30</v>
      </c>
      <c r="F9" s="202" t="s">
        <v>31</v>
      </c>
      <c r="G9" s="202"/>
      <c r="H9" s="202" t="s">
        <v>32</v>
      </c>
    </row>
    <row r="10" spans="1:8" ht="58.5" customHeight="1">
      <c r="A10" s="202"/>
      <c r="B10" s="202"/>
      <c r="C10" s="202"/>
      <c r="D10" s="205"/>
      <c r="E10" s="202"/>
      <c r="F10" s="126" t="s">
        <v>33</v>
      </c>
      <c r="G10" s="126" t="s">
        <v>34</v>
      </c>
      <c r="H10" s="202"/>
    </row>
    <row r="11" spans="1:8" ht="17.100000000000001" customHeight="1">
      <c r="A11" s="64">
        <v>1</v>
      </c>
      <c r="B11" s="127" t="s">
        <v>235</v>
      </c>
      <c r="C11" s="127" t="s">
        <v>172</v>
      </c>
      <c r="D11" s="128">
        <v>3.2</v>
      </c>
      <c r="E11" s="128">
        <v>1</v>
      </c>
      <c r="F11" s="126"/>
      <c r="G11" s="126"/>
      <c r="H11" s="126"/>
    </row>
    <row r="12" spans="1:8" ht="17.100000000000001" customHeight="1">
      <c r="A12" s="64">
        <v>2</v>
      </c>
      <c r="B12" s="127"/>
      <c r="C12" s="127" t="s">
        <v>163</v>
      </c>
      <c r="D12" s="128">
        <v>1</v>
      </c>
      <c r="E12" s="128">
        <v>0.6</v>
      </c>
      <c r="F12" s="126"/>
      <c r="G12" s="126"/>
      <c r="H12" s="126"/>
    </row>
    <row r="13" spans="1:8" ht="17.100000000000001" customHeight="1">
      <c r="A13" s="64">
        <v>3</v>
      </c>
      <c r="B13" s="127" t="s">
        <v>282</v>
      </c>
      <c r="C13" s="127" t="s">
        <v>173</v>
      </c>
      <c r="D13" s="128">
        <v>0.8</v>
      </c>
      <c r="E13" s="128">
        <v>0.6</v>
      </c>
      <c r="F13" s="126"/>
      <c r="G13" s="126"/>
      <c r="H13" s="126"/>
    </row>
    <row r="14" spans="1:8" ht="17.100000000000001" customHeight="1">
      <c r="A14" s="64">
        <v>4</v>
      </c>
      <c r="B14" s="127" t="s">
        <v>282</v>
      </c>
      <c r="C14" s="127" t="s">
        <v>173</v>
      </c>
      <c r="D14" s="128">
        <v>0.2</v>
      </c>
      <c r="E14" s="128">
        <v>0.15</v>
      </c>
      <c r="F14" s="126"/>
      <c r="G14" s="126"/>
      <c r="H14" s="126"/>
    </row>
    <row r="15" spans="1:8" ht="17.100000000000001" customHeight="1">
      <c r="A15" s="64">
        <v>5</v>
      </c>
      <c r="B15" s="127" t="s">
        <v>283</v>
      </c>
      <c r="C15" s="127" t="s">
        <v>174</v>
      </c>
      <c r="D15" s="128">
        <v>1.1000000000000001</v>
      </c>
      <c r="E15" s="128">
        <v>1</v>
      </c>
      <c r="F15" s="126"/>
      <c r="G15" s="126"/>
      <c r="H15" s="126"/>
    </row>
    <row r="16" spans="1:8" ht="17.100000000000001" customHeight="1">
      <c r="A16" s="64">
        <v>6</v>
      </c>
      <c r="B16" s="64" t="s">
        <v>284</v>
      </c>
      <c r="C16" s="127" t="s">
        <v>162</v>
      </c>
      <c r="D16" s="128">
        <v>0.6</v>
      </c>
      <c r="E16" s="128">
        <v>0.6</v>
      </c>
      <c r="F16" s="126"/>
      <c r="G16" s="126"/>
      <c r="H16" s="126"/>
    </row>
    <row r="17" spans="1:9" ht="17.100000000000001" customHeight="1">
      <c r="A17" s="78"/>
      <c r="B17" s="75" t="str">
        <f>B2</f>
        <v xml:space="preserve">    Grid No:  </v>
      </c>
      <c r="C17" s="125">
        <f>C8</f>
        <v>568</v>
      </c>
      <c r="D17" s="76"/>
      <c r="E17" s="76"/>
      <c r="F17" s="73" t="s">
        <v>42</v>
      </c>
      <c r="G17" s="73"/>
      <c r="H17" s="77"/>
    </row>
    <row r="18" spans="1:9" ht="17.55" customHeight="1">
      <c r="A18" s="202" t="s">
        <v>26</v>
      </c>
      <c r="B18" s="202" t="s">
        <v>27</v>
      </c>
      <c r="C18" s="202" t="s">
        <v>28</v>
      </c>
      <c r="D18" s="204" t="s">
        <v>29</v>
      </c>
      <c r="E18" s="202" t="s">
        <v>30</v>
      </c>
      <c r="F18" s="202" t="s">
        <v>31</v>
      </c>
      <c r="G18" s="202"/>
      <c r="H18" s="202" t="s">
        <v>32</v>
      </c>
    </row>
    <row r="19" spans="1:9" ht="48" customHeight="1">
      <c r="A19" s="202"/>
      <c r="B19" s="202"/>
      <c r="C19" s="202"/>
      <c r="D19" s="205"/>
      <c r="E19" s="202"/>
      <c r="F19" s="126" t="s">
        <v>33</v>
      </c>
      <c r="G19" s="126" t="s">
        <v>34</v>
      </c>
      <c r="H19" s="202"/>
    </row>
    <row r="20" spans="1:9" ht="17.100000000000001" customHeight="1">
      <c r="A20" s="64">
        <v>1</v>
      </c>
      <c r="B20" s="126"/>
      <c r="C20" s="127" t="s">
        <v>163</v>
      </c>
      <c r="D20" s="129">
        <v>0.5</v>
      </c>
      <c r="E20" s="128">
        <v>0.6</v>
      </c>
      <c r="F20" s="126"/>
      <c r="G20" s="126"/>
      <c r="H20" s="126"/>
    </row>
    <row r="21" spans="1:9" ht="17.100000000000001" customHeight="1">
      <c r="A21" s="64">
        <v>2</v>
      </c>
      <c r="B21" s="126"/>
      <c r="C21" s="127" t="s">
        <v>163</v>
      </c>
      <c r="D21" s="129">
        <v>0.7</v>
      </c>
      <c r="E21" s="128">
        <v>0.6</v>
      </c>
      <c r="F21" s="126"/>
      <c r="G21" s="126"/>
      <c r="H21" s="126"/>
    </row>
    <row r="22" spans="1:9" ht="17.100000000000001" customHeight="1">
      <c r="A22" s="64">
        <v>3</v>
      </c>
      <c r="B22" s="126"/>
      <c r="C22" s="127" t="s">
        <v>162</v>
      </c>
      <c r="D22" s="129">
        <v>0.6</v>
      </c>
      <c r="E22" s="128">
        <v>0.5</v>
      </c>
      <c r="F22" s="126"/>
      <c r="G22" s="126"/>
      <c r="H22" s="126"/>
    </row>
    <row r="23" spans="1:9" ht="17.100000000000001" customHeight="1">
      <c r="A23" s="64">
        <v>4</v>
      </c>
      <c r="B23" s="127" t="s">
        <v>282</v>
      </c>
      <c r="C23" s="127" t="s">
        <v>173</v>
      </c>
      <c r="D23" s="129">
        <v>0.3</v>
      </c>
      <c r="E23" s="128">
        <v>0.2</v>
      </c>
      <c r="F23" s="126"/>
      <c r="G23" s="126"/>
      <c r="H23" s="126"/>
    </row>
    <row r="24" spans="1:9" ht="17.100000000000001" customHeight="1">
      <c r="A24" s="64">
        <v>5</v>
      </c>
      <c r="B24" s="127" t="s">
        <v>284</v>
      </c>
      <c r="C24" s="127" t="s">
        <v>162</v>
      </c>
      <c r="D24" s="129">
        <v>0.3</v>
      </c>
      <c r="E24" s="128">
        <v>0.2</v>
      </c>
      <c r="F24" s="126"/>
      <c r="G24" s="126"/>
      <c r="H24" s="126"/>
    </row>
    <row r="25" spans="1:9" s="11" customFormat="1" ht="16.5" customHeight="1">
      <c r="A25" s="130"/>
      <c r="B25" s="131" t="str">
        <f>B2</f>
        <v xml:space="preserve">    Grid No:  </v>
      </c>
      <c r="C25" s="132">
        <f>C17</f>
        <v>568</v>
      </c>
      <c r="D25" s="130"/>
      <c r="E25" s="130"/>
      <c r="F25" s="203" t="s">
        <v>43</v>
      </c>
      <c r="G25" s="203"/>
      <c r="H25" s="203"/>
      <c r="I25" s="63"/>
    </row>
    <row r="26" spans="1:9" ht="24" customHeight="1">
      <c r="A26" s="204" t="s">
        <v>26</v>
      </c>
      <c r="B26" s="204" t="s">
        <v>27</v>
      </c>
      <c r="C26" s="204" t="s">
        <v>28</v>
      </c>
      <c r="D26" s="204" t="s">
        <v>29</v>
      </c>
      <c r="E26" s="204" t="s">
        <v>30</v>
      </c>
      <c r="F26" s="206" t="s">
        <v>31</v>
      </c>
      <c r="G26" s="207"/>
      <c r="H26" s="204" t="s">
        <v>32</v>
      </c>
    </row>
    <row r="27" spans="1:9" ht="50.55" customHeight="1">
      <c r="A27" s="205"/>
      <c r="B27" s="205"/>
      <c r="C27" s="205"/>
      <c r="D27" s="205"/>
      <c r="E27" s="205"/>
      <c r="F27" s="126" t="s">
        <v>33</v>
      </c>
      <c r="G27" s="126" t="s">
        <v>34</v>
      </c>
      <c r="H27" s="205"/>
    </row>
    <row r="28" spans="1:9" s="11" customFormat="1" ht="16.05" customHeight="1">
      <c r="A28" s="64">
        <v>1</v>
      </c>
      <c r="B28" s="127" t="s">
        <v>284</v>
      </c>
      <c r="C28" s="127" t="s">
        <v>162</v>
      </c>
      <c r="D28" s="129">
        <v>1</v>
      </c>
      <c r="E28" s="128">
        <v>0.9</v>
      </c>
      <c r="F28" s="126"/>
      <c r="G28" s="126"/>
      <c r="H28" s="126"/>
    </row>
    <row r="29" spans="1:9" s="11" customFormat="1" ht="16.05" customHeight="1">
      <c r="A29" s="64">
        <v>2</v>
      </c>
      <c r="B29" s="127"/>
      <c r="C29" s="127" t="s">
        <v>163</v>
      </c>
      <c r="D29" s="129">
        <v>0.7</v>
      </c>
      <c r="E29" s="128">
        <v>0.6</v>
      </c>
      <c r="F29" s="126"/>
      <c r="G29" s="126"/>
      <c r="H29" s="126"/>
    </row>
    <row r="30" spans="1:9" s="11" customFormat="1" ht="16.05" customHeight="1">
      <c r="A30" s="64">
        <v>3</v>
      </c>
      <c r="B30" s="127"/>
      <c r="C30" s="127" t="s">
        <v>163</v>
      </c>
      <c r="D30" s="129">
        <v>0.8</v>
      </c>
      <c r="E30" s="128">
        <v>0.5</v>
      </c>
      <c r="F30" s="126"/>
      <c r="G30" s="126"/>
      <c r="H30" s="126"/>
    </row>
    <row r="31" spans="1:9" ht="16.05" customHeight="1">
      <c r="A31" s="64">
        <v>4</v>
      </c>
      <c r="B31" s="127" t="s">
        <v>235</v>
      </c>
      <c r="C31" s="127" t="s">
        <v>172</v>
      </c>
      <c r="D31" s="129">
        <v>7.5</v>
      </c>
      <c r="E31" s="128">
        <v>3</v>
      </c>
      <c r="F31" s="126"/>
      <c r="G31" s="126"/>
      <c r="H31" s="126"/>
    </row>
    <row r="32" spans="1:9" ht="16.05" customHeight="1">
      <c r="A32" s="64">
        <v>5</v>
      </c>
      <c r="B32" s="127" t="s">
        <v>235</v>
      </c>
      <c r="C32" s="127" t="s">
        <v>172</v>
      </c>
      <c r="D32" s="129">
        <v>0.5</v>
      </c>
      <c r="E32" s="128">
        <v>0.3</v>
      </c>
      <c r="F32" s="126"/>
      <c r="G32" s="126"/>
      <c r="H32" s="126"/>
    </row>
  </sheetData>
  <mergeCells count="31">
    <mergeCell ref="A1:H1"/>
    <mergeCell ref="F2:H2"/>
    <mergeCell ref="A3:A4"/>
    <mergeCell ref="B3:B4"/>
    <mergeCell ref="C3:C4"/>
    <mergeCell ref="D3:D4"/>
    <mergeCell ref="E3:E4"/>
    <mergeCell ref="F3:G3"/>
    <mergeCell ref="H3:H4"/>
    <mergeCell ref="H9:H10"/>
    <mergeCell ref="A9:A10"/>
    <mergeCell ref="B9:B10"/>
    <mergeCell ref="C9:C10"/>
    <mergeCell ref="D9:D10"/>
    <mergeCell ref="E9:E10"/>
    <mergeCell ref="F9:G9"/>
    <mergeCell ref="H18:H19"/>
    <mergeCell ref="F25:H25"/>
    <mergeCell ref="A26:A27"/>
    <mergeCell ref="B26:B27"/>
    <mergeCell ref="C26:C27"/>
    <mergeCell ref="D26:D27"/>
    <mergeCell ref="E26:E27"/>
    <mergeCell ref="F26:G26"/>
    <mergeCell ref="H26:H27"/>
    <mergeCell ref="A18:A19"/>
    <mergeCell ref="B18:B19"/>
    <mergeCell ref="C18:C19"/>
    <mergeCell ref="D18:D19"/>
    <mergeCell ref="E18:E19"/>
    <mergeCell ref="F18:G18"/>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dimension ref="A1:G25"/>
  <sheetViews>
    <sheetView view="pageLayout" topLeftCell="A13" workbookViewId="0">
      <selection activeCell="H8" sqref="H8"/>
    </sheetView>
  </sheetViews>
  <sheetFormatPr defaultColWidth="9.21875" defaultRowHeight="15.6"/>
  <cols>
    <col min="1" max="1" width="3.88671875" style="4" customWidth="1"/>
    <col min="2" max="2" width="21.88671875" style="4" customWidth="1"/>
    <col min="3" max="3" width="21.33203125" style="16" customWidth="1"/>
    <col min="4" max="4" width="9.21875" style="4"/>
    <col min="5" max="6" width="10.21875" style="4" customWidth="1"/>
    <col min="7" max="7" width="14.33203125" style="4" customWidth="1"/>
    <col min="8" max="16384" width="9.21875" style="4"/>
  </cols>
  <sheetData>
    <row r="1" spans="1:7" ht="17.100000000000001" customHeight="1">
      <c r="A1" s="139" t="s">
        <v>44</v>
      </c>
      <c r="B1" s="73"/>
      <c r="C1" s="73"/>
      <c r="D1" s="73"/>
      <c r="E1" s="73"/>
      <c r="F1" s="134">
        <f>'Form-1'!C9</f>
        <v>568</v>
      </c>
      <c r="G1" s="140"/>
    </row>
    <row r="2" spans="1:7" ht="15" customHeight="1">
      <c r="A2" s="78"/>
      <c r="B2" s="76"/>
      <c r="C2" s="125"/>
      <c r="D2" s="76"/>
      <c r="E2" s="209" t="s">
        <v>25</v>
      </c>
      <c r="F2" s="209"/>
      <c r="G2" s="210"/>
    </row>
    <row r="3" spans="1:7" ht="16.05" customHeight="1">
      <c r="A3" s="202" t="s">
        <v>26</v>
      </c>
      <c r="B3" s="202" t="s">
        <v>27</v>
      </c>
      <c r="C3" s="202" t="s">
        <v>28</v>
      </c>
      <c r="D3" s="202" t="s">
        <v>45</v>
      </c>
      <c r="E3" s="202" t="s">
        <v>31</v>
      </c>
      <c r="F3" s="202"/>
      <c r="G3" s="202" t="s">
        <v>46</v>
      </c>
    </row>
    <row r="4" spans="1:7" ht="59.1" customHeight="1">
      <c r="A4" s="202"/>
      <c r="B4" s="202"/>
      <c r="C4" s="202"/>
      <c r="D4" s="202"/>
      <c r="E4" s="126" t="s">
        <v>33</v>
      </c>
      <c r="F4" s="126" t="s">
        <v>119</v>
      </c>
      <c r="G4" s="202"/>
    </row>
    <row r="5" spans="1:7" ht="16.05" customHeight="1">
      <c r="A5" s="64">
        <v>1</v>
      </c>
      <c r="B5" s="126"/>
      <c r="C5" s="127" t="s">
        <v>163</v>
      </c>
      <c r="D5" s="64">
        <v>15</v>
      </c>
      <c r="E5" s="64"/>
      <c r="F5" s="64"/>
      <c r="G5" s="126"/>
    </row>
    <row r="6" spans="1:7" ht="16.05" customHeight="1">
      <c r="A6" s="64">
        <v>2</v>
      </c>
      <c r="B6" s="126"/>
      <c r="C6" s="127" t="s">
        <v>164</v>
      </c>
      <c r="D6" s="64">
        <v>10</v>
      </c>
      <c r="E6" s="64"/>
      <c r="F6" s="64"/>
      <c r="G6" s="126"/>
    </row>
    <row r="7" spans="1:7" ht="16.05" customHeight="1">
      <c r="A7" s="64"/>
      <c r="B7" s="126"/>
      <c r="C7" s="133"/>
      <c r="D7" s="126"/>
      <c r="E7" s="126"/>
      <c r="F7" s="126"/>
      <c r="G7" s="126"/>
    </row>
    <row r="8" spans="1:7" ht="15" customHeight="1">
      <c r="A8" s="202" t="s">
        <v>35</v>
      </c>
      <c r="B8" s="202"/>
      <c r="C8" s="202"/>
      <c r="D8" s="202"/>
      <c r="E8" s="202"/>
      <c r="F8" s="202"/>
      <c r="G8" s="202"/>
    </row>
    <row r="9" spans="1:7" ht="20.55" customHeight="1">
      <c r="A9" s="64">
        <v>1</v>
      </c>
      <c r="B9" s="211" t="s">
        <v>36</v>
      </c>
      <c r="C9" s="212"/>
      <c r="D9" s="212"/>
      <c r="E9" s="212"/>
      <c r="F9" s="212"/>
      <c r="G9" s="103" t="s">
        <v>218</v>
      </c>
    </row>
    <row r="10" spans="1:7" ht="20.55" customHeight="1">
      <c r="A10" s="64">
        <v>2</v>
      </c>
      <c r="B10" s="211" t="s">
        <v>37</v>
      </c>
      <c r="C10" s="212"/>
      <c r="D10" s="212"/>
      <c r="E10" s="212"/>
      <c r="F10" s="212"/>
      <c r="G10" s="103" t="s">
        <v>169</v>
      </c>
    </row>
    <row r="11" spans="1:7" ht="20.55" customHeight="1">
      <c r="A11" s="64">
        <v>3</v>
      </c>
      <c r="B11" s="211" t="s">
        <v>38</v>
      </c>
      <c r="C11" s="212"/>
      <c r="D11" s="212"/>
      <c r="E11" s="212"/>
      <c r="F11" s="212"/>
      <c r="G11" s="103" t="s">
        <v>170</v>
      </c>
    </row>
    <row r="12" spans="1:7" ht="20.55" customHeight="1">
      <c r="A12" s="64">
        <v>4</v>
      </c>
      <c r="B12" s="211" t="s">
        <v>39</v>
      </c>
      <c r="C12" s="212"/>
      <c r="D12" s="212"/>
      <c r="E12" s="212"/>
      <c r="F12" s="212"/>
      <c r="G12" s="103" t="s">
        <v>219</v>
      </c>
    </row>
    <row r="13" spans="1:7" ht="20.55" customHeight="1">
      <c r="A13" s="64">
        <v>5</v>
      </c>
      <c r="B13" s="211" t="s">
        <v>40</v>
      </c>
      <c r="C13" s="212"/>
      <c r="D13" s="212"/>
      <c r="E13" s="212"/>
      <c r="F13" s="212"/>
      <c r="G13" s="103" t="s">
        <v>220</v>
      </c>
    </row>
    <row r="14" spans="1:7" s="11" customFormat="1" ht="16.05" customHeight="1">
      <c r="A14" s="70"/>
      <c r="B14" s="71" t="s">
        <v>47</v>
      </c>
      <c r="C14" s="134">
        <f>F1</f>
        <v>568</v>
      </c>
      <c r="D14" s="72"/>
      <c r="E14" s="209" t="s">
        <v>48</v>
      </c>
      <c r="F14" s="209"/>
      <c r="G14" s="210"/>
    </row>
    <row r="15" spans="1:7" ht="18.600000000000001" customHeight="1">
      <c r="A15" s="213" t="s">
        <v>26</v>
      </c>
      <c r="B15" s="213" t="s">
        <v>27</v>
      </c>
      <c r="C15" s="214" t="s">
        <v>28</v>
      </c>
      <c r="D15" s="213" t="s">
        <v>45</v>
      </c>
      <c r="E15" s="213" t="s">
        <v>31</v>
      </c>
      <c r="F15" s="213"/>
      <c r="G15" s="213" t="s">
        <v>46</v>
      </c>
    </row>
    <row r="16" spans="1:7" ht="53.1" customHeight="1">
      <c r="A16" s="213"/>
      <c r="B16" s="213"/>
      <c r="C16" s="215"/>
      <c r="D16" s="213"/>
      <c r="E16" s="135" t="s">
        <v>120</v>
      </c>
      <c r="F16" s="135" t="s">
        <v>34</v>
      </c>
      <c r="G16" s="213"/>
    </row>
    <row r="17" spans="1:7" s="11" customFormat="1" ht="16.05" customHeight="1">
      <c r="A17" s="136">
        <v>1</v>
      </c>
      <c r="B17" s="137"/>
      <c r="C17" s="138" t="s">
        <v>172</v>
      </c>
      <c r="D17" s="136">
        <v>60</v>
      </c>
      <c r="E17" s="137"/>
      <c r="F17" s="137"/>
      <c r="G17" s="137"/>
    </row>
    <row r="18" spans="1:7" s="11" customFormat="1" ht="16.05" customHeight="1">
      <c r="A18" s="136">
        <v>2</v>
      </c>
      <c r="B18" s="137"/>
      <c r="C18" s="138" t="s">
        <v>167</v>
      </c>
      <c r="D18" s="136">
        <v>15</v>
      </c>
      <c r="E18" s="137"/>
      <c r="F18" s="137"/>
      <c r="G18" s="137"/>
    </row>
    <row r="19" spans="1:7" s="11" customFormat="1" ht="16.05" customHeight="1">
      <c r="A19" s="136"/>
      <c r="B19" s="137"/>
      <c r="C19" s="138"/>
      <c r="D19" s="136"/>
      <c r="E19" s="137"/>
      <c r="F19" s="137"/>
      <c r="G19" s="137"/>
    </row>
    <row r="20" spans="1:7" ht="15" customHeight="1">
      <c r="A20" s="202" t="s">
        <v>35</v>
      </c>
      <c r="B20" s="202"/>
      <c r="C20" s="202"/>
      <c r="D20" s="202"/>
      <c r="E20" s="202"/>
      <c r="F20" s="202"/>
      <c r="G20" s="202"/>
    </row>
    <row r="21" spans="1:7" ht="18.600000000000001" customHeight="1">
      <c r="A21" s="64">
        <v>1</v>
      </c>
      <c r="B21" s="211" t="s">
        <v>36</v>
      </c>
      <c r="C21" s="212"/>
      <c r="D21" s="212"/>
      <c r="E21" s="212"/>
      <c r="F21" s="212"/>
      <c r="G21" s="103" t="s">
        <v>221</v>
      </c>
    </row>
    <row r="22" spans="1:7" ht="18.600000000000001" customHeight="1">
      <c r="A22" s="64">
        <v>2</v>
      </c>
      <c r="B22" s="211" t="s">
        <v>37</v>
      </c>
      <c r="C22" s="212"/>
      <c r="D22" s="212"/>
      <c r="E22" s="212"/>
      <c r="F22" s="212"/>
      <c r="G22" s="103" t="s">
        <v>175</v>
      </c>
    </row>
    <row r="23" spans="1:7" ht="18.600000000000001" customHeight="1">
      <c r="A23" s="64">
        <v>3</v>
      </c>
      <c r="B23" s="211" t="s">
        <v>38</v>
      </c>
      <c r="C23" s="212"/>
      <c r="D23" s="212"/>
      <c r="E23" s="212"/>
      <c r="F23" s="212"/>
      <c r="G23" s="103" t="s">
        <v>176</v>
      </c>
    </row>
    <row r="24" spans="1:7" ht="18.600000000000001" customHeight="1">
      <c r="A24" s="64">
        <v>4</v>
      </c>
      <c r="B24" s="211" t="s">
        <v>39</v>
      </c>
      <c r="C24" s="212"/>
      <c r="D24" s="212"/>
      <c r="E24" s="212"/>
      <c r="F24" s="212"/>
      <c r="G24" s="103" t="s">
        <v>223</v>
      </c>
    </row>
    <row r="25" spans="1:7" ht="18.600000000000001" customHeight="1">
      <c r="A25" s="64">
        <v>5</v>
      </c>
      <c r="B25" s="211" t="s">
        <v>40</v>
      </c>
      <c r="C25" s="212"/>
      <c r="D25" s="212"/>
      <c r="E25" s="212"/>
      <c r="F25" s="212"/>
      <c r="G25" s="103" t="s">
        <v>222</v>
      </c>
    </row>
  </sheetData>
  <mergeCells count="26">
    <mergeCell ref="G15:G16"/>
    <mergeCell ref="A8:G8"/>
    <mergeCell ref="B9:F9"/>
    <mergeCell ref="E2:G2"/>
    <mergeCell ref="A3:A4"/>
    <mergeCell ref="B3:B4"/>
    <mergeCell ref="C3:C4"/>
    <mergeCell ref="D3:D4"/>
    <mergeCell ref="E3:F3"/>
    <mergeCell ref="G3:G4"/>
    <mergeCell ref="B22:F22"/>
    <mergeCell ref="B23:F23"/>
    <mergeCell ref="B24:F24"/>
    <mergeCell ref="B25:F25"/>
    <mergeCell ref="B10:F10"/>
    <mergeCell ref="B11:F11"/>
    <mergeCell ref="B12:F12"/>
    <mergeCell ref="B13:F13"/>
    <mergeCell ref="B21:F21"/>
    <mergeCell ref="A20:G20"/>
    <mergeCell ref="E14:G14"/>
    <mergeCell ref="A15:A16"/>
    <mergeCell ref="B15:B16"/>
    <mergeCell ref="C15:C16"/>
    <mergeCell ref="D15:D16"/>
    <mergeCell ref="E15:F15"/>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dimension ref="A1:P22"/>
  <sheetViews>
    <sheetView view="pageLayout" topLeftCell="A2" zoomScaleNormal="85" workbookViewId="0">
      <selection activeCell="E14" sqref="E14"/>
    </sheetView>
  </sheetViews>
  <sheetFormatPr defaultColWidth="9.21875" defaultRowHeight="15.6"/>
  <cols>
    <col min="1" max="1" width="8.21875" style="1" customWidth="1"/>
    <col min="2" max="2" width="17.44140625" style="1" customWidth="1"/>
    <col min="3" max="3" width="11.5546875" style="1" customWidth="1"/>
    <col min="4" max="4" width="7.5546875" style="1" customWidth="1"/>
    <col min="5" max="5" width="9.44140625" style="1" customWidth="1"/>
    <col min="6" max="6" width="13.77734375" style="1" customWidth="1"/>
    <col min="7" max="7" width="13.21875" style="1" customWidth="1"/>
    <col min="8" max="8" width="1.44140625" style="1" customWidth="1"/>
    <col min="9" max="9" width="9.44140625" style="1" customWidth="1"/>
    <col min="10" max="10" width="9.21875" style="1"/>
    <col min="11" max="11" width="11.5546875" style="1" customWidth="1"/>
    <col min="12" max="16384" width="9.21875" style="1"/>
  </cols>
  <sheetData>
    <row r="1" spans="1:12" ht="24.75" customHeight="1">
      <c r="A1" s="218" t="s">
        <v>49</v>
      </c>
      <c r="B1" s="218"/>
      <c r="C1" s="218"/>
      <c r="D1" s="218"/>
      <c r="E1" s="218"/>
      <c r="F1" s="218"/>
      <c r="G1" s="218"/>
      <c r="H1" s="218"/>
      <c r="I1" s="218"/>
      <c r="J1" s="218"/>
      <c r="K1" s="218"/>
      <c r="L1" s="218"/>
    </row>
    <row r="2" spans="1:12">
      <c r="A2" s="12"/>
      <c r="B2" s="12"/>
      <c r="C2" s="12"/>
      <c r="D2" s="12"/>
      <c r="E2" s="12"/>
      <c r="F2" s="12"/>
      <c r="G2" s="12"/>
      <c r="H2" s="12"/>
      <c r="I2" s="12"/>
      <c r="J2" s="12"/>
      <c r="K2" s="12"/>
      <c r="L2" s="12"/>
    </row>
    <row r="3" spans="1:12" ht="19.5" customHeight="1">
      <c r="A3" s="218" t="s">
        <v>50</v>
      </c>
      <c r="B3" s="218"/>
      <c r="C3" s="218"/>
      <c r="D3" s="218"/>
      <c r="E3" s="218"/>
      <c r="F3" s="218"/>
      <c r="G3" s="218"/>
      <c r="H3" s="218"/>
      <c r="I3" s="218"/>
      <c r="J3" s="218"/>
      <c r="K3" s="218"/>
      <c r="L3" s="218"/>
    </row>
    <row r="5" spans="1:12" ht="46.5" customHeight="1">
      <c r="A5" s="2" t="s">
        <v>22</v>
      </c>
      <c r="B5" s="3" t="s">
        <v>51</v>
      </c>
      <c r="C5" s="3" t="s">
        <v>52</v>
      </c>
      <c r="D5" s="3" t="s">
        <v>53</v>
      </c>
      <c r="E5" s="2" t="s">
        <v>54</v>
      </c>
      <c r="F5" s="2" t="s">
        <v>55</v>
      </c>
      <c r="G5" s="3" t="s">
        <v>56</v>
      </c>
      <c r="H5" s="68"/>
      <c r="I5" s="221" t="s">
        <v>57</v>
      </c>
      <c r="J5" s="222"/>
      <c r="K5" s="223"/>
    </row>
    <row r="6" spans="1:12" ht="17.55" customHeight="1">
      <c r="A6" s="62" t="s">
        <v>14</v>
      </c>
      <c r="B6" s="62" t="s">
        <v>15</v>
      </c>
      <c r="C6" s="62" t="s">
        <v>16</v>
      </c>
      <c r="D6" s="62" t="s">
        <v>17</v>
      </c>
      <c r="E6" s="62" t="s">
        <v>58</v>
      </c>
      <c r="F6" s="62" t="s">
        <v>59</v>
      </c>
      <c r="G6" s="62" t="s">
        <v>60</v>
      </c>
      <c r="H6" s="69"/>
      <c r="I6" s="65"/>
      <c r="J6" s="66"/>
      <c r="K6" s="67"/>
    </row>
    <row r="7" spans="1:12" ht="30" customHeight="1">
      <c r="A7" s="7"/>
      <c r="B7" s="7">
        <v>10</v>
      </c>
      <c r="C7" s="7"/>
      <c r="D7" s="7"/>
      <c r="E7" s="7"/>
      <c r="F7" s="7"/>
      <c r="G7" s="7"/>
      <c r="H7" s="61"/>
      <c r="I7" s="224" t="s">
        <v>61</v>
      </c>
      <c r="J7" s="225"/>
      <c r="K7" s="226"/>
    </row>
    <row r="9" spans="1:12" ht="20.55" customHeight="1">
      <c r="A9" s="219" t="s">
        <v>113</v>
      </c>
      <c r="B9" s="220" t="s">
        <v>62</v>
      </c>
      <c r="C9" s="220"/>
      <c r="D9" s="220"/>
      <c r="E9" s="220"/>
      <c r="F9" s="220" t="s">
        <v>63</v>
      </c>
      <c r="G9" s="220"/>
      <c r="H9" s="220"/>
      <c r="I9" s="220"/>
    </row>
    <row r="10" spans="1:12" s="13" customFormat="1" ht="49.05" customHeight="1">
      <c r="A10" s="219"/>
      <c r="B10" s="18" t="s">
        <v>64</v>
      </c>
      <c r="C10" s="18" t="s">
        <v>117</v>
      </c>
      <c r="D10" s="18" t="s">
        <v>116</v>
      </c>
      <c r="E10" s="18" t="s">
        <v>115</v>
      </c>
      <c r="F10" s="18" t="s">
        <v>64</v>
      </c>
      <c r="G10" s="18" t="s">
        <v>114</v>
      </c>
      <c r="H10" s="59"/>
      <c r="I10" s="18" t="s">
        <v>75</v>
      </c>
    </row>
    <row r="11" spans="1:12" ht="16.5" customHeight="1">
      <c r="A11" s="58" t="s">
        <v>18</v>
      </c>
      <c r="B11" s="58" t="s">
        <v>65</v>
      </c>
      <c r="C11" s="58" t="s">
        <v>23</v>
      </c>
      <c r="D11" s="58" t="s">
        <v>19</v>
      </c>
      <c r="E11" s="58" t="s">
        <v>66</v>
      </c>
      <c r="F11" s="58" t="s">
        <v>67</v>
      </c>
      <c r="G11" s="58" t="s">
        <v>68</v>
      </c>
      <c r="H11" s="58"/>
      <c r="I11" s="58" t="s">
        <v>69</v>
      </c>
    </row>
    <row r="12" spans="1:12" ht="24.75" customHeight="1">
      <c r="A12" s="7"/>
      <c r="B12" s="102" t="s">
        <v>227</v>
      </c>
      <c r="C12" s="7" t="s">
        <v>229</v>
      </c>
      <c r="D12" s="7">
        <v>143</v>
      </c>
      <c r="E12" s="7">
        <v>2</v>
      </c>
      <c r="F12" s="7"/>
      <c r="G12" s="7"/>
      <c r="H12" s="60"/>
      <c r="I12" s="7"/>
    </row>
    <row r="13" spans="1:12" ht="24.75" customHeight="1">
      <c r="A13" s="7"/>
      <c r="B13" s="102" t="s">
        <v>228</v>
      </c>
      <c r="C13" s="7" t="s">
        <v>230</v>
      </c>
      <c r="D13" s="7">
        <v>24</v>
      </c>
      <c r="E13" s="7">
        <v>1</v>
      </c>
      <c r="F13" s="7"/>
      <c r="G13" s="7"/>
      <c r="H13" s="60"/>
      <c r="I13" s="7"/>
    </row>
    <row r="14" spans="1:12" ht="24.75" customHeight="1">
      <c r="A14" s="7"/>
      <c r="B14" s="7"/>
      <c r="C14" s="7"/>
      <c r="D14" s="7"/>
      <c r="E14" s="7"/>
      <c r="F14" s="7"/>
      <c r="G14" s="7"/>
      <c r="H14" s="60"/>
      <c r="I14" s="7"/>
    </row>
    <row r="15" spans="1:12" ht="24.75" customHeight="1">
      <c r="A15" s="7"/>
      <c r="B15" s="7"/>
      <c r="C15" s="7"/>
      <c r="D15" s="7"/>
      <c r="E15" s="7"/>
      <c r="F15" s="7"/>
      <c r="G15" s="7"/>
      <c r="H15" s="60"/>
      <c r="I15" s="7"/>
    </row>
    <row r="18" spans="1:16">
      <c r="A18" s="14" t="s">
        <v>20</v>
      </c>
      <c r="B18" s="6"/>
      <c r="C18" s="6"/>
      <c r="D18" s="6"/>
      <c r="E18" s="6"/>
      <c r="F18" s="6"/>
      <c r="G18" s="217" t="s">
        <v>70</v>
      </c>
      <c r="H18" s="217"/>
      <c r="I18" s="217"/>
      <c r="J18" s="217"/>
      <c r="K18" s="217"/>
      <c r="L18" s="10"/>
      <c r="M18" s="10"/>
      <c r="N18" s="10"/>
      <c r="O18" s="6"/>
      <c r="P18" s="6"/>
    </row>
    <row r="19" spans="1:16">
      <c r="A19" s="14" t="s">
        <v>71</v>
      </c>
      <c r="B19" s="6"/>
      <c r="C19" s="6"/>
      <c r="D19" s="6"/>
      <c r="E19" s="6"/>
      <c r="F19" s="6"/>
      <c r="G19" s="6"/>
      <c r="H19" s="6"/>
      <c r="I19" s="6"/>
      <c r="J19" s="6"/>
      <c r="K19" s="6"/>
      <c r="L19" s="6"/>
      <c r="M19" s="6"/>
      <c r="N19" s="6"/>
      <c r="O19" s="6"/>
      <c r="P19" s="6"/>
    </row>
    <row r="20" spans="1:16">
      <c r="A20" s="6"/>
      <c r="B20" s="6"/>
      <c r="C20" s="6"/>
      <c r="D20" s="6"/>
      <c r="E20" s="6"/>
      <c r="F20" s="6"/>
      <c r="G20" s="6"/>
      <c r="H20" s="6"/>
      <c r="I20" s="6"/>
      <c r="J20" s="6"/>
      <c r="K20" s="6"/>
      <c r="L20" s="6"/>
      <c r="M20" s="6"/>
      <c r="N20" s="6"/>
      <c r="O20" s="6"/>
      <c r="P20" s="6"/>
    </row>
    <row r="21" spans="1:16" ht="15.75" customHeight="1">
      <c r="A21" s="15" t="s">
        <v>21</v>
      </c>
      <c r="B21" s="6"/>
      <c r="C21" s="6"/>
      <c r="D21" s="6"/>
      <c r="E21" s="6"/>
      <c r="F21" s="6"/>
      <c r="G21" s="6"/>
      <c r="H21" s="6"/>
      <c r="I21" s="6"/>
      <c r="J21" s="6"/>
      <c r="K21" s="6"/>
      <c r="L21" s="6"/>
      <c r="M21" s="6"/>
      <c r="N21" s="6"/>
      <c r="O21" s="6"/>
      <c r="P21" s="6"/>
    </row>
    <row r="22" spans="1:16" ht="33" customHeight="1">
      <c r="A22" s="9" t="s">
        <v>72</v>
      </c>
      <c r="B22" s="216" t="s">
        <v>73</v>
      </c>
      <c r="C22" s="216"/>
      <c r="D22" s="216"/>
      <c r="E22" s="216"/>
      <c r="F22" s="216"/>
      <c r="G22" s="216"/>
      <c r="H22" s="216"/>
      <c r="I22" s="216"/>
      <c r="J22" s="216"/>
      <c r="K22" s="216"/>
      <c r="L22" s="81"/>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dimension ref="A1:H26"/>
  <sheetViews>
    <sheetView view="pageLayout" workbookViewId="0">
      <selection activeCell="J6" sqref="J6"/>
    </sheetView>
  </sheetViews>
  <sheetFormatPr defaultRowHeight="25.5" customHeight="1"/>
  <cols>
    <col min="1" max="1" width="3.44140625" customWidth="1"/>
    <col min="2" max="2" width="18.44140625" customWidth="1"/>
    <col min="3" max="3" width="14.88671875" customWidth="1"/>
    <col min="4" max="4" width="13.21875" customWidth="1"/>
    <col min="5" max="5" width="14.6640625" customWidth="1"/>
    <col min="6" max="6" width="11.77734375" customWidth="1"/>
    <col min="7" max="7" width="12.33203125" customWidth="1"/>
    <col min="8" max="8" width="9.88671875" customWidth="1"/>
  </cols>
  <sheetData>
    <row r="1" spans="1:8" ht="18" customHeight="1">
      <c r="A1" s="227" t="s">
        <v>76</v>
      </c>
      <c r="B1" s="227"/>
      <c r="C1" s="227"/>
      <c r="D1" s="227"/>
      <c r="E1" s="227"/>
      <c r="F1" s="227"/>
      <c r="G1" s="227"/>
      <c r="H1" s="227"/>
    </row>
    <row r="2" spans="1:8" ht="18" customHeight="1">
      <c r="A2" s="228" t="s">
        <v>127</v>
      </c>
      <c r="B2" s="229"/>
      <c r="C2" s="229"/>
      <c r="D2" s="229"/>
      <c r="E2" s="229"/>
      <c r="F2" s="229"/>
      <c r="G2" s="229"/>
      <c r="H2" s="230"/>
    </row>
    <row r="3" spans="1:8" ht="44.1" customHeight="1">
      <c r="A3" s="79" t="s">
        <v>121</v>
      </c>
      <c r="B3" s="62" t="s">
        <v>77</v>
      </c>
      <c r="C3" s="62" t="s">
        <v>78</v>
      </c>
      <c r="D3" s="62" t="s">
        <v>79</v>
      </c>
      <c r="E3" s="62" t="s">
        <v>80</v>
      </c>
      <c r="F3" s="62" t="s">
        <v>81</v>
      </c>
      <c r="G3" s="62" t="s">
        <v>82</v>
      </c>
      <c r="H3" s="79" t="s">
        <v>138</v>
      </c>
    </row>
    <row r="4" spans="1:8" ht="57" customHeight="1">
      <c r="A4" s="83" t="s">
        <v>140</v>
      </c>
      <c r="B4" s="83" t="s">
        <v>128</v>
      </c>
      <c r="C4" s="83" t="s">
        <v>129</v>
      </c>
      <c r="D4" s="83" t="s">
        <v>130</v>
      </c>
      <c r="E4" s="83" t="s">
        <v>131</v>
      </c>
      <c r="F4" s="83" t="s">
        <v>141</v>
      </c>
      <c r="G4" s="83" t="s">
        <v>132</v>
      </c>
      <c r="H4" s="83" t="s">
        <v>139</v>
      </c>
    </row>
    <row r="5" spans="1:8" s="105" customFormat="1" ht="52.05" customHeight="1">
      <c r="A5" s="104">
        <v>1</v>
      </c>
      <c r="B5" s="104"/>
      <c r="C5" s="107" t="s">
        <v>225</v>
      </c>
      <c r="D5" s="106"/>
      <c r="E5" s="104"/>
      <c r="F5" s="104"/>
      <c r="G5" s="104" t="s">
        <v>224</v>
      </c>
      <c r="H5" s="104" t="s">
        <v>226</v>
      </c>
    </row>
    <row r="6" spans="1:8" ht="25.5" customHeight="1">
      <c r="A6" s="8">
        <v>2</v>
      </c>
      <c r="B6" s="8"/>
      <c r="C6" s="8"/>
      <c r="D6" s="8"/>
      <c r="E6" s="8"/>
      <c r="F6" s="8"/>
      <c r="G6" s="8"/>
      <c r="H6" s="8"/>
    </row>
    <row r="7" spans="1:8" ht="25.5" customHeight="1">
      <c r="A7" s="8">
        <v>3</v>
      </c>
      <c r="B7" s="8"/>
      <c r="C7" s="8"/>
      <c r="D7" s="8"/>
      <c r="E7" s="8"/>
      <c r="F7" s="8"/>
      <c r="G7" s="8"/>
      <c r="H7" s="8"/>
    </row>
    <row r="8" spans="1:8" ht="25.5" customHeight="1">
      <c r="A8" s="8">
        <v>4</v>
      </c>
      <c r="B8" s="8"/>
      <c r="C8" s="8"/>
      <c r="D8" s="8"/>
      <c r="E8" s="8"/>
      <c r="F8" s="8"/>
      <c r="G8" s="8"/>
      <c r="H8" s="8"/>
    </row>
    <row r="9" spans="1:8" ht="25.5" customHeight="1">
      <c r="A9" s="8">
        <v>5</v>
      </c>
      <c r="B9" s="8"/>
      <c r="C9" s="8"/>
      <c r="D9" s="8"/>
      <c r="E9" s="8"/>
      <c r="F9" s="8"/>
      <c r="G9" s="8"/>
      <c r="H9" s="8"/>
    </row>
    <row r="10" spans="1:8" ht="25.5" customHeight="1">
      <c r="A10" s="60">
        <v>6</v>
      </c>
      <c r="B10" s="60"/>
      <c r="C10" s="60"/>
      <c r="D10" s="60"/>
      <c r="E10" s="60"/>
      <c r="F10" s="60"/>
      <c r="G10" s="60"/>
      <c r="H10" s="60"/>
    </row>
    <row r="11" spans="1:8" ht="25.5" customHeight="1">
      <c r="A11" s="60">
        <v>7</v>
      </c>
      <c r="B11" s="60"/>
      <c r="C11" s="60"/>
      <c r="D11" s="60"/>
      <c r="E11" s="60"/>
      <c r="F11" s="60"/>
      <c r="G11" s="60"/>
      <c r="H11" s="60"/>
    </row>
    <row r="12" spans="1:8" ht="25.5" customHeight="1">
      <c r="A12" s="60">
        <v>8</v>
      </c>
      <c r="B12" s="60"/>
      <c r="C12" s="60"/>
      <c r="D12" s="60"/>
      <c r="E12" s="60"/>
      <c r="F12" s="60"/>
      <c r="G12" s="60"/>
      <c r="H12" s="60"/>
    </row>
    <row r="13" spans="1:8" ht="25.5" customHeight="1">
      <c r="A13" s="60">
        <v>9</v>
      </c>
      <c r="B13" s="60"/>
      <c r="C13" s="60"/>
      <c r="D13" s="60"/>
      <c r="E13" s="60"/>
      <c r="F13" s="60"/>
      <c r="G13" s="60"/>
      <c r="H13" s="60"/>
    </row>
    <row r="14" spans="1:8" ht="25.5" customHeight="1">
      <c r="A14" s="60">
        <v>10</v>
      </c>
      <c r="B14" s="60"/>
      <c r="C14" s="60"/>
      <c r="D14" s="60"/>
      <c r="E14" s="60"/>
      <c r="F14" s="60"/>
      <c r="G14" s="60"/>
      <c r="H14" s="60"/>
    </row>
    <row r="15" spans="1:8" ht="25.5" customHeight="1">
      <c r="A15" s="60">
        <v>11</v>
      </c>
      <c r="B15" s="60"/>
      <c r="C15" s="60"/>
      <c r="D15" s="60"/>
      <c r="E15" s="60"/>
      <c r="F15" s="60"/>
      <c r="G15" s="60"/>
      <c r="H15" s="60"/>
    </row>
    <row r="16" spans="1:8" ht="25.5" customHeight="1">
      <c r="A16" s="60">
        <v>12</v>
      </c>
      <c r="B16" s="60"/>
      <c r="C16" s="60"/>
      <c r="D16" s="60"/>
      <c r="E16" s="60"/>
      <c r="F16" s="60"/>
      <c r="G16" s="60"/>
      <c r="H16" s="60"/>
    </row>
    <row r="17" spans="1:8" ht="25.5" customHeight="1">
      <c r="A17" s="60">
        <v>13</v>
      </c>
      <c r="B17" s="60"/>
      <c r="C17" s="60"/>
      <c r="D17" s="60"/>
      <c r="E17" s="60"/>
      <c r="F17" s="60"/>
      <c r="G17" s="60"/>
      <c r="H17" s="60"/>
    </row>
    <row r="18" spans="1:8" ht="25.5" customHeight="1">
      <c r="A18" s="60">
        <v>14</v>
      </c>
      <c r="B18" s="60"/>
      <c r="C18" s="60"/>
      <c r="D18" s="60"/>
      <c r="E18" s="60"/>
      <c r="F18" s="60"/>
      <c r="G18" s="60"/>
      <c r="H18" s="60"/>
    </row>
    <row r="19" spans="1:8" ht="25.5" customHeight="1">
      <c r="A19" s="60">
        <v>15</v>
      </c>
      <c r="B19" s="60"/>
      <c r="C19" s="60"/>
      <c r="D19" s="60"/>
      <c r="E19" s="60"/>
      <c r="F19" s="60"/>
      <c r="G19" s="60"/>
      <c r="H19" s="60"/>
    </row>
    <row r="20" spans="1:8" ht="25.5" customHeight="1">
      <c r="A20" s="60">
        <v>16</v>
      </c>
      <c r="B20" s="60"/>
      <c r="C20" s="60"/>
      <c r="D20" s="60"/>
      <c r="E20" s="60"/>
      <c r="F20" s="60"/>
      <c r="G20" s="60"/>
      <c r="H20" s="60"/>
    </row>
    <row r="21" spans="1:8" ht="25.5" customHeight="1">
      <c r="A21" s="60">
        <v>17</v>
      </c>
      <c r="B21" s="60"/>
      <c r="C21" s="60"/>
      <c r="D21" s="60"/>
      <c r="E21" s="60"/>
      <c r="F21" s="60"/>
      <c r="G21" s="60"/>
      <c r="H21" s="60"/>
    </row>
    <row r="22" spans="1:8" ht="25.5" customHeight="1">
      <c r="A22" s="60">
        <v>18</v>
      </c>
      <c r="B22" s="60"/>
      <c r="C22" s="60"/>
      <c r="D22" s="60"/>
      <c r="E22" s="60"/>
      <c r="F22" s="60"/>
      <c r="G22" s="60"/>
      <c r="H22" s="60"/>
    </row>
    <row r="23" spans="1:8" ht="25.5" customHeight="1">
      <c r="A23" s="60">
        <v>19</v>
      </c>
      <c r="B23" s="60"/>
      <c r="C23" s="60"/>
      <c r="D23" s="60"/>
      <c r="E23" s="60"/>
      <c r="F23" s="60"/>
      <c r="G23" s="60"/>
      <c r="H23" s="60"/>
    </row>
    <row r="24" spans="1:8" ht="25.5" customHeight="1">
      <c r="A24" s="60">
        <v>20</v>
      </c>
      <c r="B24" s="60"/>
      <c r="C24" s="60"/>
      <c r="D24" s="60"/>
      <c r="E24" s="60"/>
      <c r="F24" s="60"/>
      <c r="G24" s="60"/>
      <c r="H24" s="60"/>
    </row>
    <row r="25" spans="1:8" ht="25.5" customHeight="1">
      <c r="A25" s="60">
        <v>21</v>
      </c>
      <c r="B25" s="60"/>
      <c r="C25" s="60"/>
      <c r="D25" s="60"/>
      <c r="E25" s="60"/>
      <c r="F25" s="60"/>
      <c r="G25" s="60"/>
      <c r="H25" s="60"/>
    </row>
    <row r="26" spans="1:8" ht="25.5" customHeight="1">
      <c r="A26" s="60">
        <v>22</v>
      </c>
      <c r="B26" s="60"/>
      <c r="C26" s="60"/>
      <c r="D26" s="60"/>
      <c r="E26" s="60"/>
      <c r="F26" s="60"/>
      <c r="G26" s="60"/>
      <c r="H26" s="6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dimension ref="A1:E27"/>
  <sheetViews>
    <sheetView showWhiteSpace="0" view="pageLayout" workbookViewId="0">
      <selection activeCell="C6" sqref="C6"/>
    </sheetView>
  </sheetViews>
  <sheetFormatPr defaultRowHeight="25.5" customHeight="1"/>
  <cols>
    <col min="1" max="1" width="4.21875" customWidth="1"/>
    <col min="2" max="2" width="22.109375" customWidth="1"/>
    <col min="3" max="3" width="25.77734375" customWidth="1"/>
    <col min="4" max="4" width="20.77734375" customWidth="1"/>
    <col min="5" max="5" width="24.44140625" customWidth="1"/>
  </cols>
  <sheetData>
    <row r="1" spans="1:5" ht="18" customHeight="1">
      <c r="A1" s="231" t="s">
        <v>122</v>
      </c>
      <c r="B1" s="232"/>
      <c r="C1" s="232"/>
      <c r="D1" s="232"/>
      <c r="E1" s="232"/>
    </row>
    <row r="2" spans="1:5" ht="18" customHeight="1">
      <c r="A2" s="233" t="s">
        <v>123</v>
      </c>
      <c r="B2" s="234"/>
      <c r="C2" s="234"/>
      <c r="D2" s="234"/>
      <c r="E2" s="234"/>
    </row>
    <row r="3" spans="1:5" ht="29.1" customHeight="1">
      <c r="A3" s="85" t="s">
        <v>133</v>
      </c>
      <c r="B3" s="85" t="s">
        <v>134</v>
      </c>
      <c r="C3" s="86" t="s">
        <v>135</v>
      </c>
      <c r="D3" s="86" t="s">
        <v>136</v>
      </c>
      <c r="E3" s="86"/>
    </row>
    <row r="4" spans="1:5" ht="32.549999999999997" customHeight="1">
      <c r="A4" s="82" t="s">
        <v>125</v>
      </c>
      <c r="B4" s="84" t="s">
        <v>126</v>
      </c>
      <c r="C4" s="82" t="s">
        <v>137</v>
      </c>
      <c r="D4" s="82" t="s">
        <v>124</v>
      </c>
      <c r="E4" s="62"/>
    </row>
    <row r="5" spans="1:5" ht="25.5" customHeight="1">
      <c r="A5" s="60">
        <v>1</v>
      </c>
      <c r="B5" s="60"/>
      <c r="C5" s="60"/>
      <c r="D5" s="60"/>
      <c r="E5" s="60"/>
    </row>
    <row r="6" spans="1:5" ht="25.5" customHeight="1">
      <c r="A6" s="60">
        <v>2</v>
      </c>
      <c r="B6" s="60"/>
      <c r="C6" s="60"/>
      <c r="D6" s="60"/>
      <c r="E6" s="60"/>
    </row>
    <row r="7" spans="1:5" ht="25.5" customHeight="1">
      <c r="A7" s="60">
        <v>3</v>
      </c>
      <c r="B7" s="60"/>
      <c r="C7" s="60"/>
      <c r="D7" s="60"/>
      <c r="E7" s="60"/>
    </row>
    <row r="8" spans="1:5" ht="25.5" customHeight="1">
      <c r="A8" s="60">
        <v>4</v>
      </c>
      <c r="B8" s="60"/>
      <c r="C8" s="60"/>
      <c r="D8" s="60"/>
      <c r="E8" s="60"/>
    </row>
    <row r="9" spans="1:5" ht="25.5" customHeight="1">
      <c r="A9" s="60">
        <v>5</v>
      </c>
      <c r="B9" s="60"/>
      <c r="C9" s="60"/>
      <c r="D9" s="60"/>
      <c r="E9" s="60"/>
    </row>
    <row r="10" spans="1:5" ht="25.5" customHeight="1">
      <c r="A10" s="60">
        <v>6</v>
      </c>
      <c r="B10" s="60"/>
      <c r="C10" s="60"/>
      <c r="D10" s="60"/>
      <c r="E10" s="60"/>
    </row>
    <row r="11" spans="1:5" ht="25.5" customHeight="1">
      <c r="A11" s="60">
        <v>7</v>
      </c>
      <c r="B11" s="60"/>
      <c r="C11" s="60"/>
      <c r="D11" s="60"/>
      <c r="E11" s="60"/>
    </row>
    <row r="12" spans="1:5" ht="25.5" customHeight="1">
      <c r="A12" s="60">
        <v>8</v>
      </c>
      <c r="B12" s="60"/>
      <c r="C12" s="60"/>
      <c r="D12" s="60"/>
      <c r="E12" s="60"/>
    </row>
    <row r="13" spans="1:5" ht="25.5" customHeight="1">
      <c r="A13" s="60">
        <v>9</v>
      </c>
      <c r="B13" s="60"/>
      <c r="C13" s="60"/>
      <c r="D13" s="60"/>
      <c r="E13" s="60"/>
    </row>
    <row r="14" spans="1:5" ht="25.5" customHeight="1">
      <c r="A14" s="60">
        <v>10</v>
      </c>
      <c r="B14" s="60"/>
      <c r="C14" s="60"/>
      <c r="D14" s="60"/>
      <c r="E14" s="60"/>
    </row>
    <row r="15" spans="1:5" ht="25.5" customHeight="1">
      <c r="A15" s="60">
        <v>11</v>
      </c>
      <c r="B15" s="60"/>
      <c r="C15" s="60"/>
      <c r="D15" s="60"/>
      <c r="E15" s="60"/>
    </row>
    <row r="16" spans="1:5" ht="25.5" customHeight="1">
      <c r="A16" s="60">
        <v>12</v>
      </c>
      <c r="B16" s="60"/>
      <c r="C16" s="60"/>
      <c r="D16" s="60"/>
      <c r="E16" s="60"/>
    </row>
    <row r="17" spans="1:5" ht="25.5" customHeight="1">
      <c r="A17" s="60">
        <v>13</v>
      </c>
      <c r="B17" s="60"/>
      <c r="C17" s="60"/>
      <c r="D17" s="60"/>
      <c r="E17" s="60"/>
    </row>
    <row r="18" spans="1:5" ht="25.5" customHeight="1">
      <c r="A18" s="60">
        <v>14</v>
      </c>
      <c r="B18" s="60"/>
      <c r="C18" s="60"/>
      <c r="D18" s="60"/>
      <c r="E18" s="60"/>
    </row>
    <row r="19" spans="1:5" ht="25.5" customHeight="1">
      <c r="A19" s="60">
        <v>15</v>
      </c>
      <c r="B19" s="60"/>
      <c r="C19" s="60"/>
      <c r="D19" s="60"/>
      <c r="E19" s="60"/>
    </row>
    <row r="20" spans="1:5" ht="25.5" customHeight="1">
      <c r="A20" s="60">
        <v>16</v>
      </c>
      <c r="B20" s="60"/>
      <c r="C20" s="60"/>
      <c r="D20" s="60"/>
      <c r="E20" s="60"/>
    </row>
    <row r="21" spans="1:5" ht="25.5" customHeight="1">
      <c r="A21" s="60">
        <v>17</v>
      </c>
      <c r="B21" s="60"/>
      <c r="C21" s="60"/>
      <c r="D21" s="60"/>
      <c r="E21" s="60"/>
    </row>
    <row r="22" spans="1:5" ht="25.5" customHeight="1">
      <c r="A22" s="60">
        <v>18</v>
      </c>
      <c r="B22" s="60"/>
      <c r="C22" s="60"/>
      <c r="D22" s="60"/>
      <c r="E22" s="60"/>
    </row>
    <row r="23" spans="1:5" ht="25.5" customHeight="1">
      <c r="A23" s="60">
        <v>19</v>
      </c>
      <c r="B23" s="60"/>
      <c r="C23" s="60"/>
      <c r="D23" s="60"/>
      <c r="E23" s="60"/>
    </row>
    <row r="24" spans="1:5" ht="25.5" customHeight="1">
      <c r="A24" s="60">
        <v>20</v>
      </c>
      <c r="B24" s="60"/>
      <c r="C24" s="60"/>
      <c r="D24" s="60"/>
      <c r="E24" s="60"/>
    </row>
    <row r="25" spans="1:5" ht="25.5" customHeight="1">
      <c r="A25" s="60">
        <v>21</v>
      </c>
      <c r="B25" s="60"/>
      <c r="C25" s="60"/>
      <c r="D25" s="60"/>
      <c r="E25" s="60"/>
    </row>
    <row r="26" spans="1:5" ht="25.5" customHeight="1">
      <c r="A26" s="60">
        <v>22</v>
      </c>
      <c r="B26" s="60"/>
      <c r="C26" s="60"/>
      <c r="D26" s="60"/>
      <c r="E26" s="60"/>
    </row>
    <row r="27" spans="1:5" ht="25.5" customHeight="1">
      <c r="A27" s="60">
        <v>23</v>
      </c>
      <c r="B27" s="60"/>
      <c r="C27" s="60"/>
      <c r="D27" s="60"/>
      <c r="E27" s="6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cp:lastPrinted>2024-10-30T03:40:11Z</cp:lastPrinted>
  <dcterms:created xsi:type="dcterms:W3CDTF">2023-09-21T06:16:02Z</dcterms:created>
  <dcterms:modified xsi:type="dcterms:W3CDTF">2024-11-07T16:31:34Z</dcterms:modified>
</cp:coreProperties>
</file>