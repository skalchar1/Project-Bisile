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480" yWindow="360" windowWidth="19416" windowHeight="7656" activeTab="4"/>
  </bookViews>
  <sheets>
    <sheet name="Form-1" sheetId="12" r:id="rId1"/>
    <sheet name="Form-2" sheetId="13" r:id="rId2"/>
    <sheet name="F-III A1" sheetId="16" r:id="rId3"/>
    <sheet name="FIII A2 (2)" sheetId="17" r:id="rId4"/>
    <sheet name="F-B" sheetId="8" r:id="rId5"/>
    <sheet name="Form C" sheetId="9" r:id="rId6"/>
    <sheet name="Form 8" sheetId="10" r:id="rId7"/>
    <sheet name="NTFP-Med Plant" sheetId="11" r:id="rId8"/>
    <sheet name="Canes" sheetId="14" r:id="rId9"/>
    <sheet name="SSN" sheetId="15" r:id="rId10"/>
  </sheets>
  <externalReferences>
    <externalReference r:id="rId11"/>
    <externalReference r:id="rId12"/>
  </externalReferences>
  <definedNames>
    <definedName name="_xlnm._FilterDatabase" localSheetId="9" hidden="1">SSN!$D$1:$D$137</definedName>
    <definedName name="_xlnm.Print_Titles" localSheetId="4">'F-B'!$1:$1</definedName>
    <definedName name="_xlnm.Print_Titles" localSheetId="2">'F-III A1'!$9:$10</definedName>
    <definedName name="_xlnm.Print_Titles" localSheetId="5">'Form C'!$1:$1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9"/>
  <c r="F1"/>
  <c r="C2" i="8"/>
  <c r="C9" s="1"/>
  <c r="C18" s="1"/>
  <c r="C25" s="1"/>
  <c r="K6" i="16"/>
  <c r="C7"/>
  <c r="G7"/>
  <c r="C5"/>
  <c r="K7"/>
  <c r="G6"/>
  <c r="C6"/>
  <c r="C12" i="13" l="1"/>
  <c r="C11"/>
  <c r="B25" i="8" l="1"/>
  <c r="C19" i="13"/>
  <c r="C21"/>
  <c r="C10"/>
  <c r="C9"/>
  <c r="C8"/>
  <c r="C7"/>
  <c r="B9" i="8" l="1"/>
  <c r="B18"/>
</calcChain>
</file>

<file path=xl/sharedStrings.xml><?xml version="1.0" encoding="utf-8"?>
<sst xmlns="http://schemas.openxmlformats.org/spreadsheetml/2006/main" count="644" uniqueCount="497">
  <si>
    <t>Form I</t>
  </si>
  <si>
    <t>PLOT APPROACH FORM</t>
  </si>
  <si>
    <t>Heading</t>
  </si>
  <si>
    <t>Description</t>
  </si>
  <si>
    <t>Journey/approach to the plot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</si>
  <si>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</si>
  <si>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</si>
  <si>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</si>
  <si>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</si>
  <si>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</si>
  <si>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</si>
  <si>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Soil data</t>
  </si>
  <si>
    <t>Faunal sighting, if any</t>
  </si>
  <si>
    <t>Faunal traces of flagship species.</t>
  </si>
  <si>
    <t>1(3)</t>
  </si>
  <si>
    <t>2(2)</t>
  </si>
  <si>
    <t>3(6)</t>
  </si>
  <si>
    <t>4(6)</t>
  </si>
  <si>
    <t>7(1)</t>
  </si>
  <si>
    <t>10(3)</t>
  </si>
  <si>
    <t>Date:-</t>
  </si>
  <si>
    <t>Note:-</t>
  </si>
  <si>
    <t>Job No.</t>
  </si>
  <si>
    <t>9(1)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</si>
  <si>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</si>
  <si>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</si>
  <si>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</si>
  <si>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</si>
  <si>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</si>
  <si>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</si>
  <si>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</si>
  <si>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</si>
  <si>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</si>
  <si>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</si>
  <si>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</si>
  <si>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</si>
  <si>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</si>
  <si>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</si>
  <si>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</si>
  <si>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</si>
  <si>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</si>
  <si>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</si>
  <si>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 xml:space="preserve">SOUTH EAST CORNER </t>
  </si>
  <si>
    <t>NORTH WEST CORNER</t>
  </si>
  <si>
    <t>Height  (in cm)</t>
  </si>
  <si>
    <t>Remarks, if any, about the condition of herbal vegetation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</si>
  <si>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</si>
  <si>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</si>
  <si>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</si>
  <si>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</si>
  <si>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</si>
  <si>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</si>
  <si>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</si>
  <si>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</si>
  <si>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</si>
  <si>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</si>
  <si>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</si>
  <si>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</si>
  <si>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</si>
  <si>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</si>
  <si>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</si>
  <si>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Stump Information*</t>
  </si>
  <si>
    <t>Dead wood information*</t>
  </si>
  <si>
    <t>Species code</t>
  </si>
  <si>
    <t>8(4)</t>
  </si>
  <si>
    <t>11(3)</t>
  </si>
  <si>
    <t>12(4)</t>
  </si>
  <si>
    <t>13(3)</t>
  </si>
  <si>
    <t>14(3)</t>
  </si>
  <si>
    <t>Signature of the Crew</t>
  </si>
  <si>
    <t>Leader:-</t>
  </si>
  <si>
    <t>i)</t>
  </si>
  <si>
    <t>Firt Number in the row below the field headings represents the column number and the number inside the bracket represents the column width</t>
  </si>
  <si>
    <t>Distance of Grid Centre from reference tree</t>
  </si>
  <si>
    <t>length of the log (cm)</t>
  </si>
  <si>
    <t>NTFP/Medicinal plants information</t>
  </si>
  <si>
    <t>Tree SPP</t>
  </si>
  <si>
    <t>Shrub</t>
  </si>
  <si>
    <t>hurb</t>
  </si>
  <si>
    <t>Climber</t>
  </si>
  <si>
    <t>Lichenes</t>
  </si>
  <si>
    <t xml:space="preserve">Parts used </t>
  </si>
  <si>
    <t>Name of Division : Sagara</t>
  </si>
  <si>
    <t>(         /        /                )</t>
  </si>
  <si>
    <r>
      <t>Range/</t>
    </r>
    <r>
      <rPr>
        <sz val="12"/>
        <color rgb="FF000000"/>
        <rFont val="Nudi web 01 e"/>
      </rPr>
      <t>ªÀ®AiÀÄ</t>
    </r>
  </si>
  <si>
    <t xml:space="preserve">Block and/or beat </t>
  </si>
  <si>
    <t xml:space="preserve">Compartment </t>
  </si>
  <si>
    <t xml:space="preserve">Ocular stock assessment </t>
  </si>
  <si>
    <t xml:space="preserve">(1)Tract - </t>
  </si>
  <si>
    <t>(2) Aspect - North/South/East/ West/North-East/South-East /North-West/South-west</t>
  </si>
  <si>
    <t>(10) Underwood  Species-</t>
  </si>
  <si>
    <t>(11) Climbers-</t>
  </si>
  <si>
    <t xml:space="preserve"> (12) Rattans - </t>
  </si>
  <si>
    <t xml:space="preserve"> (13) NTFP yielding Sps - </t>
  </si>
  <si>
    <t>Refrence  Tree Sl No</t>
  </si>
  <si>
    <t>Name of Division: Sagara</t>
  </si>
  <si>
    <t>S.No</t>
  </si>
  <si>
    <t>Plantation status :</t>
  </si>
  <si>
    <t>water bodies :</t>
  </si>
  <si>
    <r>
      <t xml:space="preserve">Grid  / </t>
    </r>
    <r>
      <rPr>
        <sz val="11"/>
        <color rgb="FF000000"/>
        <rFont val="Nudi 01 e"/>
      </rPr>
      <t>Væqï ¸ÀASÉå</t>
    </r>
  </si>
  <si>
    <r>
      <rPr>
        <b/>
        <u/>
        <sz val="11"/>
        <color rgb="FF000000"/>
        <rFont val="Calibri"/>
        <family val="2"/>
      </rPr>
      <t>Legal status</t>
    </r>
    <r>
      <rPr>
        <sz val="11"/>
        <color rgb="FF000000"/>
        <rFont val="Calibri"/>
        <family val="2"/>
      </rPr>
      <t xml:space="preserve"> - Reserve Forest / Protected Forest/ Un classed Forest /Private Forest/ Private Land</t>
    </r>
  </si>
  <si>
    <r>
      <rPr>
        <b/>
        <u/>
        <sz val="11"/>
        <color rgb="FF000000"/>
        <rFont val="Calibri"/>
        <family val="2"/>
      </rPr>
      <t>Land Use</t>
    </r>
    <r>
      <rPr>
        <sz val="11"/>
        <color rgb="FF000000"/>
        <rFont val="Calibri"/>
        <family val="2"/>
      </rPr>
      <t xml:space="preserve"> - Closed Forest /Dense Forest /Open Forest / Bamboo Forest/Grass land/Forest Roads/Scrub Forest</t>
    </r>
  </si>
  <si>
    <r>
      <rPr>
        <b/>
        <u/>
        <sz val="11"/>
        <color rgb="FF000000"/>
        <rFont val="Calibri"/>
        <family val="2"/>
      </rPr>
      <t>General topography</t>
    </r>
    <r>
      <rPr>
        <sz val="11"/>
        <color rgb="FF000000"/>
        <rFont val="Calibri"/>
        <family val="2"/>
      </rPr>
      <t xml:space="preserve"> : (Flat / Gently rolling / Hilly /Very Hilly/ Ravines / Gullies</t>
    </r>
  </si>
  <si>
    <r>
      <rPr>
        <b/>
        <u/>
        <sz val="11"/>
        <color rgb="FF000000"/>
        <rFont val="Calibri"/>
        <family val="2"/>
      </rPr>
      <t>Slope(in degrees</t>
    </r>
    <r>
      <rPr>
        <sz val="11"/>
        <color rgb="FF000000"/>
        <rFont val="Calibri"/>
        <family val="2"/>
      </rPr>
      <t>):Upto 3° /4°-15°/16°-40°/41° and Above)</t>
    </r>
  </si>
  <si>
    <r>
      <rPr>
        <b/>
        <u/>
        <sz val="11"/>
        <color rgb="FF000000"/>
        <rFont val="Calibri"/>
        <family val="2"/>
      </rPr>
      <t>Aspect</t>
    </r>
    <r>
      <rPr>
        <sz val="11"/>
        <color rgb="FF000000"/>
        <rFont val="Calibri"/>
        <family val="2"/>
      </rPr>
      <t xml:space="preserve"> - North/South/East/ West/North-East/South-East /North-West/South-west</t>
    </r>
  </si>
  <si>
    <r>
      <rPr>
        <b/>
        <u/>
        <sz val="11"/>
        <color rgb="FF000000"/>
        <rFont val="Calibri"/>
        <family val="2"/>
      </rPr>
      <t>Rock and geology</t>
    </r>
    <r>
      <rPr>
        <sz val="11"/>
        <color rgb="FF000000"/>
        <rFont val="Calibri"/>
        <family val="2"/>
      </rPr>
      <t xml:space="preserve"> - Igneous Rocks / Sedimentary Rocks / Metamorphic Rocks  </t>
    </r>
  </si>
  <si>
    <r>
      <rPr>
        <b/>
        <u/>
        <sz val="11"/>
        <color rgb="FF000000"/>
        <rFont val="Calibri"/>
        <family val="2"/>
      </rPr>
      <t>Soil erosion</t>
    </r>
    <r>
      <rPr>
        <sz val="11"/>
        <color rgb="FF000000"/>
        <rFont val="Calibri"/>
        <family val="2"/>
      </rPr>
      <t xml:space="preserve"> : Heavy / Moderate /Mild /No erosion</t>
    </r>
  </si>
  <si>
    <r>
      <rPr>
        <b/>
        <u/>
        <sz val="11"/>
        <color rgb="FF000000"/>
        <rFont val="Calibri"/>
        <family val="2"/>
      </rPr>
      <t>Crop composition</t>
    </r>
    <r>
      <rPr>
        <sz val="11"/>
        <color rgb="FF000000"/>
        <rFont val="Calibri"/>
        <family val="2"/>
      </rPr>
      <t xml:space="preserve"> : </t>
    </r>
  </si>
  <si>
    <r>
      <rPr>
        <b/>
        <u/>
        <sz val="11"/>
        <color rgb="FF000000"/>
        <rFont val="Calibri"/>
        <family val="2"/>
      </rPr>
      <t>Regeneration status</t>
    </r>
    <r>
      <rPr>
        <sz val="11"/>
        <color rgb="FF000000"/>
        <rFont val="Calibri"/>
        <family val="2"/>
      </rPr>
      <t xml:space="preserve"> : Adequate/ Moderate/ Poor /Absent</t>
    </r>
  </si>
  <si>
    <r>
      <rPr>
        <b/>
        <u/>
        <sz val="11"/>
        <color rgb="FF000000"/>
        <rFont val="Calibri"/>
        <family val="2"/>
      </rPr>
      <t>Injury/ damage to crop, if any</t>
    </r>
    <r>
      <rPr>
        <sz val="11"/>
        <color rgb="FF000000"/>
        <rFont val="Calibri"/>
        <family val="2"/>
      </rPr>
      <t xml:space="preserve"> : Top drying /Insect attack/Fungal infection/Leaf defoliator /  Lopping / Girdling / Scarring / Damage by natural calamities / Damage by Wild life / Damage by Fire / None</t>
    </r>
  </si>
  <si>
    <r>
      <rPr>
        <b/>
        <u/>
        <sz val="11"/>
        <color rgb="FF000000"/>
        <rFont val="Calibri"/>
        <family val="2"/>
      </rPr>
      <t>Grazing incidence</t>
    </r>
    <r>
      <rPr>
        <sz val="11"/>
        <color rgb="FF000000"/>
        <rFont val="Calibri"/>
        <family val="2"/>
      </rPr>
      <t xml:space="preserve"> : Heavy / Moderate / Light / None</t>
    </r>
  </si>
  <si>
    <r>
      <rPr>
        <b/>
        <u/>
        <sz val="11"/>
        <color rgb="FF000000"/>
        <rFont val="Calibri"/>
        <family val="2"/>
      </rPr>
      <t>Presence of bamboos</t>
    </r>
    <r>
      <rPr>
        <sz val="11"/>
        <color rgb="FF000000"/>
        <rFont val="Calibri"/>
        <family val="2"/>
      </rPr>
      <t xml:space="preserve"> : Present / Absent</t>
    </r>
  </si>
  <si>
    <r>
      <t>Presence of grasses</t>
    </r>
    <r>
      <rPr>
        <sz val="11"/>
        <color rgb="FF000000"/>
        <rFont val="Calibri"/>
        <family val="2"/>
      </rPr>
      <t xml:space="preserve"> : Very dense / Dense / Moderate / Scanty / Absent</t>
    </r>
  </si>
  <si>
    <r>
      <rPr>
        <b/>
        <u/>
        <sz val="11"/>
        <color rgb="FF000000"/>
        <rFont val="Calibri"/>
        <family val="2"/>
      </rPr>
      <t>Presence of weeds</t>
    </r>
    <r>
      <rPr>
        <sz val="11"/>
        <color rgb="FF000000"/>
        <rFont val="Calibri"/>
        <family val="2"/>
      </rPr>
      <t xml:space="preserve"> : Very dense / Dense / Moderate / Scanty / Absent</t>
    </r>
  </si>
  <si>
    <t>Heavily degrated/ Moderately degrated / Mildly degrated /Not degrated</t>
  </si>
  <si>
    <t xml:space="preserve">Canopy Density -  % </t>
  </si>
  <si>
    <t>Presence Of Invasive Species :</t>
  </si>
  <si>
    <r>
      <rPr>
        <b/>
        <u/>
        <sz val="11"/>
        <color rgb="FF000000"/>
        <rFont val="Calibri"/>
        <family val="2"/>
      </rPr>
      <t>Drivers of degradation</t>
    </r>
    <r>
      <rPr>
        <sz val="11"/>
        <color rgb="FF000000"/>
        <rFont val="Calibri"/>
        <family val="2"/>
      </rPr>
      <t xml:space="preserve"> </t>
    </r>
    <r>
      <rPr>
        <b/>
        <u/>
        <sz val="11"/>
        <color rgb="FF000000"/>
        <rFont val="Calibri"/>
        <family val="2"/>
      </rPr>
      <t>&amp; Biotic Influence</t>
    </r>
    <r>
      <rPr>
        <sz val="11"/>
        <color rgb="FF000000"/>
        <rFont val="Calibri"/>
        <family val="2"/>
      </rPr>
      <t xml:space="preserve"> :  
</t>
    </r>
  </si>
  <si>
    <t>Sub-plot number*</t>
  </si>
  <si>
    <t>DBH/Dia (cm)</t>
  </si>
  <si>
    <t>Height    (in cm.)</t>
  </si>
  <si>
    <t>Dia (in.cm)</t>
  </si>
  <si>
    <t>Satus of stump (alive/dead)</t>
  </si>
  <si>
    <t xml:space="preserve">    PLOT ENUMERATION FORM – B (3m X 3m Plot)       </t>
  </si>
  <si>
    <t>Approx. weight or Nos.</t>
  </si>
  <si>
    <t xml:space="preserve">Part of the plant body </t>
  </si>
  <si>
    <t>Sl No</t>
  </si>
  <si>
    <t xml:space="preserve">Canes information </t>
  </si>
  <si>
    <t>¨ÉvÀÛUÀ¼À §UÉÎ ªÀiÁ»w</t>
  </si>
  <si>
    <t>QgÀÄ CgÀtå GvÀà£ÀßUÀ¼À£ÀÄß ¤ÃqÀÄªÀ ¸À¸ÀåUÀ¼ÀÄ/ªÀÄgÀUÀ¼ÀÄ ºÁUÀÆ OµÀ¢üÃAiÀÄ ¸À¸ÀåUÀ¼ÀÄ</t>
  </si>
  <si>
    <t>Sl.No.</t>
  </si>
  <si>
    <t>Cane Species Local Name</t>
  </si>
  <si>
    <t>Botanical Name</t>
  </si>
  <si>
    <t>Aproximate Nos</t>
  </si>
  <si>
    <t xml:space="preserve">Aprox qty/No </t>
  </si>
  <si>
    <t>west</t>
  </si>
  <si>
    <t>madambadi</t>
  </si>
  <si>
    <t xml:space="preserve">dalchinni  ram pathre </t>
  </si>
  <si>
    <t>reserve forest</t>
  </si>
  <si>
    <t>dense forest</t>
  </si>
  <si>
    <t>guddadinda koodide</t>
  </si>
  <si>
    <t>heavy vate dalchinni</t>
  </si>
  <si>
    <t>30gm</t>
  </si>
  <si>
    <t>15gm</t>
  </si>
  <si>
    <t>20gm</t>
  </si>
  <si>
    <t>420gms</t>
  </si>
  <si>
    <t>60kg</t>
  </si>
  <si>
    <t>beete</t>
  </si>
  <si>
    <t>Collar Dia
In mm (if any)</t>
  </si>
  <si>
    <t>bhogi</t>
  </si>
  <si>
    <t>salle</t>
  </si>
  <si>
    <t>1.3kg</t>
  </si>
  <si>
    <t>halbettha</t>
  </si>
  <si>
    <t>hedagalu</t>
  </si>
  <si>
    <t>madmbadi</t>
  </si>
  <si>
    <t>sampige</t>
  </si>
  <si>
    <t>kadumenasu</t>
  </si>
  <si>
    <t>neralu</t>
  </si>
  <si>
    <t>humi balli</t>
  </si>
  <si>
    <t>holegere</t>
  </si>
  <si>
    <t>matthi</t>
  </si>
  <si>
    <t>huriakki</t>
  </si>
  <si>
    <t>hunalu</t>
  </si>
  <si>
    <t>kiral bhogi</t>
  </si>
  <si>
    <t>balupale</t>
  </si>
  <si>
    <t>sirihonne</t>
  </si>
  <si>
    <t>navukatteballi</t>
  </si>
  <si>
    <t>c</t>
  </si>
  <si>
    <t>kadukaffe</t>
  </si>
  <si>
    <t>netti</t>
  </si>
  <si>
    <t>kayidhoopa</t>
  </si>
  <si>
    <t>dalchinni</t>
  </si>
  <si>
    <t xml:space="preserve">Hunalu </t>
  </si>
  <si>
    <t>hurag, nitti</t>
  </si>
  <si>
    <t>Char, Kiral bhogi ,Ram pathre ,Ame vaate, Neervate,Hebbidiru,</t>
  </si>
  <si>
    <t>Hilly</t>
  </si>
  <si>
    <t>Western Aspect</t>
  </si>
  <si>
    <t>(3) Canopy Density -  % ( &gt;0.75 / 0.5-0.75 / &lt;0.5)</t>
  </si>
  <si>
    <t>Hambuhullu</t>
  </si>
  <si>
    <r>
      <rPr>
        <i/>
        <u/>
        <sz val="11"/>
        <rFont val="Calibri"/>
        <family val="2"/>
      </rPr>
      <t>Bambus bambos</t>
    </r>
    <r>
      <rPr>
        <sz val="11"/>
        <rFont val="Calibri"/>
        <family val="2"/>
      </rPr>
      <t xml:space="preserve"> present in moderate density</t>
    </r>
  </si>
  <si>
    <r>
      <t xml:space="preserve">Madambadi /Datle </t>
    </r>
    <r>
      <rPr>
        <i/>
        <u/>
        <sz val="11"/>
        <rFont val="Calibri"/>
        <family val="2"/>
      </rPr>
      <t>(Psychotria sps )</t>
    </r>
  </si>
  <si>
    <t>Red Sandy loam</t>
  </si>
  <si>
    <r>
      <t>Salle(</t>
    </r>
    <r>
      <rPr>
        <i/>
        <u/>
        <sz val="11"/>
        <rFont val="Calibri"/>
        <family val="2"/>
      </rPr>
      <t>Aporousa lindleyana</t>
    </r>
    <r>
      <rPr>
        <sz val="11"/>
        <rFont val="Calibri"/>
        <family val="2"/>
      </rPr>
      <t xml:space="preserve"> ), Huraiga (</t>
    </r>
    <r>
      <rPr>
        <i/>
        <u/>
        <sz val="11"/>
        <rFont val="Calibri"/>
        <family val="2"/>
      </rPr>
      <t>Actinodaphne hookeri</t>
    </r>
    <r>
      <rPr>
        <sz val="11"/>
        <rFont val="Calibri"/>
        <family val="2"/>
      </rPr>
      <t>)</t>
    </r>
  </si>
  <si>
    <t xml:space="preserve">Kadumenasu, Navakatte,Agcheppu, Arike balli </t>
  </si>
  <si>
    <t>Nagabettha. Halbettha, Handi bettha present in Moderate density</t>
  </si>
  <si>
    <t>Dalchinni, Hedagalu,Netti,Maddarasa,Kendal,Hulisedru,Kadugere</t>
  </si>
  <si>
    <r>
      <t>Madambadi /Datle (</t>
    </r>
    <r>
      <rPr>
        <i/>
        <u/>
        <sz val="11"/>
        <rFont val="Calibri"/>
        <family val="2"/>
      </rPr>
      <t xml:space="preserve">Psychotria sps </t>
    </r>
    <r>
      <rPr>
        <sz val="11"/>
        <rFont val="Calibri"/>
        <family val="2"/>
      </rPr>
      <t>),Huraiga (</t>
    </r>
    <r>
      <rPr>
        <i/>
        <u/>
        <sz val="11"/>
        <rFont val="Calibri"/>
        <family val="2"/>
      </rPr>
      <t>Actinodaphne hookeri</t>
    </r>
    <r>
      <rPr>
        <sz val="11"/>
        <rFont val="Calibri"/>
        <family val="2"/>
      </rPr>
      <t>),Neervate,</t>
    </r>
  </si>
  <si>
    <t>25-30  Head loads / year</t>
  </si>
  <si>
    <t>1 mtr</t>
  </si>
  <si>
    <t xml:space="preserve">Block and or beat </t>
  </si>
  <si>
    <t>4 to 15</t>
  </si>
  <si>
    <t>(1) Soil Type</t>
  </si>
  <si>
    <t>(2) Soil Permeability</t>
  </si>
  <si>
    <t>(3) Soil Depth</t>
  </si>
  <si>
    <t>Igneous rock, Sedimentory rocks</t>
  </si>
  <si>
    <t>(4) Rock-</t>
  </si>
  <si>
    <t>(5) Soil-</t>
  </si>
  <si>
    <t>(6) Grasses-</t>
  </si>
  <si>
    <t>(7) weeds-</t>
  </si>
  <si>
    <t>(8) Bamboos -</t>
  </si>
  <si>
    <t>(9) Herbs-</t>
  </si>
  <si>
    <t>(10) Shrubs -</t>
  </si>
  <si>
    <t>90 cm</t>
  </si>
  <si>
    <t>High</t>
  </si>
  <si>
    <t>Mild</t>
  </si>
  <si>
    <t>Adequate</t>
  </si>
  <si>
    <t>None</t>
  </si>
  <si>
    <t xml:space="preserve">Dense </t>
  </si>
  <si>
    <t>Absent</t>
  </si>
  <si>
    <t>Navakatte balli. Humi balli,Balli kasaraka</t>
  </si>
  <si>
    <t>Hadikallu hole present on the west of the plot</t>
  </si>
  <si>
    <t>No activity and  not degraded</t>
  </si>
  <si>
    <t>No</t>
  </si>
  <si>
    <t>Foot prints of Indian gaur present</t>
  </si>
  <si>
    <t>Psychotria sps</t>
  </si>
  <si>
    <t>Calamus</t>
  </si>
  <si>
    <t>Myristica attenuata</t>
  </si>
  <si>
    <t>Hopea parviflora</t>
  </si>
  <si>
    <t>Flacourtia montana</t>
  </si>
  <si>
    <t>Piper nigrum</t>
  </si>
  <si>
    <t>Syzygium cumini</t>
  </si>
  <si>
    <t>0.30 Kg</t>
  </si>
  <si>
    <t>2.456 kg</t>
  </si>
  <si>
    <t>1.878 kg</t>
  </si>
  <si>
    <t>0.457 kg</t>
  </si>
  <si>
    <t>5 Kg</t>
  </si>
  <si>
    <t>kendal</t>
  </si>
  <si>
    <t>Aporousa lindleyana</t>
  </si>
  <si>
    <t>Local Name</t>
  </si>
  <si>
    <t>A</t>
  </si>
  <si>
    <t>Akkarkal</t>
  </si>
  <si>
    <t>Linociera malabarica</t>
  </si>
  <si>
    <t>Akkballi</t>
  </si>
  <si>
    <t>Pothos scandens</t>
  </si>
  <si>
    <t>Anangi</t>
  </si>
  <si>
    <t>Andi</t>
  </si>
  <si>
    <t>Carallia brachiata</t>
  </si>
  <si>
    <t>Aramadla</t>
  </si>
  <si>
    <t>Zanthoxylum rhetusa</t>
  </si>
  <si>
    <t>Arshinagurige</t>
  </si>
  <si>
    <t>Garcinia morella</t>
  </si>
  <si>
    <t>Archati</t>
  </si>
  <si>
    <t>Memecylon sps</t>
  </si>
  <si>
    <t>B</t>
  </si>
  <si>
    <t>Banati</t>
  </si>
  <si>
    <t>Lophopetalum wightianum</t>
  </si>
  <si>
    <t>Barakanabalige</t>
  </si>
  <si>
    <t>Bharanige</t>
  </si>
  <si>
    <t>Vitex altissima</t>
  </si>
  <si>
    <t>BiliNushni</t>
  </si>
  <si>
    <t>Cinnamomum sulphuratum</t>
  </si>
  <si>
    <t>Bodajanga</t>
  </si>
  <si>
    <t>Dichapetalum gelonioides</t>
  </si>
  <si>
    <t>Bolhuraiga</t>
  </si>
  <si>
    <t>Byne</t>
  </si>
  <si>
    <t>Caryota urens</t>
  </si>
  <si>
    <t>C</t>
  </si>
  <si>
    <t>Chanakalu</t>
  </si>
  <si>
    <t>Macaranga peltata</t>
  </si>
  <si>
    <t>Chippilaballi</t>
  </si>
  <si>
    <t>Chevi</t>
  </si>
  <si>
    <t>Dracaena terniflora</t>
  </si>
  <si>
    <t>Chunga</t>
  </si>
  <si>
    <t>Symplocos cochinensis</t>
  </si>
  <si>
    <t>Chungbalale</t>
  </si>
  <si>
    <t>Elaeocarpus serratus</t>
  </si>
  <si>
    <t>D</t>
  </si>
  <si>
    <t>Datle</t>
  </si>
  <si>
    <t>Dalchini</t>
  </si>
  <si>
    <t>Cinnamomum malabaricum</t>
  </si>
  <si>
    <t>Devadari</t>
  </si>
  <si>
    <t>Erythroxylon monogynum</t>
  </si>
  <si>
    <t>E</t>
  </si>
  <si>
    <t>Nelli</t>
  </si>
  <si>
    <t>Emblica officinalis</t>
  </si>
  <si>
    <t>G</t>
  </si>
  <si>
    <t>Garagatti</t>
  </si>
  <si>
    <t>Ficus asperrima</t>
  </si>
  <si>
    <t>Garige</t>
  </si>
  <si>
    <t>Garuga pinnata</t>
  </si>
  <si>
    <t>Godda</t>
  </si>
  <si>
    <t>Lanea Coramandalica</t>
  </si>
  <si>
    <t>Gorabale</t>
  </si>
  <si>
    <t>Ixora brachiata</t>
  </si>
  <si>
    <t>Gudubalu</t>
  </si>
  <si>
    <t>Gulmavu</t>
  </si>
  <si>
    <t>Machilus macrantha</t>
  </si>
  <si>
    <t>Guddedasavala</t>
  </si>
  <si>
    <t>Ixora malabarica</t>
  </si>
  <si>
    <t>Gurige</t>
  </si>
  <si>
    <t>Strobilanthus sps</t>
  </si>
  <si>
    <t>H</t>
  </si>
  <si>
    <t>Halasu</t>
  </si>
  <si>
    <t>Artocarpus integrifolia</t>
  </si>
  <si>
    <t>Halkodsa</t>
  </si>
  <si>
    <t>Holarrhena pubescans</t>
  </si>
  <si>
    <t>Halabetta</t>
  </si>
  <si>
    <t>Calamus pseudotenuis</t>
  </si>
  <si>
    <t>Handibetta</t>
  </si>
  <si>
    <t>Calamus thwaitessi</t>
  </si>
  <si>
    <t>Halmaddi</t>
  </si>
  <si>
    <t>Ailanthus malabarica</t>
  </si>
  <si>
    <t>Halunavala</t>
  </si>
  <si>
    <t>Aglaia lawii</t>
  </si>
  <si>
    <t>Hebbalasu</t>
  </si>
  <si>
    <t>Artocarpus hirsuta</t>
  </si>
  <si>
    <t>Hedagalu</t>
  </si>
  <si>
    <t>Hegganeballi</t>
  </si>
  <si>
    <t>Smilax Zeylanica</t>
  </si>
  <si>
    <t>Helgodasa</t>
  </si>
  <si>
    <t>Mappia foetida</t>
  </si>
  <si>
    <t>Holegeru</t>
  </si>
  <si>
    <t>Holigarna arnottiana</t>
  </si>
  <si>
    <t>Huligehannina gida</t>
  </si>
  <si>
    <t>Elaeagnus kologa</t>
  </si>
  <si>
    <t>Hulimavu</t>
  </si>
  <si>
    <t>Mangifera sps</t>
  </si>
  <si>
    <t>Hulishedru</t>
  </si>
  <si>
    <t>Hunalu</t>
  </si>
  <si>
    <t>Terminalia paniculata</t>
  </si>
  <si>
    <t>Huraiga</t>
  </si>
  <si>
    <t>I</t>
  </si>
  <si>
    <t>Ixora Species</t>
  </si>
  <si>
    <t>Ixora nigricans</t>
  </si>
  <si>
    <t>J</t>
  </si>
  <si>
    <t>Jagalaganti</t>
  </si>
  <si>
    <t>Diospyros montana</t>
  </si>
  <si>
    <t>Jumma</t>
  </si>
  <si>
    <t>K</t>
  </si>
  <si>
    <t>Kaabale</t>
  </si>
  <si>
    <t>Evodia roxburghiana</t>
  </si>
  <si>
    <t>Kadukanchi</t>
  </si>
  <si>
    <t>Atalantia racemosa</t>
  </si>
  <si>
    <t>Kadamate</t>
  </si>
  <si>
    <t>Kadu Kanagalu</t>
  </si>
  <si>
    <t>Dillenia pentagyna</t>
  </si>
  <si>
    <t>Kadumallige</t>
  </si>
  <si>
    <t>Jasminum malabaricum</t>
  </si>
  <si>
    <t>Kadunugge</t>
  </si>
  <si>
    <t>Breynia rhamonoides</t>
  </si>
  <si>
    <t>Kanagalu</t>
  </si>
  <si>
    <t>Kare</t>
  </si>
  <si>
    <t>Randia dumetorum</t>
  </si>
  <si>
    <t>Karikumari</t>
  </si>
  <si>
    <t>Diospyros paniculata</t>
  </si>
  <si>
    <t>Kavale</t>
  </si>
  <si>
    <t>Carissa carandus</t>
  </si>
  <si>
    <t>Kavalu</t>
  </si>
  <si>
    <t>Careya arborea</t>
  </si>
  <si>
    <t>Kempunavala</t>
  </si>
  <si>
    <t>Aglaia roxburghiana</t>
  </si>
  <si>
    <t>Kumsanaballi</t>
  </si>
  <si>
    <t>Calycopteris floribunda</t>
  </si>
  <si>
    <t>Kempu Navala</t>
  </si>
  <si>
    <t xml:space="preserve">Kendala </t>
  </si>
  <si>
    <t>Schleichera oleosa</t>
  </si>
  <si>
    <t xml:space="preserve">Kengarlu </t>
  </si>
  <si>
    <t>Kesatte</t>
  </si>
  <si>
    <t>Kisugare/Adayda</t>
  </si>
  <si>
    <t>Ixora nigaricans</t>
  </si>
  <si>
    <t>Koogalaballi</t>
  </si>
  <si>
    <t>Ichnocarpus frutescens</t>
  </si>
  <si>
    <t>Kottaballi</t>
  </si>
  <si>
    <t>Kunstleria keralensis</t>
  </si>
  <si>
    <t>Kuncha</t>
  </si>
  <si>
    <t>Diospyros angustifolia</t>
  </si>
  <si>
    <t>Kunneralu</t>
  </si>
  <si>
    <t>Syzygium caryophyllatum</t>
  </si>
  <si>
    <t>Kutrasampiga</t>
  </si>
  <si>
    <t>Kyasale</t>
  </si>
  <si>
    <t>Pterospermum sps</t>
  </si>
  <si>
    <t>M</t>
  </si>
  <si>
    <t>Maddale</t>
  </si>
  <si>
    <t>Alstonia scholaris</t>
  </si>
  <si>
    <t>Maddarasa</t>
  </si>
  <si>
    <t>Tabernaemontana heyneana</t>
  </si>
  <si>
    <t>Mallesara</t>
  </si>
  <si>
    <t>Manikya</t>
  </si>
  <si>
    <t>Glycosmis pentaphylla</t>
  </si>
  <si>
    <t>Mangare</t>
  </si>
  <si>
    <t>Randiadumetorum</t>
  </si>
  <si>
    <t xml:space="preserve">Mangappe </t>
  </si>
  <si>
    <t>Vepris bilocularis</t>
  </si>
  <si>
    <t>Maradi</t>
  </si>
  <si>
    <t>Buchanania latifolia</t>
  </si>
  <si>
    <t>Matti</t>
  </si>
  <si>
    <t>Mitlemara</t>
  </si>
  <si>
    <t>Streblus asper</t>
  </si>
  <si>
    <t>Mukkada</t>
  </si>
  <si>
    <t>Lasiosiphon eriocephalum</t>
  </si>
  <si>
    <t>Mullusampige</t>
  </si>
  <si>
    <t>Flacortia montana</t>
  </si>
  <si>
    <t>Mullhannu</t>
  </si>
  <si>
    <t>Zizyphus rugosa</t>
  </si>
  <si>
    <t>Murugalu</t>
  </si>
  <si>
    <t>Garcinia indica</t>
  </si>
  <si>
    <t>N</t>
  </si>
  <si>
    <t>Nandi</t>
  </si>
  <si>
    <t>Lagerstroemia lanceolata</t>
  </si>
  <si>
    <t>Neralu</t>
  </si>
  <si>
    <t>Syzygium sps</t>
  </si>
  <si>
    <t>Nurche</t>
  </si>
  <si>
    <t>Lea indica</t>
  </si>
  <si>
    <t>O</t>
  </si>
  <si>
    <t>Owlballi</t>
  </si>
  <si>
    <t>P</t>
  </si>
  <si>
    <t>Puttacheralu</t>
  </si>
  <si>
    <t>R</t>
  </si>
  <si>
    <t>Ranjalu</t>
  </si>
  <si>
    <t>Mimusops elengii</t>
  </si>
  <si>
    <t>S</t>
  </si>
  <si>
    <t>Salle</t>
  </si>
  <si>
    <t>Seekaballi</t>
  </si>
  <si>
    <t>Seeregida</t>
  </si>
  <si>
    <t>Tamarix gallica</t>
  </si>
  <si>
    <t>Shatavari</t>
  </si>
  <si>
    <t>Asparagus gonoclaudos</t>
  </si>
  <si>
    <t>Sodlaballi</t>
  </si>
  <si>
    <t>Soojigere</t>
  </si>
  <si>
    <t>Randia sps</t>
  </si>
  <si>
    <t>Surahonne</t>
  </si>
  <si>
    <t>Calophyllum Polyanthum</t>
  </si>
  <si>
    <t>Suraligedde</t>
  </si>
  <si>
    <t>Hedychium coranarium</t>
  </si>
  <si>
    <t>Surti</t>
  </si>
  <si>
    <t>Hydnocarpus laurifolia</t>
  </si>
  <si>
    <t>T</t>
  </si>
  <si>
    <t>Tadasalu</t>
  </si>
  <si>
    <t>Grewia tiliaefolia</t>
  </si>
  <si>
    <t>Tagadapre/ Ramana batti</t>
  </si>
  <si>
    <t>Tagginagida</t>
  </si>
  <si>
    <t>Clerodendron viscosum</t>
  </si>
  <si>
    <t>Taratti</t>
  </si>
  <si>
    <t>Tootukalli</t>
  </si>
  <si>
    <t>U</t>
  </si>
  <si>
    <t>Ugareballi</t>
  </si>
  <si>
    <t>Uppage</t>
  </si>
  <si>
    <t>Garcinia cambogia</t>
  </si>
  <si>
    <t>V</t>
  </si>
  <si>
    <t>W</t>
  </si>
  <si>
    <t>Wildpepper</t>
  </si>
  <si>
    <t>Z</t>
  </si>
  <si>
    <t>Callophyllum tomentosum</t>
  </si>
  <si>
    <t>Holigarana arnottiana</t>
  </si>
  <si>
    <t>Vateria indica</t>
  </si>
  <si>
    <t>Cinnamomum zeylanicum</t>
  </si>
  <si>
    <t>Terminalia tomentosa</t>
  </si>
  <si>
    <t>Lophopetalum whitianum</t>
  </si>
  <si>
    <t>Actinodaphne hookeri</t>
  </si>
  <si>
    <t xml:space="preserve">LATITUDE(dd.dddd) </t>
  </si>
  <si>
    <t>LONGITUDE (dd.dddd)</t>
  </si>
  <si>
    <t>Range</t>
  </si>
  <si>
    <t>Grid No.</t>
  </si>
  <si>
    <t xml:space="preserve">LONGITUDE (dd.dddd) </t>
  </si>
  <si>
    <t xml:space="preserve">ALTTTUDE </t>
  </si>
  <si>
    <t>Sullia</t>
  </si>
  <si>
    <t>Pumale RF (XII) /  Beat</t>
  </si>
  <si>
    <t xml:space="preserve">12.5447
</t>
  </si>
  <si>
    <t>Statrting from Aranthodu traverse by Madikeri-Sullia high road towards Sullia for about 1.05 Kms to reach Biliyaru Junction.Here turn right and traverse in an Asphalt road leading to Deraje  for 5.00 Kms to reach a location with GPS Co-ordinates N12.544147° &amp; E  75.445713°.From here traverse  by foot in North-West direction for 230 mts to reach the Center of the Plot</t>
  </si>
  <si>
    <t>253 mts</t>
  </si>
  <si>
    <t>Form III</t>
  </si>
  <si>
    <t>FORM – A1</t>
  </si>
  <si>
    <t>PLOT ENUMERATION (31.62mX 31.62m Central Plot/lateral plot)</t>
  </si>
  <si>
    <t xml:space="preserve">Compartment No: </t>
  </si>
  <si>
    <t xml:space="preserve">Block /Village: </t>
  </si>
  <si>
    <t xml:space="preserve">Beat: </t>
  </si>
  <si>
    <t xml:space="preserve">Range: </t>
  </si>
  <si>
    <t xml:space="preserve">Division: </t>
  </si>
  <si>
    <t xml:space="preserve">ALT: </t>
  </si>
  <si>
    <t xml:space="preserve">LAT: </t>
  </si>
  <si>
    <t xml:space="preserve">LONG: </t>
  </si>
  <si>
    <t xml:space="preserve">Grid No: </t>
  </si>
  <si>
    <t>GBH (OB)
(cm)</t>
  </si>
  <si>
    <t>GBH (OB)</t>
  </si>
  <si>
    <t>Height of 
selected 
dominant 
trees (m)</t>
  </si>
  <si>
    <t>Remarks, if any, about the tree condition</t>
  </si>
  <si>
    <t>in cm</t>
  </si>
  <si>
    <t>Part of the tree</t>
  </si>
  <si>
    <t>FORM-A2</t>
  </si>
  <si>
    <t>BAMBOO CLUMP ENUMERATION (31.62mX 31.62m Plot)</t>
  </si>
  <si>
    <t>Clump dia in cm</t>
  </si>
  <si>
    <t>Green sound culms</t>
  </si>
  <si>
    <t>Green damaged/ twisted</t>
  </si>
  <si>
    <t>Dry culms</t>
  </si>
  <si>
    <t>Remarks, if any, about the clump condition</t>
  </si>
  <si>
    <t>Current</t>
  </si>
  <si>
    <t>One to</t>
  </si>
  <si>
    <t>Over two</t>
  </si>
  <si>
    <t>Sound</t>
  </si>
  <si>
    <t>Damaged/ twisted</t>
  </si>
  <si>
    <t>years</t>
  </si>
  <si>
    <t>two years</t>
  </si>
  <si>
    <t>a</t>
  </si>
  <si>
    <t>b</t>
  </si>
  <si>
    <t>Nil</t>
  </si>
  <si>
    <t>X-7</t>
  </si>
  <si>
    <t xml:space="preserve">          PLOT ENUMERATION FORM – C (1m X 1m Plot)    Grid No: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</si>
</sst>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[$-409]d/mmm/yyyy;@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name val="Calibri"/>
      <family val="2"/>
    </font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Nudi web 01 e"/>
    </font>
    <font>
      <b/>
      <sz val="10"/>
      <color rgb="FF000000"/>
      <name val="Calibri"/>
      <family val="2"/>
    </font>
    <font>
      <b/>
      <sz val="12"/>
      <name val="Calibri"/>
      <family val="2"/>
    </font>
    <font>
      <sz val="11"/>
      <color rgb="FF000000"/>
      <name val="Nudi 01 e"/>
    </font>
    <font>
      <b/>
      <u/>
      <sz val="11"/>
      <color rgb="FF000000"/>
      <name val="Calibri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color theme="1"/>
      <name val="Nudi 01 e"/>
    </font>
    <font>
      <i/>
      <u/>
      <sz val="11"/>
      <name val="Calibri"/>
      <family val="2"/>
    </font>
    <font>
      <sz val="12"/>
      <color rgb="FF000000"/>
      <name val="Times New Roman"/>
      <family val="1"/>
    </font>
    <font>
      <i/>
      <u/>
      <sz val="12"/>
      <name val="Times New Roman"/>
      <family val="1"/>
    </font>
    <font>
      <b/>
      <sz val="14"/>
      <color rgb="FF000000"/>
      <name val="Calibri"/>
      <family val="2"/>
    </font>
    <font>
      <i/>
      <u/>
      <sz val="12"/>
      <color rgb="FF000000"/>
      <name val="Calibri"/>
      <family val="2"/>
    </font>
    <font>
      <sz val="12"/>
      <color rgb="FF000000"/>
      <name val="Cambria"/>
      <family val="1"/>
    </font>
    <font>
      <sz val="14"/>
      <color rgb="FF000000"/>
      <name val="Calibri"/>
      <family val="2"/>
    </font>
    <font>
      <i/>
      <u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u/>
      <sz val="12"/>
      <color theme="1"/>
      <name val="Times New Roman"/>
      <family val="1"/>
    </font>
    <font>
      <i/>
      <sz val="12"/>
      <color theme="1"/>
      <name val="Times New Roman"/>
      <family val="1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5">
    <xf numFmtId="0" fontId="0" fillId="0" borderId="0"/>
    <xf numFmtId="0" fontId="1" fillId="0" borderId="0"/>
    <xf numFmtId="0" fontId="8" fillId="0" borderId="0">
      <alignment vertical="center"/>
    </xf>
    <xf numFmtId="0" fontId="9" fillId="0" borderId="0">
      <protection locked="0"/>
    </xf>
    <xf numFmtId="0" fontId="8" fillId="0" borderId="0">
      <protection locked="0"/>
    </xf>
  </cellStyleXfs>
  <cellXfs count="273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9" fillId="0" borderId="0" xfId="2" applyFont="1" applyAlignment="1">
      <alignment horizontal="center"/>
    </xf>
    <xf numFmtId="0" fontId="8" fillId="0" borderId="0" xfId="2">
      <alignment vertical="center"/>
    </xf>
    <xf numFmtId="0" fontId="11" fillId="0" borderId="0" xfId="2" applyFont="1" applyAlignment="1">
      <alignment horizontal="left"/>
    </xf>
    <xf numFmtId="0" fontId="12" fillId="0" borderId="0" xfId="2" applyFont="1" applyAlignment="1">
      <alignment horizontal="right"/>
    </xf>
    <xf numFmtId="0" fontId="11" fillId="0" borderId="1" xfId="2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top"/>
    </xf>
    <xf numFmtId="0" fontId="12" fillId="0" borderId="1" xfId="2" applyFont="1" applyBorder="1" applyAlignment="1">
      <alignment vertical="top"/>
    </xf>
    <xf numFmtId="0" fontId="12" fillId="0" borderId="1" xfId="2" applyFont="1" applyBorder="1" applyAlignment="1">
      <alignment horizontal="left" vertical="center"/>
    </xf>
    <xf numFmtId="0" fontId="12" fillId="0" borderId="5" xfId="2" applyFont="1" applyBorder="1" applyAlignment="1">
      <alignment vertical="top"/>
    </xf>
    <xf numFmtId="0" fontId="12" fillId="0" borderId="6" xfId="2" applyFont="1" applyBorder="1" applyAlignment="1">
      <alignment horizontal="center" vertical="top"/>
    </xf>
    <xf numFmtId="0" fontId="12" fillId="0" borderId="1" xfId="2" applyFont="1" applyBorder="1" applyAlignment="1">
      <alignment horizontal="center" vertical="top"/>
    </xf>
    <xf numFmtId="0" fontId="12" fillId="0" borderId="1" xfId="2" applyFont="1" applyBorder="1" applyAlignment="1">
      <alignment horizontal="left" vertical="top"/>
    </xf>
    <xf numFmtId="0" fontId="12" fillId="0" borderId="8" xfId="2" applyFont="1" applyBorder="1" applyAlignment="1">
      <alignment horizontal="center" vertical="top"/>
    </xf>
    <xf numFmtId="0" fontId="8" fillId="0" borderId="10" xfId="2" applyBorder="1">
      <alignment vertical="center"/>
    </xf>
    <xf numFmtId="0" fontId="12" fillId="0" borderId="11" xfId="2" applyFont="1" applyFill="1" applyBorder="1" applyAlignment="1">
      <alignment horizontal="center" vertical="top"/>
    </xf>
    <xf numFmtId="0" fontId="12" fillId="0" borderId="12" xfId="2" applyFont="1" applyFill="1" applyBorder="1" applyAlignment="1">
      <alignment horizontal="left" vertical="top" wrapText="1"/>
    </xf>
    <xf numFmtId="0" fontId="12" fillId="0" borderId="5" xfId="2" applyFont="1" applyFill="1" applyBorder="1" applyAlignment="1">
      <alignment horizontal="left" vertical="top" wrapText="1"/>
    </xf>
    <xf numFmtId="0" fontId="14" fillId="0" borderId="0" xfId="2" applyFont="1" applyAlignment="1"/>
    <xf numFmtId="0" fontId="12" fillId="0" borderId="0" xfId="2" applyFont="1" applyAlignment="1"/>
    <xf numFmtId="0" fontId="15" fillId="0" borderId="1" xfId="2" applyFont="1" applyBorder="1" applyAlignment="1">
      <alignment horizontal="center" vertical="center"/>
    </xf>
    <xf numFmtId="0" fontId="9" fillId="0" borderId="0" xfId="2" applyFont="1" applyAlignment="1">
      <alignment horizontal="center" vertical="center"/>
    </xf>
    <xf numFmtId="164" fontId="12" fillId="0" borderId="1" xfId="2" applyNumberFormat="1" applyFont="1" applyBorder="1" applyAlignment="1">
      <alignment horizontal="left" vertical="center"/>
    </xf>
    <xf numFmtId="0" fontId="12" fillId="0" borderId="8" xfId="2" applyFont="1" applyBorder="1" applyAlignment="1">
      <alignment vertical="top"/>
    </xf>
    <xf numFmtId="0" fontId="8" fillId="0" borderId="1" xfId="2" applyBorder="1">
      <alignment vertical="center"/>
    </xf>
    <xf numFmtId="0" fontId="9" fillId="0" borderId="1" xfId="2" applyFont="1" applyBorder="1" applyAlignment="1">
      <alignment vertical="top"/>
    </xf>
    <xf numFmtId="0" fontId="9" fillId="0" borderId="1" xfId="2" applyFont="1" applyBorder="1" applyAlignment="1">
      <alignment horizontal="left" vertical="top" wrapText="1"/>
    </xf>
    <xf numFmtId="0" fontId="9" fillId="0" borderId="1" xfId="2" applyFont="1" applyBorder="1" applyAlignment="1">
      <alignment horizontal="left" vertical="top"/>
    </xf>
    <xf numFmtId="0" fontId="9" fillId="0" borderId="5" xfId="2" applyFont="1" applyBorder="1" applyAlignment="1">
      <alignment vertical="top" wrapText="1"/>
    </xf>
    <xf numFmtId="0" fontId="17" fillId="0" borderId="5" xfId="2" applyFont="1" applyBorder="1" applyAlignment="1">
      <alignment vertical="top"/>
    </xf>
    <xf numFmtId="0" fontId="9" fillId="0" borderId="5" xfId="2" applyFont="1" applyBorder="1" applyAlignment="1">
      <alignment vertical="top"/>
    </xf>
    <xf numFmtId="0" fontId="17" fillId="0" borderId="5" xfId="2" applyFont="1" applyBorder="1" applyAlignment="1">
      <alignment vertical="top" wrapText="1"/>
    </xf>
    <xf numFmtId="0" fontId="9" fillId="0" borderId="9" xfId="2" applyFont="1" applyFill="1" applyBorder="1" applyAlignment="1">
      <alignment horizontal="left" vertical="top" wrapText="1"/>
    </xf>
    <xf numFmtId="0" fontId="9" fillId="0" borderId="9" xfId="2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top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12" fillId="0" borderId="5" xfId="2" applyFont="1" applyBorder="1" applyAlignment="1">
      <alignment horizontal="left" vertical="top"/>
    </xf>
    <xf numFmtId="0" fontId="8" fillId="0" borderId="10" xfId="2" applyBorder="1" applyAlignment="1">
      <alignment horizontal="left" vertical="center"/>
    </xf>
    <xf numFmtId="0" fontId="8" fillId="0" borderId="0" xfId="2" applyAlignment="1">
      <alignment horizontal="left" vertical="center"/>
    </xf>
    <xf numFmtId="9" fontId="8" fillId="0" borderId="14" xfId="2" applyNumberFormat="1" applyBorder="1" applyAlignment="1">
      <alignment horizontal="left" vertical="center"/>
    </xf>
    <xf numFmtId="0" fontId="12" fillId="0" borderId="8" xfId="2" applyFont="1" applyBorder="1" applyAlignment="1">
      <alignment horizontal="left" vertical="top"/>
    </xf>
    <xf numFmtId="17" fontId="12" fillId="0" borderId="5" xfId="2" applyNumberFormat="1" applyFont="1" applyBorder="1" applyAlignment="1">
      <alignment vertical="top"/>
    </xf>
    <xf numFmtId="0" fontId="12" fillId="0" borderId="10" xfId="2" applyFont="1" applyFill="1" applyBorder="1" applyAlignment="1">
      <alignment vertical="top" wrapText="1"/>
    </xf>
    <xf numFmtId="0" fontId="9" fillId="0" borderId="10" xfId="2" applyFont="1" applyFill="1" applyBorder="1" applyAlignment="1">
      <alignment horizontal="left" vertical="top" wrapText="1"/>
    </xf>
    <xf numFmtId="0" fontId="12" fillId="0" borderId="10" xfId="2" applyFont="1" applyFill="1" applyBorder="1" applyAlignment="1">
      <alignment horizontal="left" vertical="top" wrapText="1"/>
    </xf>
    <xf numFmtId="0" fontId="12" fillId="0" borderId="5" xfId="2" applyFont="1" applyFill="1" applyBorder="1" applyAlignment="1">
      <alignment horizontal="center" vertical="top"/>
    </xf>
    <xf numFmtId="0" fontId="12" fillId="0" borderId="8" xfId="2" applyFont="1" applyFill="1" applyBorder="1" applyAlignment="1">
      <alignment horizontal="center" vertical="top"/>
    </xf>
    <xf numFmtId="0" fontId="8" fillId="0" borderId="10" xfId="2" applyBorder="1" applyAlignment="1">
      <alignment horizontal="left" vertical="center" wrapText="1"/>
    </xf>
    <xf numFmtId="0" fontId="9" fillId="0" borderId="2" xfId="2" applyFont="1" applyFill="1" applyBorder="1" applyAlignment="1">
      <alignment horizontal="center" vertical="top"/>
    </xf>
    <xf numFmtId="0" fontId="9" fillId="0" borderId="2" xfId="2" applyFont="1" applyFill="1" applyBorder="1" applyAlignment="1">
      <alignment horizontal="left" vertical="top" wrapText="1"/>
    </xf>
    <xf numFmtId="0" fontId="12" fillId="0" borderId="1" xfId="2" applyFont="1" applyFill="1" applyBorder="1" applyAlignment="1">
      <alignment horizontal="left" vertical="top" wrapText="1"/>
    </xf>
    <xf numFmtId="0" fontId="9" fillId="0" borderId="2" xfId="2" applyFont="1" applyBorder="1" applyAlignment="1">
      <alignment horizontal="center" vertical="top"/>
    </xf>
    <xf numFmtId="0" fontId="8" fillId="0" borderId="4" xfId="2" applyBorder="1" applyAlignment="1">
      <alignment vertical="top"/>
    </xf>
    <xf numFmtId="0" fontId="8" fillId="0" borderId="0" xfId="2" applyAlignment="1">
      <alignment vertical="top"/>
    </xf>
    <xf numFmtId="0" fontId="8" fillId="0" borderId="1" xfId="2" applyBorder="1" applyAlignment="1">
      <alignment vertical="top" wrapText="1"/>
    </xf>
    <xf numFmtId="9" fontId="12" fillId="0" borderId="5" xfId="2" applyNumberFormat="1" applyFont="1" applyBorder="1" applyAlignment="1">
      <alignment horizontal="left" vertical="top"/>
    </xf>
    <xf numFmtId="0" fontId="22" fillId="0" borderId="6" xfId="2" applyFont="1" applyBorder="1" applyAlignment="1">
      <alignment vertical="top" wrapText="1"/>
    </xf>
    <xf numFmtId="0" fontId="12" fillId="0" borderId="5" xfId="2" applyFont="1" applyBorder="1" applyAlignment="1">
      <alignment vertical="top" wrapText="1"/>
    </xf>
    <xf numFmtId="0" fontId="9" fillId="0" borderId="6" xfId="2" applyFont="1" applyBorder="1" applyAlignment="1">
      <alignment vertical="top" wrapText="1"/>
    </xf>
    <xf numFmtId="0" fontId="12" fillId="0" borderId="6" xfId="2" applyFont="1" applyBorder="1" applyAlignment="1">
      <alignment vertical="top"/>
    </xf>
    <xf numFmtId="0" fontId="8" fillId="0" borderId="1" xfId="2" applyBorder="1" applyAlignment="1">
      <alignment horizontal="center" vertical="center"/>
    </xf>
    <xf numFmtId="9" fontId="8" fillId="0" borderId="4" xfId="2" applyNumberFormat="1" applyBorder="1" applyAlignment="1">
      <alignment horizontal="left" vertical="center"/>
    </xf>
    <xf numFmtId="0" fontId="4" fillId="0" borderId="1" xfId="0" applyFont="1" applyFill="1" applyBorder="1" applyAlignment="1">
      <alignment vertical="center" wrapText="1"/>
    </xf>
    <xf numFmtId="0" fontId="11" fillId="0" borderId="1" xfId="3" applyFont="1" applyBorder="1" applyAlignment="1" applyProtection="1">
      <alignment horizontal="center" vertical="center"/>
    </xf>
    <xf numFmtId="0" fontId="9" fillId="0" borderId="0" xfId="3" applyAlignment="1" applyProtection="1"/>
    <xf numFmtId="0" fontId="24" fillId="0" borderId="1" xfId="3" applyFont="1" applyBorder="1" applyAlignment="1" applyProtection="1"/>
    <xf numFmtId="0" fontId="22" fillId="0" borderId="1" xfId="3" applyFont="1" applyBorder="1" applyAlignment="1" applyProtection="1">
      <alignment vertical="top" wrapText="1"/>
    </xf>
    <xf numFmtId="0" fontId="25" fillId="0" borderId="1" xfId="3" applyFont="1" applyBorder="1" applyAlignment="1" applyProtection="1">
      <alignment vertical="top"/>
    </xf>
    <xf numFmtId="0" fontId="26" fillId="0" borderId="1" xfId="3" applyFont="1" applyFill="1" applyBorder="1" applyAlignment="1" applyProtection="1">
      <alignment vertical="top" wrapText="1"/>
    </xf>
    <xf numFmtId="0" fontId="25" fillId="4" borderId="1" xfId="3" applyFont="1" applyFill="1" applyBorder="1" applyAlignment="1" applyProtection="1">
      <alignment vertical="top"/>
    </xf>
    <xf numFmtId="0" fontId="26" fillId="0" borderId="1" xfId="3" applyFont="1" applyBorder="1" applyAlignment="1" applyProtection="1">
      <alignment vertical="top"/>
    </xf>
    <xf numFmtId="0" fontId="22" fillId="0" borderId="1" xfId="3" applyFont="1" applyFill="1" applyBorder="1" applyAlignment="1" applyProtection="1">
      <alignment vertical="top" wrapText="1"/>
    </xf>
    <xf numFmtId="0" fontId="25" fillId="0" borderId="4" xfId="3" applyFont="1" applyBorder="1" applyAlignment="1" applyProtection="1">
      <alignment vertical="top"/>
    </xf>
    <xf numFmtId="0" fontId="22" fillId="0" borderId="2" xfId="3" applyFont="1" applyFill="1" applyBorder="1" applyAlignment="1" applyProtection="1">
      <alignment vertical="top" wrapText="1"/>
    </xf>
    <xf numFmtId="0" fontId="22" fillId="0" borderId="2" xfId="3" applyFont="1" applyBorder="1" applyAlignment="1" applyProtection="1">
      <alignment vertical="top" wrapText="1"/>
    </xf>
    <xf numFmtId="0" fontId="27" fillId="0" borderId="1" xfId="3" applyFont="1" applyBorder="1" applyAlignment="1" applyProtection="1">
      <alignment horizontal="center"/>
    </xf>
    <xf numFmtId="0" fontId="26" fillId="0" borderId="1" xfId="3" applyFont="1" applyBorder="1" applyAlignment="1" applyProtection="1">
      <alignment vertical="top" wrapText="1"/>
    </xf>
    <xf numFmtId="0" fontId="12" fillId="0" borderId="1" xfId="3" applyFont="1" applyBorder="1" applyAlignment="1" applyProtection="1">
      <alignment vertical="top"/>
    </xf>
    <xf numFmtId="0" fontId="26" fillId="4" borderId="1" xfId="3" applyFont="1" applyFill="1" applyBorder="1" applyAlignment="1" applyProtection="1">
      <alignment vertical="top" wrapText="1"/>
    </xf>
    <xf numFmtId="0" fontId="25" fillId="0" borderId="1" xfId="3" applyFont="1" applyFill="1" applyBorder="1" applyAlignment="1" applyProtection="1">
      <alignment vertical="top"/>
    </xf>
    <xf numFmtId="0" fontId="12" fillId="0" borderId="2" xfId="4" applyFont="1" applyBorder="1" applyAlignment="1" applyProtection="1">
      <alignment vertical="center"/>
    </xf>
    <xf numFmtId="0" fontId="12" fillId="0" borderId="1" xfId="4" applyFont="1" applyBorder="1" applyAlignment="1" applyProtection="1">
      <alignment vertical="center"/>
    </xf>
    <xf numFmtId="0" fontId="25" fillId="0" borderId="4" xfId="3" applyFont="1" applyFill="1" applyBorder="1" applyAlignment="1" applyProtection="1">
      <alignment vertical="top"/>
    </xf>
    <xf numFmtId="0" fontId="27" fillId="0" borderId="0" xfId="3" applyFont="1" applyAlignment="1" applyProtection="1"/>
    <xf numFmtId="0" fontId="12" fillId="0" borderId="0" xfId="3" applyFont="1" applyAlignment="1" applyProtection="1">
      <alignment vertical="top"/>
    </xf>
    <xf numFmtId="0" fontId="28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2" fillId="0" borderId="1" xfId="2" applyFont="1" applyBorder="1" applyAlignment="1">
      <alignment horizontal="left" vertical="top" wrapText="1"/>
    </xf>
    <xf numFmtId="0" fontId="3" fillId="0" borderId="19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26" xfId="0" applyFont="1" applyBorder="1" applyAlignment="1">
      <alignment wrapText="1"/>
    </xf>
    <xf numFmtId="0" fontId="3" fillId="0" borderId="24" xfId="0" applyFont="1" applyBorder="1" applyAlignment="1">
      <alignment wrapText="1"/>
    </xf>
    <xf numFmtId="0" fontId="31" fillId="0" borderId="0" xfId="0" applyFont="1"/>
    <xf numFmtId="0" fontId="3" fillId="0" borderId="0" xfId="0" applyFont="1" applyAlignment="1">
      <alignment horizontal="left"/>
    </xf>
    <xf numFmtId="0" fontId="2" fillId="0" borderId="3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left" vertical="center"/>
    </xf>
    <xf numFmtId="0" fontId="28" fillId="0" borderId="4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2" fontId="3" fillId="0" borderId="1" xfId="0" applyNumberFormat="1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Fill="1" applyAlignment="1">
      <alignment horizontal="left"/>
    </xf>
    <xf numFmtId="0" fontId="3" fillId="0" borderId="5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left" vertical="center"/>
    </xf>
    <xf numFmtId="0" fontId="0" fillId="0" borderId="1" xfId="0" applyFill="1" applyBorder="1"/>
    <xf numFmtId="0" fontId="32" fillId="0" borderId="0" xfId="0" applyFont="1"/>
    <xf numFmtId="0" fontId="0" fillId="0" borderId="0" xfId="0" applyAlignment="1">
      <alignment horizontal="left"/>
    </xf>
    <xf numFmtId="0" fontId="29" fillId="0" borderId="0" xfId="0" applyFont="1" applyAlignment="1">
      <alignment horizontal="center" vertical="center"/>
    </xf>
    <xf numFmtId="0" fontId="34" fillId="0" borderId="46" xfId="0" applyFont="1" applyBorder="1" applyAlignment="1">
      <alignment horizontal="center" vertical="center" wrapText="1"/>
    </xf>
    <xf numFmtId="0" fontId="32" fillId="0" borderId="1" xfId="0" applyFont="1" applyBorder="1"/>
    <xf numFmtId="0" fontId="3" fillId="0" borderId="4" xfId="0" applyFont="1" applyFill="1" applyBorder="1" applyAlignment="1">
      <alignment horizontal="left" vertical="center"/>
    </xf>
    <xf numFmtId="0" fontId="28" fillId="0" borderId="5" xfId="0" applyFont="1" applyBorder="1" applyAlignment="1">
      <alignment horizontal="left" vertical="center"/>
    </xf>
    <xf numFmtId="0" fontId="28" fillId="0" borderId="6" xfId="0" applyFont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0" xfId="0" applyFont="1" applyBorder="1" applyAlignment="1">
      <alignment horizontal="left" vertical="center"/>
    </xf>
    <xf numFmtId="0" fontId="4" fillId="0" borderId="2" xfId="0" applyFont="1" applyFill="1" applyBorder="1" applyAlignment="1">
      <alignment vertical="center"/>
    </xf>
    <xf numFmtId="0" fontId="5" fillId="0" borderId="3" xfId="0" applyFont="1" applyFill="1" applyBorder="1" applyAlignment="1">
      <alignment horizontal="right" vertical="center"/>
    </xf>
    <xf numFmtId="0" fontId="4" fillId="0" borderId="3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left" vertical="center" wrapText="1"/>
    </xf>
    <xf numFmtId="2" fontId="4" fillId="0" borderId="1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vertical="center" wrapText="1"/>
    </xf>
    <xf numFmtId="0" fontId="4" fillId="0" borderId="4" xfId="0" applyFont="1" applyFill="1" applyBorder="1" applyAlignment="1">
      <alignment vertical="center" wrapText="1"/>
    </xf>
    <xf numFmtId="0" fontId="5" fillId="0" borderId="3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23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2" xfId="0" applyFont="1" applyFill="1" applyBorder="1"/>
    <xf numFmtId="0" fontId="4" fillId="0" borderId="3" xfId="0" applyFont="1" applyFill="1" applyBorder="1"/>
    <xf numFmtId="0" fontId="4" fillId="0" borderId="4" xfId="0" applyFont="1" applyFill="1" applyBorder="1"/>
    <xf numFmtId="2" fontId="4" fillId="0" borderId="6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right" vertical="center"/>
    </xf>
    <xf numFmtId="0" fontId="4" fillId="0" borderId="3" xfId="0" applyFont="1" applyFill="1" applyBorder="1" applyAlignment="1">
      <alignment horizontal="left"/>
    </xf>
    <xf numFmtId="0" fontId="19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0" fontId="4" fillId="0" borderId="0" xfId="0" applyFont="1" applyFill="1"/>
    <xf numFmtId="0" fontId="4" fillId="0" borderId="0" xfId="0" applyFont="1" applyFill="1" applyAlignment="1">
      <alignment horizontal="left"/>
    </xf>
    <xf numFmtId="0" fontId="5" fillId="0" borderId="2" xfId="0" applyFont="1" applyFill="1" applyBorder="1" applyAlignment="1">
      <alignment vertical="center"/>
    </xf>
    <xf numFmtId="0" fontId="5" fillId="0" borderId="4" xfId="0" applyFont="1" applyFill="1" applyBorder="1" applyAlignment="1">
      <alignment vertical="center"/>
    </xf>
    <xf numFmtId="0" fontId="10" fillId="0" borderId="0" xfId="2" applyFont="1" applyAlignment="1">
      <alignment horizontal="center"/>
    </xf>
    <xf numFmtId="2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3" fillId="0" borderId="5" xfId="0" applyNumberFormat="1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3" fillId="0" borderId="21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3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3" fillId="0" borderId="22" xfId="0" applyFont="1" applyBorder="1" applyAlignment="1">
      <alignment horizontal="left" wrapText="1"/>
    </xf>
    <xf numFmtId="0" fontId="3" fillId="0" borderId="23" xfId="0" applyFont="1" applyBorder="1" applyAlignment="1">
      <alignment wrapText="1"/>
    </xf>
    <xf numFmtId="0" fontId="3" fillId="0" borderId="24" xfId="0" applyFont="1" applyBorder="1" applyAlignment="1">
      <alignment wrapText="1"/>
    </xf>
    <xf numFmtId="0" fontId="3" fillId="0" borderId="24" xfId="0" applyFont="1" applyBorder="1" applyAlignment="1">
      <alignment vertical="top" wrapText="1"/>
    </xf>
    <xf numFmtId="0" fontId="3" fillId="0" borderId="25" xfId="0" applyFont="1" applyBorder="1" applyAlignment="1">
      <alignment vertical="top" wrapText="1"/>
    </xf>
    <xf numFmtId="0" fontId="3" fillId="0" borderId="24" xfId="0" applyFont="1" applyBorder="1" applyAlignment="1">
      <alignment horizontal="left" wrapText="1"/>
    </xf>
    <xf numFmtId="0" fontId="3" fillId="0" borderId="25" xfId="0" applyFont="1" applyBorder="1" applyAlignment="1">
      <alignment horizontal="left" wrapText="1"/>
    </xf>
    <xf numFmtId="0" fontId="3" fillId="0" borderId="27" xfId="0" applyFont="1" applyBorder="1" applyAlignment="1">
      <alignment horizontal="left" wrapText="1"/>
    </xf>
    <xf numFmtId="0" fontId="7" fillId="0" borderId="0" xfId="0" applyFont="1" applyAlignment="1">
      <alignment horizontal="center" vertical="center"/>
    </xf>
    <xf numFmtId="165" fontId="30" fillId="0" borderId="0" xfId="0" applyNumberFormat="1" applyFont="1" applyAlignment="1">
      <alignment horizontal="right" vertical="center"/>
    </xf>
    <xf numFmtId="0" fontId="3" fillId="0" borderId="16" xfId="0" applyFont="1" applyBorder="1" applyAlignment="1">
      <alignment wrapText="1"/>
    </xf>
    <xf numFmtId="0" fontId="3" fillId="0" borderId="17" xfId="0" applyFont="1" applyBorder="1" applyAlignment="1">
      <alignment wrapText="1"/>
    </xf>
    <xf numFmtId="0" fontId="3" fillId="0" borderId="17" xfId="0" applyFont="1" applyBorder="1" applyAlignment="1">
      <alignment horizontal="left" wrapText="1"/>
    </xf>
    <xf numFmtId="0" fontId="3" fillId="0" borderId="18" xfId="0" applyFont="1" applyBorder="1" applyAlignment="1">
      <alignment horizontal="left" wrapText="1"/>
    </xf>
    <xf numFmtId="0" fontId="3" fillId="0" borderId="19" xfId="0" applyFont="1" applyBorder="1" applyAlignment="1">
      <alignment horizontal="left" wrapText="1"/>
    </xf>
    <xf numFmtId="0" fontId="3" fillId="0" borderId="20" xfId="0" applyFont="1" applyBorder="1" applyAlignment="1">
      <alignment wrapText="1"/>
    </xf>
    <xf numFmtId="0" fontId="2" fillId="0" borderId="37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34" fillId="0" borderId="41" xfId="0" applyFont="1" applyBorder="1" applyAlignment="1">
      <alignment horizontal="center" vertical="center" wrapText="1"/>
    </xf>
    <xf numFmtId="0" fontId="34" fillId="0" borderId="42" xfId="0" applyFont="1" applyBorder="1" applyAlignment="1">
      <alignment horizontal="center" vertical="center" wrapText="1"/>
    </xf>
    <xf numFmtId="0" fontId="34" fillId="0" borderId="43" xfId="0" applyFont="1" applyBorder="1" applyAlignment="1">
      <alignment horizontal="center" vertical="center" wrapText="1"/>
    </xf>
    <xf numFmtId="0" fontId="34" fillId="0" borderId="36" xfId="0" applyFont="1" applyBorder="1" applyAlignment="1">
      <alignment horizontal="center" vertical="center" wrapText="1"/>
    </xf>
    <xf numFmtId="0" fontId="34" fillId="0" borderId="40" xfId="0" applyFont="1" applyBorder="1" applyAlignment="1">
      <alignment horizontal="center" vertical="center" wrapText="1"/>
    </xf>
    <xf numFmtId="0" fontId="34" fillId="0" borderId="47" xfId="0" applyFont="1" applyBorder="1" applyAlignment="1">
      <alignment horizontal="center" vertical="center" wrapText="1"/>
    </xf>
    <xf numFmtId="0" fontId="34" fillId="0" borderId="44" xfId="0" applyFont="1" applyBorder="1" applyAlignment="1">
      <alignment horizontal="center" vertical="center" wrapText="1"/>
    </xf>
    <xf numFmtId="0" fontId="34" fillId="0" borderId="45" xfId="0" applyFont="1" applyBorder="1" applyAlignment="1">
      <alignment horizontal="center" vertical="center" wrapText="1"/>
    </xf>
    <xf numFmtId="0" fontId="34" fillId="0" borderId="46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5" fillId="0" borderId="40" xfId="0" applyFont="1" applyBorder="1" applyAlignment="1">
      <alignment horizontal="center" vertical="center" wrapText="1"/>
    </xf>
    <xf numFmtId="0" fontId="34" fillId="0" borderId="37" xfId="0" applyFont="1" applyBorder="1" applyAlignment="1">
      <alignment horizontal="center" vertical="center" wrapText="1"/>
    </xf>
    <xf numFmtId="0" fontId="34" fillId="0" borderId="38" xfId="0" applyFont="1" applyBorder="1" applyAlignment="1">
      <alignment horizontal="center" vertical="center" wrapText="1"/>
    </xf>
    <xf numFmtId="0" fontId="34" fillId="0" borderId="39" xfId="0" applyFont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left" vertical="center" wrapText="1"/>
    </xf>
    <xf numFmtId="0" fontId="18" fillId="0" borderId="3" xfId="0" applyFont="1" applyFill="1" applyBorder="1" applyAlignment="1">
      <alignment horizontal="left" vertical="center" wrapText="1"/>
    </xf>
    <xf numFmtId="0" fontId="19" fillId="0" borderId="5" xfId="0" applyFont="1" applyFill="1" applyBorder="1" applyAlignment="1">
      <alignment horizontal="center" vertical="center" wrapText="1"/>
    </xf>
    <xf numFmtId="0" fontId="19" fillId="0" borderId="8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horizontal="center" vertical="center"/>
    </xf>
    <xf numFmtId="0" fontId="20" fillId="3" borderId="3" xfId="0" applyFont="1" applyFill="1" applyBorder="1" applyAlignment="1">
      <alignment horizontal="center" vertical="center"/>
    </xf>
    <xf numFmtId="0" fontId="22" fillId="2" borderId="2" xfId="3" applyFont="1" applyFill="1" applyBorder="1" applyAlignment="1" applyProtection="1">
      <alignment horizontal="center" vertical="top" wrapText="1"/>
    </xf>
    <xf numFmtId="0" fontId="22" fillId="2" borderId="4" xfId="3" applyFont="1" applyFill="1" applyBorder="1" applyAlignment="1" applyProtection="1">
      <alignment horizontal="center" vertical="top" wrapText="1"/>
    </xf>
  </cellXfs>
  <cellStyles count="5">
    <cellStyle name="Normal" xfId="0" builtinId="0"/>
    <cellStyle name="Normal 2" xfId="1"/>
    <cellStyle name="Normal 2 2" xfId="3"/>
    <cellStyle name="Normal 3" xfId="2"/>
    <cellStyle name="Normal 3 2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A.AMR%20WP%20SMG%20FILES%20;%202021-22%20TO/11).F.I.MANGALURU%20DVN%20;%202023-24/1.F.I.Mangaluru%20;%20Filled%20Formats/9.DEVACHALLA%20RF%20EB-1/6.DRFEB-1;%20B&amp;CX-15_GN.%2075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A.AMR%20WP%20SMG%20FILES%20;%202021-22%20TO/11).F.I.MANGALURU%20DVN%20;%202023-24/1.F.I.Mangaluru%20;%20Filled%20Formats/8A.KILARMALE%20RF-73/8).645%20KMRF%20XII-23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orm-1"/>
      <sheetName val="Form-2"/>
      <sheetName val="F-III A1"/>
      <sheetName val="FIII A2 (2)"/>
      <sheetName val="F-B"/>
      <sheetName val="Form C"/>
      <sheetName val="Form 8"/>
      <sheetName val="NTFP-Med Plant"/>
      <sheetName val="Canes"/>
    </sheetNames>
    <sheetDataSet>
      <sheetData sheetId="0">
        <row r="6">
          <cell r="C6" t="str">
            <v>Sullia</v>
          </cell>
        </row>
        <row r="9">
          <cell r="C9">
            <v>754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Form 1"/>
      <sheetName val="Form II"/>
      <sheetName val="F-III A1"/>
      <sheetName val="FIII A2 (2)"/>
      <sheetName val="F-B"/>
      <sheetName val="Form C"/>
    </sheetNames>
    <sheetDataSet>
      <sheetData sheetId="0">
        <row r="3">
          <cell r="C3" t="str">
            <v>Mangalore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showWhiteSpace="0" view="pageLayout" zoomScaleNormal="107" workbookViewId="0">
      <selection activeCell="B12" sqref="B12"/>
    </sheetView>
  </sheetViews>
  <sheetFormatPr defaultColWidth="9.88671875" defaultRowHeight="14.4"/>
  <cols>
    <col min="1" max="1" width="6.44140625" style="19" customWidth="1"/>
    <col min="2" max="2" width="33" style="20" customWidth="1"/>
    <col min="3" max="3" width="59.77734375" style="20" customWidth="1"/>
    <col min="4" max="4" width="9.88671875" style="20" customWidth="1"/>
    <col min="5" max="16384" width="9.88671875" style="20"/>
  </cols>
  <sheetData>
    <row r="1" spans="1:3" ht="17.399999999999999">
      <c r="B1" s="179" t="s">
        <v>0</v>
      </c>
      <c r="C1" s="179"/>
    </row>
    <row r="2" spans="1:3" ht="17.399999999999999">
      <c r="B2" s="179" t="s">
        <v>1</v>
      </c>
      <c r="C2" s="179"/>
    </row>
    <row r="3" spans="1:3" ht="15.6">
      <c r="A3" s="21" t="s">
        <v>82</v>
      </c>
      <c r="C3" s="22" t="s">
        <v>83</v>
      </c>
    </row>
    <row r="5" spans="1:3" ht="23.25" customHeight="1">
      <c r="A5" s="23" t="s">
        <v>26</v>
      </c>
      <c r="B5" s="23" t="s">
        <v>2</v>
      </c>
      <c r="C5" s="23" t="s">
        <v>3</v>
      </c>
    </row>
    <row r="6" spans="1:3" ht="18.75" customHeight="1">
      <c r="A6" s="24">
        <v>1</v>
      </c>
      <c r="B6" s="25" t="s">
        <v>84</v>
      </c>
      <c r="C6" s="26" t="s">
        <v>455</v>
      </c>
    </row>
    <row r="7" spans="1:3" ht="16.05" customHeight="1">
      <c r="A7" s="24">
        <v>2</v>
      </c>
      <c r="B7" s="27" t="s">
        <v>85</v>
      </c>
      <c r="C7" s="69" t="s">
        <v>456</v>
      </c>
    </row>
    <row r="8" spans="1:3" ht="16.5" customHeight="1">
      <c r="A8" s="24">
        <v>3</v>
      </c>
      <c r="B8" s="27" t="s">
        <v>86</v>
      </c>
      <c r="C8" s="69" t="s">
        <v>495</v>
      </c>
    </row>
    <row r="9" spans="1:3" ht="19.5" customHeight="1">
      <c r="A9" s="29">
        <v>4</v>
      </c>
      <c r="B9" s="45" t="s">
        <v>99</v>
      </c>
      <c r="C9" s="30">
        <v>389</v>
      </c>
    </row>
    <row r="10" spans="1:3" ht="18" customHeight="1">
      <c r="A10" s="29">
        <v>5</v>
      </c>
      <c r="B10" s="45" t="s">
        <v>449</v>
      </c>
      <c r="C10" s="121" t="s">
        <v>457</v>
      </c>
    </row>
    <row r="11" spans="1:3" ht="19.5" customHeight="1">
      <c r="A11" s="29">
        <v>6</v>
      </c>
      <c r="B11" s="45" t="s">
        <v>450</v>
      </c>
      <c r="C11" s="30">
        <v>75.443600000000004</v>
      </c>
    </row>
    <row r="12" spans="1:3" ht="94.5" customHeight="1">
      <c r="A12" s="29">
        <v>7</v>
      </c>
      <c r="B12" s="25" t="s">
        <v>4</v>
      </c>
      <c r="C12" s="121" t="s">
        <v>458</v>
      </c>
    </row>
    <row r="13" spans="1:3" ht="23.55" customHeight="1">
      <c r="A13" s="31">
        <v>8</v>
      </c>
      <c r="B13" s="41" t="s">
        <v>87</v>
      </c>
      <c r="C13" s="73" t="s">
        <v>174</v>
      </c>
    </row>
    <row r="14" spans="1:3" ht="20.55" customHeight="1">
      <c r="A14" s="78">
        <v>9</v>
      </c>
      <c r="B14" s="75" t="s">
        <v>5</v>
      </c>
      <c r="C14" s="32"/>
    </row>
    <row r="15" spans="1:3" ht="17.100000000000001" customHeight="1">
      <c r="A15" s="79"/>
      <c r="B15" s="34" t="s">
        <v>88</v>
      </c>
      <c r="C15" s="34" t="s">
        <v>175</v>
      </c>
    </row>
    <row r="16" spans="1:3" ht="44.1" customHeight="1">
      <c r="A16" s="79"/>
      <c r="B16" s="76" t="s">
        <v>89</v>
      </c>
      <c r="C16" s="42" t="s">
        <v>176</v>
      </c>
    </row>
    <row r="17" spans="1:3" ht="33" customHeight="1">
      <c r="A17" s="79"/>
      <c r="B17" s="77" t="s">
        <v>177</v>
      </c>
      <c r="C17" s="72">
        <v>0.75</v>
      </c>
    </row>
    <row r="18" spans="1:3" ht="18" customHeight="1">
      <c r="A18" s="79"/>
      <c r="B18" s="83" t="s">
        <v>195</v>
      </c>
      <c r="C18" s="27" t="s">
        <v>194</v>
      </c>
    </row>
    <row r="19" spans="1:3" ht="14.55" customHeight="1">
      <c r="A19" s="79"/>
      <c r="B19" s="83" t="s">
        <v>196</v>
      </c>
      <c r="C19" s="32" t="s">
        <v>181</v>
      </c>
    </row>
    <row r="20" spans="1:3" ht="14.85" customHeight="1">
      <c r="A20" s="79"/>
      <c r="B20" s="77" t="s">
        <v>197</v>
      </c>
      <c r="C20" s="70" t="s">
        <v>178</v>
      </c>
    </row>
    <row r="21" spans="1:3" ht="19.350000000000001" customHeight="1">
      <c r="A21" s="79"/>
      <c r="B21" s="77" t="s">
        <v>198</v>
      </c>
      <c r="C21" s="70" t="s">
        <v>180</v>
      </c>
    </row>
    <row r="22" spans="1:3" ht="19.2" customHeight="1">
      <c r="A22" s="79"/>
      <c r="B22" s="77" t="s">
        <v>199</v>
      </c>
      <c r="C22" s="70" t="s">
        <v>179</v>
      </c>
    </row>
    <row r="23" spans="1:3" ht="18.45" customHeight="1">
      <c r="A23" s="79"/>
      <c r="B23" s="77" t="s">
        <v>200</v>
      </c>
      <c r="C23" s="70" t="s">
        <v>182</v>
      </c>
    </row>
    <row r="24" spans="1:3" ht="16.5" customHeight="1">
      <c r="A24" s="79"/>
      <c r="B24" s="77" t="s">
        <v>201</v>
      </c>
      <c r="C24" s="70" t="s">
        <v>185</v>
      </c>
    </row>
    <row r="25" spans="1:3" ht="31.95" customHeight="1">
      <c r="A25" s="79"/>
      <c r="B25" s="77" t="s">
        <v>90</v>
      </c>
      <c r="C25" s="80" t="s">
        <v>186</v>
      </c>
    </row>
    <row r="26" spans="1:3" ht="17.7" customHeight="1">
      <c r="A26" s="79"/>
      <c r="B26" s="77" t="s">
        <v>91</v>
      </c>
      <c r="C26" s="70" t="s">
        <v>183</v>
      </c>
    </row>
    <row r="27" spans="1:3" ht="15.6">
      <c r="A27" s="79"/>
      <c r="B27" s="77" t="s">
        <v>92</v>
      </c>
      <c r="C27" s="70" t="s">
        <v>184</v>
      </c>
    </row>
    <row r="28" spans="1:3" ht="15" customHeight="1">
      <c r="A28" s="79"/>
      <c r="B28" s="77" t="s">
        <v>93</v>
      </c>
      <c r="C28" s="71" t="s">
        <v>137</v>
      </c>
    </row>
    <row r="29" spans="1:3" ht="15" customHeight="1">
      <c r="A29" s="33">
        <v>10</v>
      </c>
      <c r="B29" s="35" t="s">
        <v>6</v>
      </c>
      <c r="C29" s="70" t="s">
        <v>141</v>
      </c>
    </row>
    <row r="30" spans="1:3" ht="15.6" customHeight="1">
      <c r="A30" s="51">
        <v>11</v>
      </c>
      <c r="B30" s="50" t="s">
        <v>7</v>
      </c>
      <c r="C30" s="35" t="s">
        <v>187</v>
      </c>
    </row>
    <row r="31" spans="1:3" ht="14.55" customHeight="1">
      <c r="A31" s="81">
        <v>12</v>
      </c>
      <c r="B31" s="82" t="s">
        <v>94</v>
      </c>
      <c r="C31" s="83">
        <v>1</v>
      </c>
    </row>
    <row r="32" spans="1:3" s="86" customFormat="1" ht="28.8">
      <c r="A32" s="84">
        <v>13</v>
      </c>
      <c r="B32" s="87" t="s">
        <v>73</v>
      </c>
      <c r="C32" s="85" t="s">
        <v>188</v>
      </c>
    </row>
  </sheetData>
  <mergeCells count="2">
    <mergeCell ref="B1:C1"/>
    <mergeCell ref="B2:C2"/>
  </mergeCells>
  <pageMargins left="0.51181102362204722" right="0.23622047244094491" top="0.35433070866141736" bottom="0.35433070866141736" header="0.31496062992125984" footer="0.31496062992125984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9"/>
  <sheetViews>
    <sheetView showWhiteSpace="0" view="pageLayout" topLeftCell="A22" zoomScaleNormal="95" workbookViewId="0">
      <selection activeCell="B34" sqref="B34"/>
    </sheetView>
  </sheetViews>
  <sheetFormatPr defaultColWidth="9.88671875" defaultRowHeight="14.4"/>
  <cols>
    <col min="1" max="1" width="4" style="20" customWidth="1"/>
    <col min="2" max="2" width="45.21875" style="20" customWidth="1"/>
    <col min="3" max="3" width="34.77734375" style="20" customWidth="1"/>
    <col min="4" max="4" width="9.88671875" style="20" customWidth="1"/>
    <col min="5" max="16384" width="9.88671875" style="20"/>
  </cols>
  <sheetData>
    <row r="1" spans="1:3" ht="17.399999999999999">
      <c r="A1" s="179" t="s">
        <v>8</v>
      </c>
      <c r="B1" s="179"/>
      <c r="C1" s="179"/>
    </row>
    <row r="2" spans="1:3" ht="17.399999999999999">
      <c r="A2" s="179" t="s">
        <v>9</v>
      </c>
      <c r="B2" s="179"/>
      <c r="C2" s="179"/>
    </row>
    <row r="3" spans="1:3">
      <c r="C3" s="36"/>
    </row>
    <row r="4" spans="1:3" ht="15.6">
      <c r="A4" s="21" t="s">
        <v>95</v>
      </c>
      <c r="B4" s="37"/>
      <c r="C4" s="22" t="s">
        <v>83</v>
      </c>
    </row>
    <row r="5" spans="1:3" ht="15.6">
      <c r="A5" s="37"/>
      <c r="B5" s="37"/>
      <c r="C5" s="37"/>
    </row>
    <row r="6" spans="1:3" s="39" customFormat="1" ht="27" customHeight="1">
      <c r="A6" s="38" t="s">
        <v>96</v>
      </c>
      <c r="B6" s="38" t="s">
        <v>3</v>
      </c>
      <c r="C6" s="38" t="s">
        <v>10</v>
      </c>
    </row>
    <row r="7" spans="1:3" ht="18" customHeight="1">
      <c r="A7" s="29">
        <v>1</v>
      </c>
      <c r="B7" s="43" t="s">
        <v>451</v>
      </c>
      <c r="C7" s="26" t="str">
        <f>'Form-1'!C6</f>
        <v>Sullia</v>
      </c>
    </row>
    <row r="8" spans="1:3" ht="15.45" customHeight="1">
      <c r="A8" s="29">
        <v>2</v>
      </c>
      <c r="B8" s="44" t="s">
        <v>189</v>
      </c>
      <c r="C8" s="30" t="str">
        <f>'Form-1'!C7</f>
        <v>Pumale RF (XII) /  Beat</v>
      </c>
    </row>
    <row r="9" spans="1:3" ht="22.05" customHeight="1">
      <c r="A9" s="29">
        <v>3</v>
      </c>
      <c r="B9" s="44" t="s">
        <v>86</v>
      </c>
      <c r="C9" s="30" t="str">
        <f>'Form-1'!C8</f>
        <v>X-7</v>
      </c>
    </row>
    <row r="10" spans="1:3" ht="18" customHeight="1">
      <c r="A10" s="29">
        <v>4</v>
      </c>
      <c r="B10" s="45" t="s">
        <v>452</v>
      </c>
      <c r="C10" s="30">
        <f>'Form-1'!C9</f>
        <v>389</v>
      </c>
    </row>
    <row r="11" spans="1:3" ht="21.75" customHeight="1">
      <c r="A11" s="29">
        <v>5</v>
      </c>
      <c r="B11" s="45" t="s">
        <v>449</v>
      </c>
      <c r="C11" s="40" t="str">
        <f>'Form-1'!C10</f>
        <v>12.5447</v>
      </c>
    </row>
    <row r="12" spans="1:3" ht="18" customHeight="1">
      <c r="A12" s="29">
        <v>6</v>
      </c>
      <c r="B12" s="45" t="s">
        <v>453</v>
      </c>
      <c r="C12" s="40">
        <f>'Form-1'!C11</f>
        <v>75.443600000000004</v>
      </c>
    </row>
    <row r="13" spans="1:3" ht="18.75" customHeight="1">
      <c r="A13" s="29">
        <v>7</v>
      </c>
      <c r="B13" s="45" t="s">
        <v>454</v>
      </c>
      <c r="C13" s="30" t="s">
        <v>459</v>
      </c>
    </row>
    <row r="14" spans="1:3" ht="29.1" customHeight="1">
      <c r="A14" s="24">
        <v>8</v>
      </c>
      <c r="B14" s="46" t="s">
        <v>100</v>
      </c>
      <c r="C14" s="27" t="s">
        <v>138</v>
      </c>
    </row>
    <row r="15" spans="1:3" ht="29.1" customHeight="1">
      <c r="A15" s="24">
        <v>9</v>
      </c>
      <c r="B15" s="46" t="s">
        <v>101</v>
      </c>
      <c r="C15" s="17" t="s">
        <v>139</v>
      </c>
    </row>
    <row r="16" spans="1:3" ht="29.1" customHeight="1">
      <c r="A16" s="24">
        <v>10</v>
      </c>
      <c r="B16" s="46" t="s">
        <v>102</v>
      </c>
      <c r="C16" s="27" t="s">
        <v>140</v>
      </c>
    </row>
    <row r="17" spans="1:3" ht="17.25" customHeight="1">
      <c r="A17" s="24">
        <v>11</v>
      </c>
      <c r="B17" s="46" t="s">
        <v>103</v>
      </c>
      <c r="C17" s="74" t="s">
        <v>190</v>
      </c>
    </row>
    <row r="18" spans="1:3" ht="29.1" customHeight="1">
      <c r="A18" s="24">
        <v>12</v>
      </c>
      <c r="B18" s="46" t="s">
        <v>104</v>
      </c>
      <c r="C18" s="27" t="s">
        <v>135</v>
      </c>
    </row>
    <row r="19" spans="1:3" ht="29.1" customHeight="1">
      <c r="A19" s="24">
        <v>13</v>
      </c>
      <c r="B19" s="46" t="s">
        <v>105</v>
      </c>
      <c r="C19" s="27" t="str">
        <f>'Form-1'!C18</f>
        <v>Igneous rock, Sedimentory rocks</v>
      </c>
    </row>
    <row r="20" spans="1:3" ht="16.05" customHeight="1">
      <c r="A20" s="24">
        <v>14</v>
      </c>
      <c r="B20" s="47" t="s">
        <v>11</v>
      </c>
      <c r="C20" s="42"/>
    </row>
    <row r="21" spans="1:3" ht="17.55" customHeight="1">
      <c r="A21" s="31"/>
      <c r="B21" s="47" t="s">
        <v>191</v>
      </c>
      <c r="C21" s="42" t="str">
        <f>'Form-1'!C19</f>
        <v>Red Sandy loam</v>
      </c>
    </row>
    <row r="22" spans="1:3" ht="16.95" customHeight="1">
      <c r="A22" s="31"/>
      <c r="B22" s="47" t="s">
        <v>192</v>
      </c>
      <c r="C22" s="20" t="s">
        <v>203</v>
      </c>
    </row>
    <row r="23" spans="1:3" ht="19.5" customHeight="1">
      <c r="A23" s="31"/>
      <c r="B23" s="47" t="s">
        <v>193</v>
      </c>
      <c r="C23" s="42" t="s">
        <v>202</v>
      </c>
    </row>
    <row r="24" spans="1:3" ht="17.100000000000001" customHeight="1">
      <c r="A24" s="24">
        <v>15</v>
      </c>
      <c r="B24" s="48" t="s">
        <v>106</v>
      </c>
      <c r="C24" s="27" t="s">
        <v>204</v>
      </c>
    </row>
    <row r="25" spans="1:3" ht="31.5" customHeight="1">
      <c r="A25" s="24">
        <v>16</v>
      </c>
      <c r="B25" s="46" t="s">
        <v>107</v>
      </c>
      <c r="C25" s="88"/>
    </row>
    <row r="26" spans="1:3" ht="18.600000000000001" customHeight="1">
      <c r="A26" s="24">
        <v>17</v>
      </c>
      <c r="B26" s="46" t="s">
        <v>108</v>
      </c>
      <c r="C26" s="27" t="s">
        <v>205</v>
      </c>
    </row>
    <row r="27" spans="1:3" ht="59.55" customHeight="1">
      <c r="A27" s="24">
        <v>18</v>
      </c>
      <c r="B27" s="46" t="s">
        <v>109</v>
      </c>
      <c r="C27" s="27" t="s">
        <v>206</v>
      </c>
    </row>
    <row r="28" spans="1:3" ht="17.55" customHeight="1">
      <c r="A28" s="24">
        <v>19</v>
      </c>
      <c r="B28" s="46" t="s">
        <v>110</v>
      </c>
      <c r="C28" s="27" t="s">
        <v>206</v>
      </c>
    </row>
    <row r="29" spans="1:3" ht="18" customHeight="1">
      <c r="A29" s="24">
        <v>20</v>
      </c>
      <c r="B29" s="48" t="s">
        <v>111</v>
      </c>
      <c r="C29" s="27" t="s">
        <v>208</v>
      </c>
    </row>
    <row r="30" spans="1:3" ht="30" customHeight="1">
      <c r="A30" s="24">
        <v>21</v>
      </c>
      <c r="B30" s="49" t="s">
        <v>112</v>
      </c>
      <c r="C30" s="27" t="s">
        <v>208</v>
      </c>
    </row>
    <row r="31" spans="1:3" ht="30.45" customHeight="1">
      <c r="A31" s="24">
        <v>22</v>
      </c>
      <c r="B31" s="46" t="s">
        <v>113</v>
      </c>
      <c r="C31" s="27" t="s">
        <v>207</v>
      </c>
    </row>
    <row r="32" spans="1:3" ht="16.5" customHeight="1">
      <c r="A32" s="24">
        <v>23</v>
      </c>
      <c r="B32" s="47" t="s">
        <v>97</v>
      </c>
      <c r="C32" s="25" t="s">
        <v>206</v>
      </c>
    </row>
    <row r="33" spans="1:3" ht="31.5" customHeight="1">
      <c r="A33" s="24">
        <v>24</v>
      </c>
      <c r="B33" s="47" t="s">
        <v>116</v>
      </c>
      <c r="C33" s="89" t="s">
        <v>209</v>
      </c>
    </row>
    <row r="34" spans="1:3" ht="35.549999999999997" customHeight="1">
      <c r="A34" s="24">
        <v>25</v>
      </c>
      <c r="B34" s="47" t="s">
        <v>98</v>
      </c>
      <c r="C34" s="90" t="s">
        <v>210</v>
      </c>
    </row>
    <row r="35" spans="1:3" ht="15.6" customHeight="1">
      <c r="A35" s="24">
        <v>26</v>
      </c>
      <c r="B35" s="46" t="s">
        <v>117</v>
      </c>
      <c r="C35" s="27"/>
    </row>
    <row r="36" spans="1:3" ht="30.6" customHeight="1">
      <c r="A36" s="28"/>
      <c r="B36" s="91" t="s">
        <v>114</v>
      </c>
      <c r="C36" s="92" t="s">
        <v>211</v>
      </c>
    </row>
    <row r="37" spans="1:3" ht="14.55" customHeight="1">
      <c r="A37" s="24">
        <v>27</v>
      </c>
      <c r="B37" s="48" t="s">
        <v>12</v>
      </c>
      <c r="C37" s="27" t="s">
        <v>212</v>
      </c>
    </row>
    <row r="38" spans="1:3" ht="18.600000000000001" customHeight="1">
      <c r="A38" s="24">
        <v>28</v>
      </c>
      <c r="B38" s="46" t="s">
        <v>13</v>
      </c>
      <c r="C38" s="27" t="s">
        <v>213</v>
      </c>
    </row>
    <row r="39" spans="1:3" ht="15.6">
      <c r="A39" s="93">
        <v>29</v>
      </c>
      <c r="B39" s="83" t="s">
        <v>115</v>
      </c>
      <c r="C39" s="94">
        <v>0.85</v>
      </c>
    </row>
  </sheetData>
  <mergeCells count="2">
    <mergeCell ref="A1:C1"/>
    <mergeCell ref="A2:C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5"/>
  <sheetViews>
    <sheetView topLeftCell="A25" workbookViewId="0">
      <selection activeCell="C3" sqref="C3:C4"/>
    </sheetView>
  </sheetViews>
  <sheetFormatPr defaultRowHeight="14.4"/>
  <cols>
    <col min="1" max="1" width="4.5546875" customWidth="1"/>
    <col min="2" max="2" width="12.21875" customWidth="1"/>
    <col min="3" max="3" width="15.21875" style="139" customWidth="1"/>
    <col min="4" max="4" width="14.77734375" style="140" customWidth="1"/>
    <col min="5" max="5" width="9.44140625" customWidth="1"/>
    <col min="6" max="6" width="0.77734375" hidden="1" customWidth="1"/>
    <col min="7" max="7" width="9.77734375" bestFit="1" customWidth="1"/>
    <col min="8" max="9" width="5.21875" customWidth="1"/>
    <col min="10" max="10" width="9.21875" customWidth="1"/>
    <col min="11" max="11" width="5.44140625" customWidth="1"/>
    <col min="12" max="12" width="12.5546875" customWidth="1"/>
  </cols>
  <sheetData>
    <row r="1" spans="1:12" ht="15.6" customHeight="1">
      <c r="A1" s="214" t="s">
        <v>460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</row>
    <row r="2" spans="1:12" ht="15.6" customHeight="1">
      <c r="A2" s="214" t="s">
        <v>461</v>
      </c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</row>
    <row r="3" spans="1:12" ht="15.6" customHeight="1">
      <c r="A3" s="214" t="s">
        <v>462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</row>
    <row r="4" spans="1:12" ht="15.6" customHeight="1" thickBot="1">
      <c r="A4" s="215"/>
      <c r="B4" s="215"/>
      <c r="C4" s="215"/>
      <c r="D4" s="215"/>
      <c r="E4" s="215"/>
      <c r="F4" s="215"/>
      <c r="G4" s="215"/>
      <c r="H4" s="215"/>
      <c r="I4" s="215"/>
      <c r="J4" s="215"/>
      <c r="K4" s="215"/>
      <c r="L4" s="215"/>
    </row>
    <row r="5" spans="1:12" ht="15.6" customHeight="1">
      <c r="A5" s="216" t="s">
        <v>463</v>
      </c>
      <c r="B5" s="217"/>
      <c r="C5" s="218" t="str">
        <f>'Form-1'!C8</f>
        <v>X-7</v>
      </c>
      <c r="D5" s="219"/>
      <c r="E5" s="220" t="s">
        <v>464</v>
      </c>
      <c r="F5" s="218"/>
      <c r="G5" s="218"/>
      <c r="H5" s="218"/>
      <c r="I5" s="219"/>
      <c r="J5" s="122" t="s">
        <v>465</v>
      </c>
      <c r="K5" s="217"/>
      <c r="L5" s="221"/>
    </row>
    <row r="6" spans="1:12" ht="15.6" customHeight="1">
      <c r="A6" s="202" t="s">
        <v>466</v>
      </c>
      <c r="B6" s="203"/>
      <c r="C6" s="204" t="str">
        <f>'[1]Form-1'!C6</f>
        <v>Sullia</v>
      </c>
      <c r="D6" s="205"/>
      <c r="E6" s="123" t="s">
        <v>467</v>
      </c>
      <c r="F6" s="124"/>
      <c r="G6" s="204" t="str">
        <f>'[2]Form 1'!C3</f>
        <v>Mangalore</v>
      </c>
      <c r="H6" s="204"/>
      <c r="I6" s="205"/>
      <c r="J6" s="123" t="s">
        <v>468</v>
      </c>
      <c r="K6" s="204" t="str">
        <f>'Form-2'!C13</f>
        <v>253 mts</v>
      </c>
      <c r="L6" s="206"/>
    </row>
    <row r="7" spans="1:12" ht="15.6" customHeight="1" thickBot="1">
      <c r="A7" s="207" t="s">
        <v>469</v>
      </c>
      <c r="B7" s="208"/>
      <c r="C7" s="209" t="str">
        <f>'Form-1'!C10</f>
        <v>12.5447</v>
      </c>
      <c r="D7" s="210"/>
      <c r="E7" s="125" t="s">
        <v>470</v>
      </c>
      <c r="F7" s="126"/>
      <c r="G7" s="211">
        <f>'Form-1'!C11</f>
        <v>75.443600000000004</v>
      </c>
      <c r="H7" s="211"/>
      <c r="I7" s="212"/>
      <c r="J7" s="125" t="s">
        <v>471</v>
      </c>
      <c r="K7" s="211">
        <f>'[1]Form-1'!C9</f>
        <v>754</v>
      </c>
      <c r="L7" s="213"/>
    </row>
    <row r="8" spans="1:12" ht="15.6" customHeight="1" thickBot="1">
      <c r="A8" s="5"/>
      <c r="B8" s="5"/>
      <c r="C8" s="127"/>
      <c r="D8" s="128"/>
      <c r="E8" s="1"/>
      <c r="F8" s="1"/>
      <c r="G8" s="1"/>
      <c r="H8" s="1"/>
      <c r="I8" s="1"/>
      <c r="J8" s="1"/>
      <c r="K8" s="1"/>
      <c r="L8" s="1"/>
    </row>
    <row r="9" spans="1:12" ht="18.600000000000001" customHeight="1">
      <c r="A9" s="189" t="s">
        <v>26</v>
      </c>
      <c r="B9" s="191" t="s">
        <v>27</v>
      </c>
      <c r="C9" s="192"/>
      <c r="D9" s="195" t="s">
        <v>28</v>
      </c>
      <c r="E9" s="197" t="s">
        <v>472</v>
      </c>
      <c r="F9" s="129" t="s">
        <v>473</v>
      </c>
      <c r="G9" s="197" t="s">
        <v>474</v>
      </c>
      <c r="H9" s="199" t="s">
        <v>31</v>
      </c>
      <c r="I9" s="200"/>
      <c r="J9" s="200"/>
      <c r="K9" s="201"/>
      <c r="L9" s="185" t="s">
        <v>475</v>
      </c>
    </row>
    <row r="10" spans="1:12" ht="49.05" customHeight="1">
      <c r="A10" s="190"/>
      <c r="B10" s="193"/>
      <c r="C10" s="194"/>
      <c r="D10" s="196"/>
      <c r="E10" s="198"/>
      <c r="F10" s="119" t="s">
        <v>476</v>
      </c>
      <c r="G10" s="198"/>
      <c r="H10" s="187" t="s">
        <v>477</v>
      </c>
      <c r="I10" s="188"/>
      <c r="J10" s="187" t="s">
        <v>34</v>
      </c>
      <c r="K10" s="188"/>
      <c r="L10" s="186"/>
    </row>
    <row r="11" spans="1:12" ht="15.6" customHeight="1">
      <c r="A11" s="120">
        <v>1</v>
      </c>
      <c r="B11" s="118" t="s">
        <v>442</v>
      </c>
      <c r="C11" s="131"/>
      <c r="D11" s="132" t="s">
        <v>159</v>
      </c>
      <c r="E11" s="65">
        <v>123</v>
      </c>
      <c r="F11" s="133"/>
      <c r="G11" s="65">
        <v>10</v>
      </c>
      <c r="H11" s="184"/>
      <c r="I11" s="184"/>
      <c r="J11" s="181"/>
      <c r="K11" s="181"/>
      <c r="L11" s="134"/>
    </row>
    <row r="12" spans="1:12" ht="15.6" customHeight="1">
      <c r="A12" s="134">
        <v>2</v>
      </c>
      <c r="B12" s="118" t="s">
        <v>227</v>
      </c>
      <c r="C12" s="131"/>
      <c r="D12" s="132" t="s">
        <v>150</v>
      </c>
      <c r="E12" s="65">
        <v>59</v>
      </c>
      <c r="F12" s="133"/>
      <c r="G12" s="65">
        <v>7</v>
      </c>
      <c r="H12" s="184"/>
      <c r="I12" s="184"/>
      <c r="J12" s="181"/>
      <c r="K12" s="181"/>
      <c r="L12" s="134"/>
    </row>
    <row r="13" spans="1:12" ht="15.6" customHeight="1">
      <c r="A13" s="134">
        <v>3</v>
      </c>
      <c r="B13" s="118" t="s">
        <v>227</v>
      </c>
      <c r="C13" s="131"/>
      <c r="D13" s="132" t="s">
        <v>150</v>
      </c>
      <c r="E13" s="65">
        <v>56</v>
      </c>
      <c r="F13" s="133"/>
      <c r="G13" s="65">
        <v>8</v>
      </c>
      <c r="H13" s="184"/>
      <c r="I13" s="184"/>
      <c r="J13" s="181"/>
      <c r="K13" s="181"/>
      <c r="L13" s="134"/>
    </row>
    <row r="14" spans="1:12" ht="15.6" customHeight="1">
      <c r="A14" s="134">
        <v>4</v>
      </c>
      <c r="B14" s="145" t="s">
        <v>319</v>
      </c>
      <c r="C14" s="137"/>
      <c r="D14" s="132" t="s">
        <v>160</v>
      </c>
      <c r="E14" s="65">
        <v>154</v>
      </c>
      <c r="F14" s="133"/>
      <c r="G14" s="65">
        <v>10</v>
      </c>
      <c r="H14" s="184"/>
      <c r="I14" s="184"/>
      <c r="J14" s="181"/>
      <c r="K14" s="181"/>
      <c r="L14" s="134"/>
    </row>
    <row r="15" spans="1:12" ht="15.6" customHeight="1">
      <c r="A15" s="120">
        <v>5</v>
      </c>
      <c r="B15" s="148"/>
      <c r="C15" s="148"/>
      <c r="D15" s="144" t="s">
        <v>161</v>
      </c>
      <c r="E15" s="65">
        <v>86</v>
      </c>
      <c r="F15" s="133"/>
      <c r="G15" s="65">
        <v>7</v>
      </c>
      <c r="H15" s="184"/>
      <c r="I15" s="184"/>
      <c r="J15" s="181"/>
      <c r="K15" s="181"/>
      <c r="L15" s="134"/>
    </row>
    <row r="16" spans="1:12" ht="15.6" customHeight="1">
      <c r="A16" s="134">
        <v>6</v>
      </c>
      <c r="B16" s="146" t="s">
        <v>227</v>
      </c>
      <c r="C16" s="147"/>
      <c r="D16" s="132" t="s">
        <v>150</v>
      </c>
      <c r="E16" s="65">
        <v>46</v>
      </c>
      <c r="F16" s="133"/>
      <c r="G16" s="65">
        <v>6</v>
      </c>
      <c r="H16" s="180"/>
      <c r="I16" s="180"/>
      <c r="J16" s="181"/>
      <c r="K16" s="181"/>
      <c r="L16" s="134"/>
    </row>
    <row r="17" spans="1:12" ht="15.6" customHeight="1">
      <c r="A17" s="134">
        <v>7</v>
      </c>
      <c r="B17" s="118" t="s">
        <v>319</v>
      </c>
      <c r="C17" s="131"/>
      <c r="D17" s="132" t="s">
        <v>162</v>
      </c>
      <c r="E17" s="65">
        <v>73</v>
      </c>
      <c r="F17" s="133"/>
      <c r="G17" s="65">
        <v>6</v>
      </c>
      <c r="H17" s="180"/>
      <c r="I17" s="180"/>
      <c r="J17" s="181"/>
      <c r="K17" s="181"/>
      <c r="L17" s="134"/>
    </row>
    <row r="18" spans="1:12" ht="15.6" customHeight="1">
      <c r="A18" s="134">
        <v>8</v>
      </c>
      <c r="B18" s="118" t="s">
        <v>217</v>
      </c>
      <c r="C18" s="131"/>
      <c r="D18" s="132" t="s">
        <v>163</v>
      </c>
      <c r="E18" s="65">
        <v>360</v>
      </c>
      <c r="F18" s="133"/>
      <c r="G18" s="65">
        <v>15</v>
      </c>
      <c r="H18" s="180"/>
      <c r="I18" s="180"/>
      <c r="J18" s="181"/>
      <c r="K18" s="181"/>
      <c r="L18" s="134"/>
    </row>
    <row r="19" spans="1:12" ht="15.6">
      <c r="A19" s="134">
        <v>9</v>
      </c>
      <c r="B19" s="118" t="s">
        <v>447</v>
      </c>
      <c r="C19" s="131"/>
      <c r="D19" s="132" t="s">
        <v>164</v>
      </c>
      <c r="E19" s="65">
        <v>172</v>
      </c>
      <c r="F19" s="133"/>
      <c r="G19" s="65">
        <v>12</v>
      </c>
      <c r="H19" s="180"/>
      <c r="I19" s="180"/>
      <c r="J19" s="181"/>
      <c r="K19" s="181"/>
      <c r="L19" s="134"/>
    </row>
    <row r="20" spans="1:12" ht="15.6" customHeight="1">
      <c r="A20" s="134">
        <v>10</v>
      </c>
      <c r="B20" s="118" t="s">
        <v>216</v>
      </c>
      <c r="C20" s="131"/>
      <c r="D20" s="132" t="s">
        <v>153</v>
      </c>
      <c r="E20" s="65">
        <v>44</v>
      </c>
      <c r="F20" s="133"/>
      <c r="G20" s="65">
        <v>5</v>
      </c>
      <c r="H20" s="180"/>
      <c r="I20" s="180"/>
      <c r="J20" s="181"/>
      <c r="K20" s="181"/>
      <c r="L20" s="134"/>
    </row>
    <row r="21" spans="1:12" ht="15.6" customHeight="1">
      <c r="A21" s="134">
        <v>11</v>
      </c>
      <c r="B21" s="148"/>
      <c r="C21" s="148"/>
      <c r="D21" s="132" t="s">
        <v>165</v>
      </c>
      <c r="E21" s="65">
        <v>157</v>
      </c>
      <c r="F21" s="133"/>
      <c r="G21" s="65">
        <v>10</v>
      </c>
      <c r="H21" s="180"/>
      <c r="I21" s="180"/>
      <c r="J21" s="181"/>
      <c r="K21" s="181"/>
      <c r="L21" s="134"/>
    </row>
    <row r="22" spans="1:12" ht="15.6" customHeight="1">
      <c r="A22" s="134">
        <v>12</v>
      </c>
      <c r="B22" s="118" t="s">
        <v>447</v>
      </c>
      <c r="C22" s="131"/>
      <c r="D22" s="132" t="s">
        <v>161</v>
      </c>
      <c r="E22" s="65">
        <v>65</v>
      </c>
      <c r="F22" s="133"/>
      <c r="G22" s="65">
        <v>8</v>
      </c>
      <c r="H22" s="180"/>
      <c r="I22" s="180"/>
      <c r="J22" s="181"/>
      <c r="K22" s="181"/>
      <c r="L22" s="134"/>
    </row>
    <row r="23" spans="1:12" ht="15.6">
      <c r="A23" s="134">
        <v>13</v>
      </c>
      <c r="B23" s="118" t="s">
        <v>217</v>
      </c>
      <c r="C23" s="131"/>
      <c r="D23" s="132" t="s">
        <v>163</v>
      </c>
      <c r="E23" s="65">
        <v>223</v>
      </c>
      <c r="F23" s="135"/>
      <c r="G23" s="65">
        <v>15</v>
      </c>
      <c r="H23" s="180"/>
      <c r="I23" s="180"/>
      <c r="J23" s="181"/>
      <c r="K23" s="181"/>
      <c r="L23" s="134"/>
    </row>
    <row r="24" spans="1:12" ht="15.6">
      <c r="A24" s="134">
        <v>14</v>
      </c>
      <c r="B24" s="130"/>
      <c r="C24" s="131"/>
      <c r="D24" s="132" t="s">
        <v>166</v>
      </c>
      <c r="E24" s="65">
        <v>57</v>
      </c>
      <c r="F24" s="135"/>
      <c r="G24" s="65" t="s">
        <v>167</v>
      </c>
      <c r="H24" s="180"/>
      <c r="I24" s="180"/>
      <c r="J24" s="181"/>
      <c r="K24" s="181"/>
      <c r="L24" s="134"/>
    </row>
    <row r="25" spans="1:12" ht="15.6">
      <c r="A25" s="134">
        <v>15</v>
      </c>
      <c r="B25" s="130"/>
      <c r="C25" s="131"/>
      <c r="D25" s="132" t="s">
        <v>161</v>
      </c>
      <c r="E25" s="65">
        <v>39</v>
      </c>
      <c r="F25" s="135"/>
      <c r="G25" s="65">
        <v>8</v>
      </c>
      <c r="H25" s="180"/>
      <c r="I25" s="180"/>
      <c r="J25" s="181"/>
      <c r="K25" s="181"/>
      <c r="L25" s="134"/>
    </row>
    <row r="26" spans="1:12" ht="15.6">
      <c r="A26" s="134">
        <v>16</v>
      </c>
      <c r="B26" s="130"/>
      <c r="C26" s="131"/>
      <c r="D26" s="132" t="s">
        <v>168</v>
      </c>
      <c r="E26" s="65">
        <v>81</v>
      </c>
      <c r="F26" s="135"/>
      <c r="G26" s="65">
        <v>10</v>
      </c>
      <c r="H26" s="180"/>
      <c r="I26" s="180"/>
      <c r="J26" s="181"/>
      <c r="K26" s="181"/>
      <c r="L26" s="134"/>
    </row>
    <row r="27" spans="1:12" ht="15.6">
      <c r="A27" s="134">
        <v>17</v>
      </c>
      <c r="B27" s="118" t="s">
        <v>448</v>
      </c>
      <c r="C27" s="131"/>
      <c r="D27" s="132" t="s">
        <v>169</v>
      </c>
      <c r="E27" s="65">
        <v>36</v>
      </c>
      <c r="F27" s="135"/>
      <c r="G27" s="65">
        <v>7</v>
      </c>
      <c r="H27" s="180"/>
      <c r="I27" s="180"/>
      <c r="J27" s="181"/>
      <c r="K27" s="181"/>
      <c r="L27" s="134"/>
    </row>
    <row r="28" spans="1:12" ht="15.6">
      <c r="A28" s="136">
        <v>18</v>
      </c>
      <c r="B28" s="118" t="s">
        <v>319</v>
      </c>
      <c r="C28" s="137"/>
      <c r="D28" s="132" t="s">
        <v>162</v>
      </c>
      <c r="E28" s="65">
        <v>216</v>
      </c>
      <c r="F28" s="135"/>
      <c r="G28" s="65">
        <v>25</v>
      </c>
      <c r="H28" s="182"/>
      <c r="I28" s="182"/>
      <c r="J28" s="183"/>
      <c r="K28" s="183"/>
      <c r="L28" s="136"/>
    </row>
    <row r="29" spans="1:12" ht="15.6">
      <c r="A29" s="136">
        <v>19</v>
      </c>
      <c r="B29" s="118" t="s">
        <v>443</v>
      </c>
      <c r="C29" s="137"/>
      <c r="D29" s="132" t="s">
        <v>159</v>
      </c>
      <c r="E29" s="65">
        <v>30</v>
      </c>
      <c r="F29" s="138"/>
      <c r="G29" s="65">
        <v>3</v>
      </c>
      <c r="H29" s="182"/>
      <c r="I29" s="182"/>
      <c r="J29" s="183"/>
      <c r="K29" s="183"/>
      <c r="L29" s="136"/>
    </row>
    <row r="30" spans="1:12" ht="15.6">
      <c r="A30" s="136">
        <v>20</v>
      </c>
      <c r="B30" s="118" t="s">
        <v>447</v>
      </c>
      <c r="C30" s="137"/>
      <c r="D30" s="132" t="s">
        <v>164</v>
      </c>
      <c r="E30" s="65">
        <v>424</v>
      </c>
      <c r="F30" s="138"/>
      <c r="G30" s="65">
        <v>20</v>
      </c>
      <c r="H30" s="182"/>
      <c r="I30" s="182"/>
      <c r="J30" s="183"/>
      <c r="K30" s="183"/>
      <c r="L30" s="136"/>
    </row>
    <row r="31" spans="1:12" ht="15.6">
      <c r="A31" s="134">
        <v>21</v>
      </c>
      <c r="B31" s="118" t="s">
        <v>444</v>
      </c>
      <c r="C31" s="118"/>
      <c r="D31" s="132" t="s">
        <v>170</v>
      </c>
      <c r="E31" s="65">
        <v>137</v>
      </c>
      <c r="F31" s="138"/>
      <c r="G31" s="65">
        <v>15</v>
      </c>
      <c r="H31" s="180"/>
      <c r="I31" s="180"/>
      <c r="J31" s="181"/>
      <c r="K31" s="181"/>
      <c r="L31" s="134"/>
    </row>
    <row r="32" spans="1:12" ht="15.6">
      <c r="A32" s="134">
        <v>22</v>
      </c>
      <c r="B32" s="118" t="s">
        <v>319</v>
      </c>
      <c r="C32" s="143"/>
      <c r="D32" s="132" t="s">
        <v>162</v>
      </c>
      <c r="E32" s="65">
        <v>196</v>
      </c>
      <c r="F32" s="138"/>
      <c r="G32" s="65">
        <v>20</v>
      </c>
      <c r="H32" s="180"/>
      <c r="I32" s="180"/>
      <c r="J32" s="181"/>
      <c r="K32" s="181"/>
      <c r="L32" s="134"/>
    </row>
    <row r="33" spans="1:12" ht="15.6">
      <c r="A33" s="134">
        <v>23</v>
      </c>
      <c r="B33" s="130"/>
      <c r="C33" s="131"/>
      <c r="D33" s="132" t="s">
        <v>161</v>
      </c>
      <c r="E33" s="65">
        <v>55</v>
      </c>
      <c r="F33" s="138"/>
      <c r="G33" s="65">
        <v>9</v>
      </c>
      <c r="H33" s="180"/>
      <c r="I33" s="180"/>
      <c r="J33" s="181"/>
      <c r="K33" s="181"/>
      <c r="L33" s="134"/>
    </row>
    <row r="34" spans="1:12" ht="15.6">
      <c r="A34" s="134">
        <v>24</v>
      </c>
      <c r="B34" s="118" t="s">
        <v>445</v>
      </c>
      <c r="C34" s="143"/>
      <c r="D34" s="132" t="s">
        <v>171</v>
      </c>
      <c r="E34" s="65">
        <v>95</v>
      </c>
      <c r="F34" s="138"/>
      <c r="G34" s="65">
        <v>10</v>
      </c>
      <c r="H34" s="180"/>
      <c r="I34" s="180"/>
      <c r="J34" s="181"/>
      <c r="K34" s="181"/>
      <c r="L34" s="134"/>
    </row>
    <row r="35" spans="1:12" ht="15.6">
      <c r="A35" s="134">
        <v>25</v>
      </c>
      <c r="B35" s="118" t="s">
        <v>319</v>
      </c>
      <c r="C35" s="143"/>
      <c r="D35" s="132" t="s">
        <v>172</v>
      </c>
      <c r="E35" s="65">
        <v>55</v>
      </c>
      <c r="F35" s="138"/>
      <c r="G35" s="65">
        <v>6</v>
      </c>
      <c r="H35" s="180"/>
      <c r="I35" s="180"/>
      <c r="J35" s="181"/>
      <c r="K35" s="181"/>
      <c r="L35" s="134"/>
    </row>
    <row r="36" spans="1:12" ht="15.6">
      <c r="A36" s="134">
        <v>26</v>
      </c>
      <c r="B36" s="130"/>
      <c r="C36" s="131"/>
      <c r="D36" s="132" t="s">
        <v>161</v>
      </c>
      <c r="E36" s="65">
        <v>37</v>
      </c>
      <c r="F36" s="138"/>
      <c r="G36" s="65">
        <v>7</v>
      </c>
      <c r="H36" s="180"/>
      <c r="I36" s="180"/>
      <c r="J36" s="181"/>
      <c r="K36" s="181"/>
      <c r="L36" s="134"/>
    </row>
    <row r="37" spans="1:12" ht="15.6">
      <c r="A37" s="134">
        <v>27</v>
      </c>
      <c r="B37" s="118" t="s">
        <v>446</v>
      </c>
      <c r="C37" s="143"/>
      <c r="D37" s="132" t="s">
        <v>160</v>
      </c>
      <c r="E37" s="65">
        <v>156</v>
      </c>
      <c r="F37" s="138"/>
      <c r="G37" s="65">
        <v>12</v>
      </c>
      <c r="H37" s="180"/>
      <c r="I37" s="180"/>
      <c r="J37" s="181"/>
      <c r="K37" s="181"/>
      <c r="L37" s="134"/>
    </row>
    <row r="38" spans="1:12" ht="15.6">
      <c r="A38" s="134">
        <v>28</v>
      </c>
      <c r="B38" s="130"/>
      <c r="C38" s="131"/>
      <c r="D38" s="132" t="s">
        <v>161</v>
      </c>
      <c r="E38" s="65">
        <v>33</v>
      </c>
      <c r="F38" s="138"/>
      <c r="G38" s="65">
        <v>7</v>
      </c>
      <c r="H38" s="180"/>
      <c r="I38" s="180"/>
      <c r="J38" s="181"/>
      <c r="K38" s="181"/>
      <c r="L38" s="134"/>
    </row>
    <row r="39" spans="1:12" ht="15.6">
      <c r="A39" s="134">
        <v>29</v>
      </c>
      <c r="B39" s="130"/>
      <c r="C39" s="131"/>
      <c r="D39" s="132" t="s">
        <v>161</v>
      </c>
      <c r="E39" s="65">
        <v>32</v>
      </c>
      <c r="F39" s="138"/>
      <c r="G39" s="65">
        <v>7</v>
      </c>
      <c r="H39" s="180"/>
      <c r="I39" s="180"/>
      <c r="J39" s="181"/>
      <c r="K39" s="181"/>
      <c r="L39" s="134"/>
    </row>
    <row r="40" spans="1:12" ht="15.6">
      <c r="A40" s="134">
        <v>30</v>
      </c>
      <c r="B40" s="130"/>
      <c r="C40" s="131"/>
      <c r="D40" s="132" t="s">
        <v>161</v>
      </c>
      <c r="E40" s="65">
        <v>64</v>
      </c>
      <c r="F40" s="138"/>
      <c r="G40" s="65">
        <v>10</v>
      </c>
      <c r="H40" s="180"/>
      <c r="I40" s="180"/>
      <c r="J40" s="181"/>
      <c r="K40" s="181"/>
      <c r="L40" s="134"/>
    </row>
    <row r="41" spans="1:12" ht="15.6">
      <c r="A41" s="134">
        <v>31</v>
      </c>
      <c r="B41" s="130"/>
      <c r="C41" s="131"/>
      <c r="D41" s="132" t="s">
        <v>161</v>
      </c>
      <c r="E41" s="65">
        <v>44</v>
      </c>
      <c r="F41" s="138"/>
      <c r="G41" s="65">
        <v>6</v>
      </c>
      <c r="H41" s="180"/>
      <c r="I41" s="180"/>
      <c r="J41" s="181"/>
      <c r="K41" s="181"/>
      <c r="L41" s="134"/>
    </row>
    <row r="42" spans="1:12" ht="15.6">
      <c r="A42" s="134">
        <v>32</v>
      </c>
      <c r="B42" s="130"/>
      <c r="C42" s="131"/>
      <c r="D42" s="132" t="s">
        <v>161</v>
      </c>
      <c r="E42" s="65">
        <v>56</v>
      </c>
      <c r="F42" s="138"/>
      <c r="G42" s="65">
        <v>8</v>
      </c>
      <c r="H42" s="180"/>
      <c r="I42" s="180"/>
      <c r="J42" s="181"/>
      <c r="K42" s="181"/>
      <c r="L42" s="134"/>
    </row>
    <row r="43" spans="1:12" ht="15.6">
      <c r="A43" s="134">
        <v>33</v>
      </c>
      <c r="B43" s="130"/>
      <c r="C43" s="131"/>
      <c r="D43" s="132" t="s">
        <v>161</v>
      </c>
      <c r="E43" s="65">
        <v>31</v>
      </c>
      <c r="F43" s="138"/>
      <c r="G43" s="65">
        <v>7</v>
      </c>
      <c r="H43" s="180"/>
      <c r="I43" s="180"/>
      <c r="J43" s="181"/>
      <c r="K43" s="181"/>
      <c r="L43" s="134"/>
    </row>
    <row r="44" spans="1:12" ht="15.6">
      <c r="A44" s="134">
        <v>34</v>
      </c>
      <c r="B44" s="118" t="s">
        <v>448</v>
      </c>
      <c r="C44" s="143"/>
      <c r="D44" s="132" t="s">
        <v>173</v>
      </c>
      <c r="E44" s="65">
        <v>47</v>
      </c>
      <c r="F44" s="138"/>
      <c r="G44" s="65">
        <v>9</v>
      </c>
      <c r="H44" s="180"/>
      <c r="I44" s="180"/>
      <c r="J44" s="181"/>
      <c r="K44" s="181"/>
      <c r="L44" s="134"/>
    </row>
    <row r="45" spans="1:12" ht="15.6">
      <c r="A45" s="134">
        <v>35</v>
      </c>
      <c r="B45" s="130"/>
      <c r="C45" s="131"/>
      <c r="D45" s="132" t="s">
        <v>161</v>
      </c>
      <c r="E45" s="65">
        <v>69</v>
      </c>
      <c r="F45" s="138"/>
      <c r="G45" s="65">
        <v>9</v>
      </c>
      <c r="H45" s="180"/>
      <c r="I45" s="180"/>
      <c r="J45" s="181"/>
      <c r="K45" s="181"/>
      <c r="L45" s="134"/>
    </row>
  </sheetData>
  <mergeCells count="95">
    <mergeCell ref="A1:L1"/>
    <mergeCell ref="A2:L2"/>
    <mergeCell ref="A3:L3"/>
    <mergeCell ref="A4:L4"/>
    <mergeCell ref="A5:B5"/>
    <mergeCell ref="C5:D5"/>
    <mergeCell ref="E5:I5"/>
    <mergeCell ref="K5:L5"/>
    <mergeCell ref="A6:B6"/>
    <mergeCell ref="C6:D6"/>
    <mergeCell ref="G6:I6"/>
    <mergeCell ref="K6:L6"/>
    <mergeCell ref="A7:B7"/>
    <mergeCell ref="C7:D7"/>
    <mergeCell ref="G7:I7"/>
    <mergeCell ref="K7:L7"/>
    <mergeCell ref="H12:I12"/>
    <mergeCell ref="J12:K12"/>
    <mergeCell ref="A9:A10"/>
    <mergeCell ref="B9:C10"/>
    <mergeCell ref="D9:D10"/>
    <mergeCell ref="E9:E10"/>
    <mergeCell ref="G9:G10"/>
    <mergeCell ref="H9:K9"/>
    <mergeCell ref="L9:L10"/>
    <mergeCell ref="H10:I10"/>
    <mergeCell ref="J10:K10"/>
    <mergeCell ref="H11:I11"/>
    <mergeCell ref="J11:K11"/>
    <mergeCell ref="H13:I13"/>
    <mergeCell ref="J13:K13"/>
    <mergeCell ref="H14:I14"/>
    <mergeCell ref="J14:K14"/>
    <mergeCell ref="H15:I15"/>
    <mergeCell ref="J15:K15"/>
    <mergeCell ref="H16:I16"/>
    <mergeCell ref="J16:K16"/>
    <mergeCell ref="H17:I17"/>
    <mergeCell ref="J17:K17"/>
    <mergeCell ref="H18:I18"/>
    <mergeCell ref="J18:K18"/>
    <mergeCell ref="H19:I19"/>
    <mergeCell ref="J19:K19"/>
    <mergeCell ref="H20:I20"/>
    <mergeCell ref="J20:K20"/>
    <mergeCell ref="H21:I21"/>
    <mergeCell ref="J21:K21"/>
    <mergeCell ref="H22:I22"/>
    <mergeCell ref="J22:K22"/>
    <mergeCell ref="H23:I23"/>
    <mergeCell ref="J23:K23"/>
    <mergeCell ref="H24:I24"/>
    <mergeCell ref="J24:K24"/>
    <mergeCell ref="H25:I25"/>
    <mergeCell ref="J25:K25"/>
    <mergeCell ref="H26:I26"/>
    <mergeCell ref="J26:K26"/>
    <mergeCell ref="H27:I27"/>
    <mergeCell ref="J27:K27"/>
    <mergeCell ref="H28:I28"/>
    <mergeCell ref="J28:K28"/>
    <mergeCell ref="H29:I29"/>
    <mergeCell ref="J29:K29"/>
    <mergeCell ref="H30:I30"/>
    <mergeCell ref="J30:K30"/>
    <mergeCell ref="H31:I31"/>
    <mergeCell ref="J31:K31"/>
    <mergeCell ref="H32:I32"/>
    <mergeCell ref="J32:K32"/>
    <mergeCell ref="H33:I33"/>
    <mergeCell ref="J33:K33"/>
    <mergeCell ref="H34:I34"/>
    <mergeCell ref="J34:K34"/>
    <mergeCell ref="H35:I35"/>
    <mergeCell ref="J35:K35"/>
    <mergeCell ref="H36:I36"/>
    <mergeCell ref="J36:K36"/>
    <mergeCell ref="H37:I37"/>
    <mergeCell ref="J37:K37"/>
    <mergeCell ref="H38:I38"/>
    <mergeCell ref="J38:K38"/>
    <mergeCell ref="H39:I39"/>
    <mergeCell ref="J39:K39"/>
    <mergeCell ref="H40:I40"/>
    <mergeCell ref="J40:K40"/>
    <mergeCell ref="H41:I41"/>
    <mergeCell ref="J41:K41"/>
    <mergeCell ref="H42:I42"/>
    <mergeCell ref="J42:K42"/>
    <mergeCell ref="H43:I43"/>
    <mergeCell ref="J43:K43"/>
    <mergeCell ref="H44:I44"/>
    <mergeCell ref="J44:K44"/>
    <mergeCell ref="H45:I45"/>
    <mergeCell ref="J45:K45"/>
  </mergeCells>
  <pageMargins left="0.31496062992125984" right="0.31496062992125984" top="0.3543307086614173" bottom="0.3543307086614173" header="0.31496062992125984" footer="0.31496062992125984"/>
  <pageSetup paperSize="9" scale="90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Q9"/>
  <sheetViews>
    <sheetView view="pageLayout" workbookViewId="0">
      <selection activeCell="C3" sqref="C3:C4"/>
    </sheetView>
  </sheetViews>
  <sheetFormatPr defaultRowHeight="14.4"/>
  <cols>
    <col min="1" max="1" width="3.6640625" customWidth="1"/>
    <col min="2" max="2" width="14.21875" customWidth="1"/>
    <col min="3" max="3" width="11.33203125" customWidth="1"/>
    <col min="4" max="4" width="7.77734375" customWidth="1"/>
    <col min="5" max="13" width="4.21875" customWidth="1"/>
    <col min="15" max="15" width="7.21875" bestFit="1" customWidth="1"/>
    <col min="17" max="17" width="11.77734375" customWidth="1"/>
  </cols>
  <sheetData>
    <row r="1" spans="1:17" ht="21">
      <c r="A1" s="234" t="s">
        <v>478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  <c r="O1" s="234"/>
      <c r="P1" s="234"/>
      <c r="Q1" s="234"/>
    </row>
    <row r="2" spans="1:17" ht="21">
      <c r="A2" s="234" t="s">
        <v>479</v>
      </c>
      <c r="B2" s="234"/>
      <c r="C2" s="234"/>
      <c r="D2" s="234"/>
      <c r="E2" s="234"/>
      <c r="F2" s="234"/>
      <c r="G2" s="234"/>
      <c r="H2" s="234"/>
      <c r="I2" s="234"/>
      <c r="J2" s="234"/>
      <c r="K2" s="234"/>
      <c r="L2" s="234"/>
      <c r="M2" s="234"/>
      <c r="N2" s="234"/>
      <c r="O2" s="234"/>
      <c r="P2" s="234"/>
      <c r="Q2" s="234"/>
    </row>
    <row r="3" spans="1:17">
      <c r="A3" s="141"/>
    </row>
    <row r="4" spans="1:17" ht="15" thickBot="1">
      <c r="A4" s="141"/>
    </row>
    <row r="5" spans="1:17" ht="16.2" thickBot="1">
      <c r="A5" s="228" t="s">
        <v>26</v>
      </c>
      <c r="B5" s="228" t="s">
        <v>27</v>
      </c>
      <c r="C5" s="228" t="s">
        <v>228</v>
      </c>
      <c r="D5" s="228" t="s">
        <v>480</v>
      </c>
      <c r="E5" s="236" t="s">
        <v>481</v>
      </c>
      <c r="F5" s="237"/>
      <c r="G5" s="237"/>
      <c r="H5" s="237"/>
      <c r="I5" s="237"/>
      <c r="J5" s="237"/>
      <c r="K5" s="237"/>
      <c r="L5" s="237"/>
      <c r="M5" s="238"/>
      <c r="N5" s="228" t="s">
        <v>482</v>
      </c>
      <c r="O5" s="236" t="s">
        <v>483</v>
      </c>
      <c r="P5" s="238"/>
      <c r="Q5" s="228" t="s">
        <v>484</v>
      </c>
    </row>
    <row r="6" spans="1:17" ht="15.6">
      <c r="A6" s="229"/>
      <c r="B6" s="229"/>
      <c r="C6" s="229"/>
      <c r="D6" s="229"/>
      <c r="E6" s="225" t="s">
        <v>485</v>
      </c>
      <c r="F6" s="226"/>
      <c r="G6" s="227"/>
      <c r="H6" s="225" t="s">
        <v>486</v>
      </c>
      <c r="I6" s="226"/>
      <c r="J6" s="227"/>
      <c r="K6" s="225" t="s">
        <v>487</v>
      </c>
      <c r="L6" s="226"/>
      <c r="M6" s="227"/>
      <c r="N6" s="229"/>
      <c r="O6" s="228" t="s">
        <v>488</v>
      </c>
      <c r="P6" s="228" t="s">
        <v>489</v>
      </c>
      <c r="Q6" s="229"/>
    </row>
    <row r="7" spans="1:17" ht="16.2" thickBot="1">
      <c r="A7" s="229"/>
      <c r="B7" s="229"/>
      <c r="C7" s="235"/>
      <c r="D7" s="229"/>
      <c r="E7" s="231" t="s">
        <v>490</v>
      </c>
      <c r="F7" s="232"/>
      <c r="G7" s="233"/>
      <c r="H7" s="231" t="s">
        <v>491</v>
      </c>
      <c r="I7" s="232"/>
      <c r="J7" s="233"/>
      <c r="K7" s="231" t="s">
        <v>490</v>
      </c>
      <c r="L7" s="232"/>
      <c r="M7" s="233"/>
      <c r="N7" s="229"/>
      <c r="O7" s="229"/>
      <c r="P7" s="229"/>
      <c r="Q7" s="229"/>
    </row>
    <row r="8" spans="1:17" ht="16.2" thickBot="1">
      <c r="A8" s="230"/>
      <c r="B8" s="230"/>
      <c r="C8" s="230"/>
      <c r="D8" s="230"/>
      <c r="E8" s="142" t="s">
        <v>492</v>
      </c>
      <c r="F8" s="142" t="s">
        <v>493</v>
      </c>
      <c r="G8" s="142" t="s">
        <v>167</v>
      </c>
      <c r="H8" s="142" t="s">
        <v>492</v>
      </c>
      <c r="I8" s="142" t="s">
        <v>493</v>
      </c>
      <c r="J8" s="142" t="s">
        <v>167</v>
      </c>
      <c r="K8" s="142" t="s">
        <v>492</v>
      </c>
      <c r="L8" s="142" t="s">
        <v>493</v>
      </c>
      <c r="M8" s="142" t="s">
        <v>167</v>
      </c>
      <c r="N8" s="230"/>
      <c r="O8" s="230"/>
      <c r="P8" s="230"/>
      <c r="Q8" s="230"/>
    </row>
    <row r="9" spans="1:17" ht="24.6" customHeight="1" thickBot="1">
      <c r="A9" s="222" t="s">
        <v>494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  <c r="P9" s="223"/>
      <c r="Q9" s="224"/>
    </row>
  </sheetData>
  <mergeCells count="19">
    <mergeCell ref="A1:Q1"/>
    <mergeCell ref="A2:Q2"/>
    <mergeCell ref="A5:A8"/>
    <mergeCell ref="B5:B8"/>
    <mergeCell ref="C5:C8"/>
    <mergeCell ref="D5:D8"/>
    <mergeCell ref="E5:M5"/>
    <mergeCell ref="N5:N8"/>
    <mergeCell ref="O5:P5"/>
    <mergeCell ref="Q5:Q8"/>
    <mergeCell ref="A9:Q9"/>
    <mergeCell ref="E6:G6"/>
    <mergeCell ref="H6:J6"/>
    <mergeCell ref="K6:M6"/>
    <mergeCell ref="O6:O8"/>
    <mergeCell ref="P6:P8"/>
    <mergeCell ref="E7:G7"/>
    <mergeCell ref="H7:J7"/>
    <mergeCell ref="K7:M7"/>
  </mergeCells>
  <pageMargins left="0.31496062992125984" right="0.31496062992125984" top="0.3543307086614173" bottom="0.3543307086614173" header="0.31496062992125984" footer="0.31496062992125984"/>
  <pageSetup paperSize="9" scale="125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4"/>
  <sheetViews>
    <sheetView tabSelected="1" view="pageLayout" workbookViewId="0">
      <selection activeCell="A25" sqref="A25:XFD25"/>
    </sheetView>
  </sheetViews>
  <sheetFormatPr defaultColWidth="9.21875" defaultRowHeight="15.6"/>
  <cols>
    <col min="1" max="1" width="3.88671875" style="4" customWidth="1"/>
    <col min="2" max="2" width="24.44140625" style="4" customWidth="1"/>
    <col min="3" max="3" width="16.77734375" style="4" customWidth="1"/>
    <col min="4" max="4" width="9.21875" style="4" customWidth="1"/>
    <col min="5" max="5" width="7.6640625" style="4" customWidth="1"/>
    <col min="6" max="6" width="9.21875" style="4"/>
    <col min="7" max="7" width="10.33203125" style="4" customWidth="1"/>
    <col min="8" max="8" width="19" style="4" customWidth="1"/>
    <col min="9" max="10" width="9.21875" style="4"/>
    <col min="11" max="11" width="10.21875" style="4" bestFit="1" customWidth="1"/>
    <col min="12" max="16384" width="9.21875" style="4"/>
  </cols>
  <sheetData>
    <row r="1" spans="1:8" ht="18" customHeight="1">
      <c r="A1" s="239" t="s">
        <v>123</v>
      </c>
      <c r="B1" s="240"/>
      <c r="C1" s="240"/>
      <c r="D1" s="240"/>
      <c r="E1" s="240"/>
      <c r="F1" s="240"/>
      <c r="G1" s="240"/>
      <c r="H1" s="241"/>
    </row>
    <row r="2" spans="1:8" s="11" customFormat="1" ht="17.55" customHeight="1">
      <c r="A2" s="149"/>
      <c r="B2" s="150" t="s">
        <v>24</v>
      </c>
      <c r="C2" s="151">
        <f>'Form-1'!C9</f>
        <v>389</v>
      </c>
      <c r="D2" s="152"/>
      <c r="E2" s="152"/>
      <c r="F2" s="240" t="s">
        <v>25</v>
      </c>
      <c r="G2" s="240"/>
      <c r="H2" s="241"/>
    </row>
    <row r="3" spans="1:8" ht="17.55" customHeight="1">
      <c r="A3" s="242" t="s">
        <v>26</v>
      </c>
      <c r="B3" s="242" t="s">
        <v>27</v>
      </c>
      <c r="C3" s="242" t="s">
        <v>28</v>
      </c>
      <c r="D3" s="242" t="s">
        <v>148</v>
      </c>
      <c r="E3" s="242" t="s">
        <v>30</v>
      </c>
      <c r="F3" s="244" t="s">
        <v>31</v>
      </c>
      <c r="G3" s="244"/>
      <c r="H3" s="242" t="s">
        <v>32</v>
      </c>
    </row>
    <row r="4" spans="1:8" ht="58.95" customHeight="1">
      <c r="A4" s="243"/>
      <c r="B4" s="243"/>
      <c r="C4" s="243"/>
      <c r="D4" s="243"/>
      <c r="E4" s="243"/>
      <c r="F4" s="153" t="s">
        <v>33</v>
      </c>
      <c r="G4" s="153" t="s">
        <v>34</v>
      </c>
      <c r="H4" s="243"/>
    </row>
    <row r="5" spans="1:8" ht="16.5" customHeight="1">
      <c r="A5" s="58">
        <v>1</v>
      </c>
      <c r="B5" s="154" t="s">
        <v>214</v>
      </c>
      <c r="C5" s="95" t="s">
        <v>136</v>
      </c>
      <c r="D5" s="155">
        <v>13</v>
      </c>
      <c r="E5" s="155">
        <v>1</v>
      </c>
      <c r="F5" s="95"/>
      <c r="G5" s="95"/>
      <c r="H5" s="95"/>
    </row>
    <row r="6" spans="1:8" ht="16.5" customHeight="1">
      <c r="A6" s="58">
        <v>2</v>
      </c>
      <c r="B6" s="154" t="s">
        <v>214</v>
      </c>
      <c r="C6" s="95" t="s">
        <v>136</v>
      </c>
      <c r="D6" s="155">
        <v>5</v>
      </c>
      <c r="E6" s="155">
        <v>0.8</v>
      </c>
      <c r="F6" s="95"/>
      <c r="G6" s="95"/>
      <c r="H6" s="95"/>
    </row>
    <row r="7" spans="1:8" ht="16.5" customHeight="1">
      <c r="A7" s="58">
        <v>3</v>
      </c>
      <c r="B7" s="154" t="s">
        <v>214</v>
      </c>
      <c r="C7" s="95" t="s">
        <v>136</v>
      </c>
      <c r="D7" s="155">
        <v>9</v>
      </c>
      <c r="E7" s="155">
        <v>1</v>
      </c>
      <c r="F7" s="95"/>
      <c r="G7" s="95"/>
      <c r="H7" s="95"/>
    </row>
    <row r="8" spans="1:8" ht="16.5" customHeight="1">
      <c r="A8" s="156"/>
      <c r="B8" s="157"/>
      <c r="C8" s="157"/>
      <c r="D8" s="157"/>
      <c r="E8" s="157"/>
      <c r="F8" s="157"/>
      <c r="G8" s="157"/>
      <c r="H8" s="158"/>
    </row>
    <row r="9" spans="1:8" s="11" customFormat="1" ht="15" customHeight="1">
      <c r="A9" s="149"/>
      <c r="B9" s="150" t="str">
        <f>B2</f>
        <v xml:space="preserve">    Grid No:  </v>
      </c>
      <c r="C9" s="151">
        <f>C2</f>
        <v>389</v>
      </c>
      <c r="D9" s="152"/>
      <c r="E9" s="152"/>
      <c r="F9" s="159" t="s">
        <v>41</v>
      </c>
      <c r="G9" s="159"/>
      <c r="H9" s="160"/>
    </row>
    <row r="10" spans="1:8" ht="13.5" customHeight="1">
      <c r="A10" s="244" t="s">
        <v>26</v>
      </c>
      <c r="B10" s="244" t="s">
        <v>27</v>
      </c>
      <c r="C10" s="244" t="s">
        <v>28</v>
      </c>
      <c r="D10" s="242" t="s">
        <v>29</v>
      </c>
      <c r="E10" s="244" t="s">
        <v>30</v>
      </c>
      <c r="F10" s="244" t="s">
        <v>31</v>
      </c>
      <c r="G10" s="244"/>
      <c r="H10" s="244" t="s">
        <v>32</v>
      </c>
    </row>
    <row r="11" spans="1:8" ht="47.55" customHeight="1">
      <c r="A11" s="244"/>
      <c r="B11" s="244"/>
      <c r="C11" s="244"/>
      <c r="D11" s="243"/>
      <c r="E11" s="244"/>
      <c r="F11" s="153" t="s">
        <v>33</v>
      </c>
      <c r="G11" s="153" t="s">
        <v>34</v>
      </c>
      <c r="H11" s="244"/>
    </row>
    <row r="12" spans="1:8" ht="17.100000000000001" customHeight="1">
      <c r="A12" s="58">
        <v>1</v>
      </c>
      <c r="B12" s="161" t="s">
        <v>215</v>
      </c>
      <c r="C12" s="162" t="s">
        <v>152</v>
      </c>
      <c r="D12" s="155">
        <v>1.9</v>
      </c>
      <c r="E12" s="155">
        <v>1</v>
      </c>
      <c r="F12" s="153"/>
      <c r="G12" s="153"/>
      <c r="H12" s="153"/>
    </row>
    <row r="13" spans="1:8" ht="17.100000000000001" customHeight="1">
      <c r="A13" s="58">
        <v>2</v>
      </c>
      <c r="B13" s="161" t="s">
        <v>214</v>
      </c>
      <c r="C13" s="162" t="s">
        <v>136</v>
      </c>
      <c r="D13" s="155">
        <v>0.7</v>
      </c>
      <c r="E13" s="155">
        <v>1</v>
      </c>
      <c r="F13" s="153"/>
      <c r="G13" s="153"/>
      <c r="H13" s="153"/>
    </row>
    <row r="14" spans="1:8" ht="17.100000000000001" customHeight="1">
      <c r="A14" s="58">
        <v>3</v>
      </c>
      <c r="B14" s="161" t="s">
        <v>216</v>
      </c>
      <c r="C14" s="162" t="s">
        <v>153</v>
      </c>
      <c r="D14" s="155">
        <v>2.8</v>
      </c>
      <c r="E14" s="155">
        <v>3</v>
      </c>
      <c r="F14" s="153"/>
      <c r="G14" s="153"/>
      <c r="H14" s="153"/>
    </row>
    <row r="15" spans="1:8" ht="17.100000000000001" customHeight="1">
      <c r="A15" s="58">
        <v>4</v>
      </c>
      <c r="B15" s="161" t="s">
        <v>214</v>
      </c>
      <c r="C15" s="162" t="s">
        <v>136</v>
      </c>
      <c r="D15" s="155">
        <v>0.4</v>
      </c>
      <c r="E15" s="155">
        <v>0.8</v>
      </c>
      <c r="F15" s="153"/>
      <c r="G15" s="153"/>
      <c r="H15" s="153"/>
    </row>
    <row r="16" spans="1:8" ht="17.100000000000001" customHeight="1">
      <c r="A16" s="58">
        <v>5</v>
      </c>
      <c r="B16" s="161" t="s">
        <v>217</v>
      </c>
      <c r="C16" s="162" t="s">
        <v>149</v>
      </c>
      <c r="D16" s="155">
        <v>0.4</v>
      </c>
      <c r="E16" s="155">
        <v>1</v>
      </c>
      <c r="F16" s="153"/>
      <c r="G16" s="153"/>
      <c r="H16" s="153"/>
    </row>
    <row r="17" spans="1:9" ht="17.100000000000001" customHeight="1">
      <c r="A17" s="58"/>
      <c r="B17" s="95"/>
      <c r="C17" s="95"/>
      <c r="D17" s="95"/>
      <c r="E17" s="95"/>
      <c r="F17" s="95"/>
      <c r="G17" s="95"/>
      <c r="H17" s="95"/>
    </row>
    <row r="18" spans="1:9" ht="17.100000000000001" customHeight="1">
      <c r="A18" s="163"/>
      <c r="B18" s="150" t="str">
        <f>B2</f>
        <v xml:space="preserve">    Grid No:  </v>
      </c>
      <c r="C18" s="151">
        <f>C9</f>
        <v>389</v>
      </c>
      <c r="D18" s="164"/>
      <c r="E18" s="164"/>
      <c r="F18" s="159" t="s">
        <v>42</v>
      </c>
      <c r="G18" s="159"/>
      <c r="H18" s="165"/>
    </row>
    <row r="19" spans="1:9" ht="17.55" customHeight="1">
      <c r="A19" s="244" t="s">
        <v>26</v>
      </c>
      <c r="B19" s="244" t="s">
        <v>27</v>
      </c>
      <c r="C19" s="244" t="s">
        <v>28</v>
      </c>
      <c r="D19" s="242" t="s">
        <v>29</v>
      </c>
      <c r="E19" s="244" t="s">
        <v>30</v>
      </c>
      <c r="F19" s="244" t="s">
        <v>31</v>
      </c>
      <c r="G19" s="244"/>
      <c r="H19" s="244" t="s">
        <v>32</v>
      </c>
    </row>
    <row r="20" spans="1:9" ht="48" customHeight="1">
      <c r="A20" s="244"/>
      <c r="B20" s="244"/>
      <c r="C20" s="244"/>
      <c r="D20" s="243"/>
      <c r="E20" s="244"/>
      <c r="F20" s="153" t="s">
        <v>33</v>
      </c>
      <c r="G20" s="153" t="s">
        <v>34</v>
      </c>
      <c r="H20" s="244"/>
    </row>
    <row r="21" spans="1:9" ht="17.100000000000001" customHeight="1">
      <c r="A21" s="58">
        <v>1</v>
      </c>
      <c r="B21" s="161" t="s">
        <v>214</v>
      </c>
      <c r="C21" s="162" t="s">
        <v>136</v>
      </c>
      <c r="D21" s="166">
        <v>1.1000000000000001</v>
      </c>
      <c r="E21" s="155">
        <v>1</v>
      </c>
      <c r="F21" s="153"/>
      <c r="G21" s="153"/>
      <c r="H21" s="153"/>
    </row>
    <row r="22" spans="1:9" ht="17.100000000000001" customHeight="1">
      <c r="A22" s="58">
        <v>2</v>
      </c>
      <c r="B22" s="161"/>
      <c r="C22" s="162" t="s">
        <v>158</v>
      </c>
      <c r="D22" s="166">
        <v>1.9</v>
      </c>
      <c r="E22" s="155">
        <v>2</v>
      </c>
      <c r="F22" s="153"/>
      <c r="G22" s="153"/>
      <c r="H22" s="153"/>
    </row>
    <row r="23" spans="1:9" ht="17.100000000000001" customHeight="1">
      <c r="A23" s="58">
        <v>3</v>
      </c>
      <c r="B23" s="161" t="s">
        <v>217</v>
      </c>
      <c r="C23" s="162" t="s">
        <v>149</v>
      </c>
      <c r="D23" s="166">
        <v>2</v>
      </c>
      <c r="E23" s="155">
        <v>2</v>
      </c>
      <c r="F23" s="153"/>
      <c r="G23" s="153"/>
      <c r="H23" s="153"/>
    </row>
    <row r="24" spans="1:9" ht="17.100000000000001" customHeight="1">
      <c r="A24" s="58">
        <v>4</v>
      </c>
      <c r="B24" s="161" t="s">
        <v>214</v>
      </c>
      <c r="C24" s="162" t="s">
        <v>154</v>
      </c>
      <c r="D24" s="166">
        <v>1</v>
      </c>
      <c r="E24" s="155">
        <v>1</v>
      </c>
      <c r="F24" s="153"/>
      <c r="G24" s="153"/>
      <c r="H24" s="153"/>
    </row>
    <row r="25" spans="1:9" s="11" customFormat="1" ht="16.5" customHeight="1">
      <c r="A25" s="167"/>
      <c r="B25" s="168" t="str">
        <f>B2</f>
        <v xml:space="preserve">    Grid No:  </v>
      </c>
      <c r="C25" s="151">
        <f>C18</f>
        <v>389</v>
      </c>
      <c r="D25" s="167"/>
      <c r="E25" s="167"/>
      <c r="F25" s="245" t="s">
        <v>43</v>
      </c>
      <c r="G25" s="245"/>
      <c r="H25" s="245"/>
      <c r="I25" s="57"/>
    </row>
    <row r="26" spans="1:9" ht="24" customHeight="1">
      <c r="A26" s="242" t="s">
        <v>26</v>
      </c>
      <c r="B26" s="242" t="s">
        <v>27</v>
      </c>
      <c r="C26" s="242" t="s">
        <v>28</v>
      </c>
      <c r="D26" s="242" t="s">
        <v>29</v>
      </c>
      <c r="E26" s="242" t="s">
        <v>30</v>
      </c>
      <c r="F26" s="246" t="s">
        <v>31</v>
      </c>
      <c r="G26" s="247"/>
      <c r="H26" s="242" t="s">
        <v>32</v>
      </c>
    </row>
    <row r="27" spans="1:9" ht="50.55" customHeight="1">
      <c r="A27" s="243"/>
      <c r="B27" s="243"/>
      <c r="C27" s="243"/>
      <c r="D27" s="243"/>
      <c r="E27" s="243"/>
      <c r="F27" s="153" t="s">
        <v>33</v>
      </c>
      <c r="G27" s="153" t="s">
        <v>34</v>
      </c>
      <c r="H27" s="243"/>
    </row>
    <row r="28" spans="1:9" s="11" customFormat="1" ht="16.05" customHeight="1">
      <c r="A28" s="58">
        <v>1</v>
      </c>
      <c r="B28" s="161" t="s">
        <v>214</v>
      </c>
      <c r="C28" s="162" t="s">
        <v>154</v>
      </c>
      <c r="D28" s="166">
        <v>0.3</v>
      </c>
      <c r="E28" s="155">
        <v>0.5</v>
      </c>
      <c r="F28" s="153"/>
      <c r="G28" s="153"/>
      <c r="H28" s="153"/>
    </row>
    <row r="29" spans="1:9" s="11" customFormat="1" ht="16.05" customHeight="1">
      <c r="A29" s="58">
        <v>2</v>
      </c>
      <c r="B29" s="161" t="s">
        <v>218</v>
      </c>
      <c r="C29" s="162" t="s">
        <v>155</v>
      </c>
      <c r="D29" s="166">
        <v>0.1</v>
      </c>
      <c r="E29" s="155">
        <v>0.3</v>
      </c>
      <c r="F29" s="153"/>
      <c r="G29" s="153"/>
      <c r="H29" s="153"/>
    </row>
    <row r="30" spans="1:9" s="11" customFormat="1" ht="16.05" customHeight="1">
      <c r="A30" s="58">
        <v>3</v>
      </c>
      <c r="B30" s="161" t="s">
        <v>217</v>
      </c>
      <c r="C30" s="162" t="s">
        <v>149</v>
      </c>
      <c r="D30" s="166">
        <v>4.4000000000000004</v>
      </c>
      <c r="E30" s="155">
        <v>3</v>
      </c>
      <c r="F30" s="153"/>
      <c r="G30" s="153"/>
      <c r="H30" s="153"/>
    </row>
    <row r="31" spans="1:9" ht="16.05" customHeight="1">
      <c r="A31" s="58">
        <v>4</v>
      </c>
      <c r="B31" s="161" t="s">
        <v>217</v>
      </c>
      <c r="C31" s="162" t="s">
        <v>149</v>
      </c>
      <c r="D31" s="166">
        <v>2.4</v>
      </c>
      <c r="E31" s="155">
        <v>2</v>
      </c>
      <c r="F31" s="153"/>
      <c r="G31" s="153"/>
      <c r="H31" s="153"/>
    </row>
    <row r="32" spans="1:9" ht="16.05" customHeight="1">
      <c r="A32" s="58">
        <v>5</v>
      </c>
      <c r="B32" s="161" t="s">
        <v>219</v>
      </c>
      <c r="C32" s="162" t="s">
        <v>156</v>
      </c>
      <c r="D32" s="166">
        <v>0.2</v>
      </c>
      <c r="E32" s="155">
        <v>0.3</v>
      </c>
      <c r="F32" s="153"/>
      <c r="G32" s="153"/>
      <c r="H32" s="153"/>
    </row>
    <row r="33" spans="1:8" ht="16.05" customHeight="1">
      <c r="A33" s="58">
        <v>6</v>
      </c>
      <c r="B33" s="161" t="s">
        <v>220</v>
      </c>
      <c r="C33" s="162" t="s">
        <v>157</v>
      </c>
      <c r="D33" s="166">
        <v>0.1</v>
      </c>
      <c r="E33" s="155">
        <v>0.2</v>
      </c>
      <c r="F33" s="153"/>
      <c r="G33" s="153"/>
      <c r="H33" s="153"/>
    </row>
    <row r="34" spans="1:8" ht="16.05" customHeight="1">
      <c r="A34" s="58">
        <v>7</v>
      </c>
      <c r="B34" s="161" t="s">
        <v>217</v>
      </c>
      <c r="C34" s="162" t="s">
        <v>149</v>
      </c>
      <c r="D34" s="166">
        <v>2.2999999999999998</v>
      </c>
      <c r="E34" s="155">
        <v>3</v>
      </c>
      <c r="F34" s="153"/>
      <c r="G34" s="153"/>
      <c r="H34" s="153"/>
    </row>
  </sheetData>
  <mergeCells count="31">
    <mergeCell ref="H19:H20"/>
    <mergeCell ref="F25:H25"/>
    <mergeCell ref="A26:A27"/>
    <mergeCell ref="B26:B27"/>
    <mergeCell ref="C26:C27"/>
    <mergeCell ref="D26:D27"/>
    <mergeCell ref="E26:E27"/>
    <mergeCell ref="F26:G26"/>
    <mergeCell ref="H26:H27"/>
    <mergeCell ref="A19:A20"/>
    <mergeCell ref="B19:B20"/>
    <mergeCell ref="C19:C20"/>
    <mergeCell ref="D19:D20"/>
    <mergeCell ref="E19:E20"/>
    <mergeCell ref="F19:G19"/>
    <mergeCell ref="H10:H11"/>
    <mergeCell ref="A10:A11"/>
    <mergeCell ref="B10:B11"/>
    <mergeCell ref="C10:C11"/>
    <mergeCell ref="D10:D11"/>
    <mergeCell ref="E10:E11"/>
    <mergeCell ref="F10:G10"/>
    <mergeCell ref="A1:H1"/>
    <mergeCell ref="F2:H2"/>
    <mergeCell ref="A3:A4"/>
    <mergeCell ref="B3:B4"/>
    <mergeCell ref="C3:C4"/>
    <mergeCell ref="D3:D4"/>
    <mergeCell ref="E3:E4"/>
    <mergeCell ref="F3:G3"/>
    <mergeCell ref="H3:H4"/>
  </mergeCells>
  <pageMargins left="0.35433070866141736" right="0.23622047244094491" top="0.35433070866141736" bottom="0.27559055118110237" header="0.31496062992125984" footer="0.31496062992125984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6"/>
  <sheetViews>
    <sheetView view="pageLayout" workbookViewId="0">
      <selection activeCell="C3" sqref="C3:C4"/>
    </sheetView>
  </sheetViews>
  <sheetFormatPr defaultColWidth="9.21875" defaultRowHeight="15.6"/>
  <cols>
    <col min="1" max="1" width="3.88671875" style="4" customWidth="1"/>
    <col min="2" max="2" width="21.88671875" style="4" customWidth="1"/>
    <col min="3" max="3" width="21.33203125" style="16" customWidth="1"/>
    <col min="4" max="4" width="9.21875" style="4"/>
    <col min="5" max="6" width="10.21875" style="4" customWidth="1"/>
    <col min="7" max="7" width="14.33203125" style="4" customWidth="1"/>
    <col min="8" max="16384" width="9.21875" style="4"/>
  </cols>
  <sheetData>
    <row r="1" spans="1:7" ht="17.100000000000001" customHeight="1">
      <c r="A1" s="177" t="s">
        <v>496</v>
      </c>
      <c r="B1" s="159"/>
      <c r="C1" s="159"/>
      <c r="D1" s="159"/>
      <c r="E1" s="159"/>
      <c r="F1" s="151">
        <f>'Form-1'!C9</f>
        <v>389</v>
      </c>
      <c r="G1" s="178"/>
    </row>
    <row r="2" spans="1:7" ht="15" customHeight="1">
      <c r="A2" s="163"/>
      <c r="B2" s="164"/>
      <c r="C2" s="169"/>
      <c r="D2" s="164"/>
      <c r="E2" s="240" t="s">
        <v>25</v>
      </c>
      <c r="F2" s="240"/>
      <c r="G2" s="241"/>
    </row>
    <row r="3" spans="1:7" ht="16.05" customHeight="1">
      <c r="A3" s="244" t="s">
        <v>26</v>
      </c>
      <c r="B3" s="244" t="s">
        <v>27</v>
      </c>
      <c r="C3" s="244" t="s">
        <v>28</v>
      </c>
      <c r="D3" s="244" t="s">
        <v>44</v>
      </c>
      <c r="E3" s="244" t="s">
        <v>31</v>
      </c>
      <c r="F3" s="244"/>
      <c r="G3" s="244" t="s">
        <v>45</v>
      </c>
    </row>
    <row r="4" spans="1:7" ht="59.1" customHeight="1">
      <c r="A4" s="244"/>
      <c r="B4" s="244"/>
      <c r="C4" s="244"/>
      <c r="D4" s="244"/>
      <c r="E4" s="153" t="s">
        <v>33</v>
      </c>
      <c r="F4" s="153" t="s">
        <v>124</v>
      </c>
      <c r="G4" s="244"/>
    </row>
    <row r="5" spans="1:7" ht="16.05" customHeight="1">
      <c r="A5" s="58">
        <v>1</v>
      </c>
      <c r="B5" s="154" t="s">
        <v>214</v>
      </c>
      <c r="C5" s="162" t="s">
        <v>136</v>
      </c>
      <c r="D5" s="58">
        <v>70</v>
      </c>
      <c r="E5" s="58"/>
      <c r="F5" s="58" t="s">
        <v>142</v>
      </c>
      <c r="G5" s="153"/>
    </row>
    <row r="6" spans="1:7" ht="16.05" customHeight="1">
      <c r="A6" s="58">
        <v>2</v>
      </c>
      <c r="B6" s="154" t="s">
        <v>355</v>
      </c>
      <c r="C6" s="162" t="s">
        <v>226</v>
      </c>
      <c r="D6" s="58">
        <v>30</v>
      </c>
      <c r="E6" s="58"/>
      <c r="F6" s="58" t="s">
        <v>143</v>
      </c>
      <c r="G6" s="153"/>
    </row>
    <row r="7" spans="1:7" s="11" customFormat="1" ht="16.05" customHeight="1">
      <c r="A7" s="58"/>
      <c r="B7" s="95"/>
      <c r="C7" s="95"/>
      <c r="D7" s="95"/>
      <c r="E7" s="95"/>
      <c r="F7" s="95"/>
      <c r="G7" s="95"/>
    </row>
    <row r="8" spans="1:7" ht="15" customHeight="1">
      <c r="A8" s="244" t="s">
        <v>35</v>
      </c>
      <c r="B8" s="244"/>
      <c r="C8" s="244"/>
      <c r="D8" s="244"/>
      <c r="E8" s="244"/>
      <c r="F8" s="244"/>
      <c r="G8" s="244"/>
    </row>
    <row r="9" spans="1:7" ht="20.55" customHeight="1">
      <c r="A9" s="58">
        <v>1</v>
      </c>
      <c r="B9" s="249" t="s">
        <v>36</v>
      </c>
      <c r="C9" s="250"/>
      <c r="D9" s="250"/>
      <c r="E9" s="250"/>
      <c r="F9" s="250"/>
      <c r="G9" s="95" t="s">
        <v>145</v>
      </c>
    </row>
    <row r="10" spans="1:7" ht="20.55" customHeight="1">
      <c r="A10" s="58">
        <v>2</v>
      </c>
      <c r="B10" s="249" t="s">
        <v>37</v>
      </c>
      <c r="C10" s="250"/>
      <c r="D10" s="250"/>
      <c r="E10" s="250"/>
      <c r="F10" s="250"/>
      <c r="G10" s="95" t="s">
        <v>146</v>
      </c>
    </row>
    <row r="11" spans="1:7" ht="20.55" customHeight="1">
      <c r="A11" s="58">
        <v>3</v>
      </c>
      <c r="B11" s="249" t="s">
        <v>38</v>
      </c>
      <c r="C11" s="250"/>
      <c r="D11" s="250"/>
      <c r="E11" s="250"/>
      <c r="F11" s="250"/>
      <c r="G11" s="95" t="s">
        <v>146</v>
      </c>
    </row>
    <row r="12" spans="1:7" ht="20.55" customHeight="1">
      <c r="A12" s="58">
        <v>4</v>
      </c>
      <c r="B12" s="249" t="s">
        <v>39</v>
      </c>
      <c r="C12" s="250"/>
      <c r="D12" s="250"/>
      <c r="E12" s="250"/>
      <c r="F12" s="250"/>
      <c r="G12" s="95" t="s">
        <v>144</v>
      </c>
    </row>
    <row r="13" spans="1:7" ht="20.55" customHeight="1">
      <c r="A13" s="58">
        <v>5</v>
      </c>
      <c r="B13" s="249" t="s">
        <v>40</v>
      </c>
      <c r="C13" s="250"/>
      <c r="D13" s="250"/>
      <c r="E13" s="250"/>
      <c r="F13" s="250"/>
      <c r="G13" s="95" t="s">
        <v>225</v>
      </c>
    </row>
    <row r="14" spans="1:7" s="11" customFormat="1" ht="16.05" customHeight="1">
      <c r="A14" s="149"/>
      <c r="B14" s="150" t="s">
        <v>46</v>
      </c>
      <c r="C14" s="151">
        <f>F1</f>
        <v>389</v>
      </c>
      <c r="D14" s="152"/>
      <c r="E14" s="240" t="s">
        <v>47</v>
      </c>
      <c r="F14" s="240"/>
      <c r="G14" s="241"/>
    </row>
    <row r="15" spans="1:7" ht="18.600000000000001" customHeight="1">
      <c r="A15" s="248" t="s">
        <v>26</v>
      </c>
      <c r="B15" s="248" t="s">
        <v>27</v>
      </c>
      <c r="C15" s="251" t="s">
        <v>28</v>
      </c>
      <c r="D15" s="248" t="s">
        <v>44</v>
      </c>
      <c r="E15" s="248" t="s">
        <v>31</v>
      </c>
      <c r="F15" s="248"/>
      <c r="G15" s="248" t="s">
        <v>45</v>
      </c>
    </row>
    <row r="16" spans="1:7" ht="53.1" customHeight="1">
      <c r="A16" s="248"/>
      <c r="B16" s="248"/>
      <c r="C16" s="252"/>
      <c r="D16" s="248"/>
      <c r="E16" s="170" t="s">
        <v>125</v>
      </c>
      <c r="F16" s="170" t="s">
        <v>34</v>
      </c>
      <c r="G16" s="248"/>
    </row>
    <row r="17" spans="1:7" s="11" customFormat="1" ht="16.05" customHeight="1">
      <c r="A17" s="171">
        <v>1</v>
      </c>
      <c r="B17" s="172" t="s">
        <v>217</v>
      </c>
      <c r="C17" s="173" t="s">
        <v>149</v>
      </c>
      <c r="D17" s="171">
        <v>30</v>
      </c>
      <c r="E17" s="174"/>
      <c r="F17" s="174" t="s">
        <v>142</v>
      </c>
      <c r="G17" s="174"/>
    </row>
    <row r="18" spans="1:7" s="11" customFormat="1" ht="16.05" customHeight="1">
      <c r="A18" s="171">
        <v>2</v>
      </c>
      <c r="B18" s="172" t="s">
        <v>227</v>
      </c>
      <c r="C18" s="173" t="s">
        <v>150</v>
      </c>
      <c r="D18" s="171">
        <v>10</v>
      </c>
      <c r="E18" s="174"/>
      <c r="F18" s="174"/>
      <c r="G18" s="174"/>
    </row>
    <row r="19" spans="1:7" s="11" customFormat="1" ht="16.05" customHeight="1">
      <c r="A19" s="171"/>
      <c r="B19" s="174"/>
      <c r="C19" s="173"/>
      <c r="D19" s="171"/>
      <c r="E19" s="174"/>
      <c r="F19" s="174"/>
      <c r="G19" s="174"/>
    </row>
    <row r="20" spans="1:7" ht="15" customHeight="1">
      <c r="A20" s="244" t="s">
        <v>35</v>
      </c>
      <c r="B20" s="244"/>
      <c r="C20" s="244"/>
      <c r="D20" s="244"/>
      <c r="E20" s="244"/>
      <c r="F20" s="244"/>
      <c r="G20" s="244"/>
    </row>
    <row r="21" spans="1:7" ht="18.600000000000001" customHeight="1">
      <c r="A21" s="58">
        <v>1</v>
      </c>
      <c r="B21" s="249" t="s">
        <v>36</v>
      </c>
      <c r="C21" s="250"/>
      <c r="D21" s="250"/>
      <c r="E21" s="250"/>
      <c r="F21" s="250"/>
      <c r="G21" s="95" t="s">
        <v>224</v>
      </c>
    </row>
    <row r="22" spans="1:7" ht="18.600000000000001" customHeight="1">
      <c r="A22" s="58">
        <v>2</v>
      </c>
      <c r="B22" s="249" t="s">
        <v>37</v>
      </c>
      <c r="C22" s="250"/>
      <c r="D22" s="250"/>
      <c r="E22" s="250"/>
      <c r="F22" s="250"/>
      <c r="G22" s="95" t="s">
        <v>223</v>
      </c>
    </row>
    <row r="23" spans="1:7" ht="18.600000000000001" customHeight="1">
      <c r="A23" s="58">
        <v>3</v>
      </c>
      <c r="B23" s="249" t="s">
        <v>38</v>
      </c>
      <c r="C23" s="250"/>
      <c r="D23" s="250"/>
      <c r="E23" s="250"/>
      <c r="F23" s="250"/>
      <c r="G23" s="95" t="s">
        <v>222</v>
      </c>
    </row>
    <row r="24" spans="1:7" ht="18.600000000000001" customHeight="1">
      <c r="A24" s="58">
        <v>4</v>
      </c>
      <c r="B24" s="249" t="s">
        <v>39</v>
      </c>
      <c r="C24" s="250"/>
      <c r="D24" s="250"/>
      <c r="E24" s="250"/>
      <c r="F24" s="250"/>
      <c r="G24" s="95" t="s">
        <v>221</v>
      </c>
    </row>
    <row r="25" spans="1:7" ht="18.600000000000001" customHeight="1">
      <c r="A25" s="58">
        <v>5</v>
      </c>
      <c r="B25" s="249" t="s">
        <v>40</v>
      </c>
      <c r="C25" s="250"/>
      <c r="D25" s="250"/>
      <c r="E25" s="250"/>
      <c r="F25" s="250"/>
      <c r="G25" s="95" t="s">
        <v>151</v>
      </c>
    </row>
    <row r="26" spans="1:7">
      <c r="A26" s="175"/>
      <c r="B26" s="175"/>
      <c r="C26" s="176"/>
      <c r="D26" s="175"/>
      <c r="E26" s="175"/>
      <c r="F26" s="175"/>
      <c r="G26" s="175"/>
    </row>
  </sheetData>
  <mergeCells count="26">
    <mergeCell ref="B22:F22"/>
    <mergeCell ref="B23:F23"/>
    <mergeCell ref="B24:F24"/>
    <mergeCell ref="B25:F25"/>
    <mergeCell ref="B10:F10"/>
    <mergeCell ref="B11:F11"/>
    <mergeCell ref="B12:F12"/>
    <mergeCell ref="B13:F13"/>
    <mergeCell ref="B21:F21"/>
    <mergeCell ref="A20:G20"/>
    <mergeCell ref="E14:G14"/>
    <mergeCell ref="A15:A16"/>
    <mergeCell ref="B15:B16"/>
    <mergeCell ref="C15:C16"/>
    <mergeCell ref="D15:D16"/>
    <mergeCell ref="E15:F15"/>
    <mergeCell ref="G15:G16"/>
    <mergeCell ref="A8:G8"/>
    <mergeCell ref="B9:F9"/>
    <mergeCell ref="E2:G2"/>
    <mergeCell ref="A3:A4"/>
    <mergeCell ref="B3:B4"/>
    <mergeCell ref="C3:C4"/>
    <mergeCell ref="D3:D4"/>
    <mergeCell ref="E3:F3"/>
    <mergeCell ref="G3:G4"/>
  </mergeCells>
  <pageMargins left="0.7" right="0.38" top="0.44" bottom="0.45" header="0.3" footer="0.3"/>
  <pageSetup paperSize="9" orientation="portrait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P22"/>
  <sheetViews>
    <sheetView view="pageLayout" zoomScaleNormal="85" workbookViewId="0">
      <selection activeCell="B7" sqref="B7"/>
    </sheetView>
  </sheetViews>
  <sheetFormatPr defaultColWidth="9.21875" defaultRowHeight="15.6"/>
  <cols>
    <col min="1" max="1" width="8.21875" style="1" customWidth="1"/>
    <col min="2" max="2" width="17.44140625" style="1" customWidth="1"/>
    <col min="3" max="3" width="11.5546875" style="1" customWidth="1"/>
    <col min="4" max="4" width="7.5546875" style="1" customWidth="1"/>
    <col min="5" max="5" width="9.44140625" style="1" customWidth="1"/>
    <col min="6" max="6" width="13.77734375" style="1" customWidth="1"/>
    <col min="7" max="7" width="13.21875" style="1" customWidth="1"/>
    <col min="8" max="8" width="1.44140625" style="1" customWidth="1"/>
    <col min="9" max="9" width="9.44140625" style="1" customWidth="1"/>
    <col min="10" max="10" width="9.21875" style="1"/>
    <col min="11" max="11" width="11.5546875" style="1" customWidth="1"/>
    <col min="12" max="16384" width="9.21875" style="1"/>
  </cols>
  <sheetData>
    <row r="1" spans="1:12" ht="24.75" customHeight="1">
      <c r="A1" s="255" t="s">
        <v>48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</row>
    <row r="2" spans="1:1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 ht="19.5" customHeight="1">
      <c r="A3" s="255" t="s">
        <v>49</v>
      </c>
      <c r="B3" s="255"/>
      <c r="C3" s="255"/>
      <c r="D3" s="255"/>
      <c r="E3" s="255"/>
      <c r="F3" s="255"/>
      <c r="G3" s="255"/>
      <c r="H3" s="255"/>
      <c r="I3" s="255"/>
      <c r="J3" s="255"/>
      <c r="K3" s="255"/>
      <c r="L3" s="255"/>
    </row>
    <row r="5" spans="1:12" ht="46.5" customHeight="1">
      <c r="A5" s="2" t="s">
        <v>22</v>
      </c>
      <c r="B5" s="3" t="s">
        <v>50</v>
      </c>
      <c r="C5" s="3" t="s">
        <v>51</v>
      </c>
      <c r="D5" s="3" t="s">
        <v>52</v>
      </c>
      <c r="E5" s="2" t="s">
        <v>53</v>
      </c>
      <c r="F5" s="2" t="s">
        <v>54</v>
      </c>
      <c r="G5" s="3" t="s">
        <v>55</v>
      </c>
      <c r="H5" s="62"/>
      <c r="I5" s="257" t="s">
        <v>56</v>
      </c>
      <c r="J5" s="258"/>
      <c r="K5" s="259"/>
    </row>
    <row r="6" spans="1:12" ht="17.55" customHeight="1">
      <c r="A6" s="56" t="s">
        <v>14</v>
      </c>
      <c r="B6" s="56" t="s">
        <v>15</v>
      </c>
      <c r="C6" s="56" t="s">
        <v>16</v>
      </c>
      <c r="D6" s="56" t="s">
        <v>17</v>
      </c>
      <c r="E6" s="56" t="s">
        <v>57</v>
      </c>
      <c r="F6" s="56" t="s">
        <v>58</v>
      </c>
      <c r="G6" s="56" t="s">
        <v>59</v>
      </c>
      <c r="H6" s="63"/>
      <c r="I6" s="59"/>
      <c r="J6" s="60"/>
      <c r="K6" s="61"/>
    </row>
    <row r="7" spans="1:12" ht="30" customHeight="1">
      <c r="A7" s="7"/>
      <c r="B7" s="7"/>
      <c r="C7" s="7"/>
      <c r="D7" s="7">
        <v>644</v>
      </c>
      <c r="E7" s="7"/>
      <c r="F7" s="7"/>
      <c r="G7" s="7"/>
      <c r="H7" s="55"/>
      <c r="I7" s="260" t="s">
        <v>60</v>
      </c>
      <c r="J7" s="261"/>
      <c r="K7" s="262"/>
    </row>
    <row r="9" spans="1:12" ht="20.55" customHeight="1">
      <c r="A9" s="198" t="s">
        <v>118</v>
      </c>
      <c r="B9" s="256" t="s">
        <v>61</v>
      </c>
      <c r="C9" s="256"/>
      <c r="D9" s="256"/>
      <c r="E9" s="256"/>
      <c r="F9" s="256" t="s">
        <v>62</v>
      </c>
      <c r="G9" s="256"/>
      <c r="H9" s="256"/>
      <c r="I9" s="256"/>
    </row>
    <row r="10" spans="1:12" s="13" customFormat="1" ht="49.05" customHeight="1">
      <c r="A10" s="198"/>
      <c r="B10" s="18" t="s">
        <v>63</v>
      </c>
      <c r="C10" s="18" t="s">
        <v>122</v>
      </c>
      <c r="D10" s="18" t="s">
        <v>121</v>
      </c>
      <c r="E10" s="18" t="s">
        <v>120</v>
      </c>
      <c r="F10" s="18" t="s">
        <v>63</v>
      </c>
      <c r="G10" s="18" t="s">
        <v>119</v>
      </c>
      <c r="H10" s="53"/>
      <c r="I10" s="18" t="s">
        <v>74</v>
      </c>
    </row>
    <row r="11" spans="1:12" ht="16.5" customHeight="1">
      <c r="A11" s="52" t="s">
        <v>18</v>
      </c>
      <c r="B11" s="52" t="s">
        <v>64</v>
      </c>
      <c r="C11" s="52" t="s">
        <v>23</v>
      </c>
      <c r="D11" s="52" t="s">
        <v>19</v>
      </c>
      <c r="E11" s="52" t="s">
        <v>65</v>
      </c>
      <c r="F11" s="52" t="s">
        <v>66</v>
      </c>
      <c r="G11" s="52" t="s">
        <v>67</v>
      </c>
      <c r="H11" s="52"/>
      <c r="I11" s="52" t="s">
        <v>68</v>
      </c>
    </row>
    <row r="12" spans="1:12" ht="24.75" customHeight="1">
      <c r="A12" s="7"/>
      <c r="B12" s="7"/>
      <c r="C12" s="7"/>
      <c r="D12" s="7"/>
      <c r="E12" s="7"/>
      <c r="F12" s="7" t="s">
        <v>147</v>
      </c>
      <c r="G12" s="7">
        <v>46</v>
      </c>
      <c r="H12" s="54"/>
      <c r="I12" s="7">
        <v>500</v>
      </c>
    </row>
    <row r="13" spans="1:12" ht="24.75" customHeight="1">
      <c r="A13" s="7"/>
      <c r="B13" s="7"/>
      <c r="C13" s="7"/>
      <c r="D13" s="7"/>
      <c r="E13" s="7"/>
      <c r="F13" s="7" t="s">
        <v>147</v>
      </c>
      <c r="G13" s="7">
        <v>56</v>
      </c>
      <c r="H13" s="54"/>
      <c r="I13" s="7">
        <v>500</v>
      </c>
    </row>
    <row r="14" spans="1:12" ht="24.75" customHeight="1">
      <c r="A14" s="7"/>
      <c r="B14" s="7"/>
      <c r="C14" s="7"/>
      <c r="D14" s="7"/>
      <c r="E14" s="7"/>
      <c r="F14" s="7"/>
      <c r="G14" s="7"/>
      <c r="H14" s="54"/>
      <c r="I14" s="7"/>
    </row>
    <row r="15" spans="1:12" ht="24.75" customHeight="1">
      <c r="A15" s="7"/>
      <c r="B15" s="7"/>
      <c r="C15" s="7"/>
      <c r="D15" s="7"/>
      <c r="E15" s="7"/>
      <c r="F15" s="7"/>
      <c r="G15" s="7"/>
      <c r="H15" s="54"/>
      <c r="I15" s="7"/>
    </row>
    <row r="18" spans="1:16">
      <c r="A18" s="14" t="s">
        <v>20</v>
      </c>
      <c r="B18" s="6"/>
      <c r="C18" s="6"/>
      <c r="D18" s="6"/>
      <c r="E18" s="6"/>
      <c r="F18" s="6"/>
      <c r="G18" s="254" t="s">
        <v>69</v>
      </c>
      <c r="H18" s="254"/>
      <c r="I18" s="254"/>
      <c r="J18" s="254"/>
      <c r="K18" s="254"/>
      <c r="L18" s="10"/>
      <c r="M18" s="10"/>
      <c r="N18" s="10"/>
      <c r="O18" s="6"/>
      <c r="P18" s="6"/>
    </row>
    <row r="19" spans="1:16">
      <c r="A19" s="14" t="s">
        <v>70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ht="15.75" customHeight="1">
      <c r="A21" s="15" t="s">
        <v>21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33" customHeight="1">
      <c r="A22" s="9" t="s">
        <v>71</v>
      </c>
      <c r="B22" s="253" t="s">
        <v>72</v>
      </c>
      <c r="C22" s="253"/>
      <c r="D22" s="253"/>
      <c r="E22" s="253"/>
      <c r="F22" s="253"/>
      <c r="G22" s="253"/>
      <c r="H22" s="253"/>
      <c r="I22" s="253"/>
      <c r="J22" s="253"/>
      <c r="K22" s="253"/>
      <c r="L22" s="66"/>
      <c r="M22" s="5"/>
      <c r="N22" s="5"/>
      <c r="O22" s="5"/>
      <c r="P22" s="5"/>
    </row>
  </sheetData>
  <mergeCells count="9">
    <mergeCell ref="B22:K22"/>
    <mergeCell ref="G18:K18"/>
    <mergeCell ref="A1:L1"/>
    <mergeCell ref="A3:L3"/>
    <mergeCell ref="A9:A10"/>
    <mergeCell ref="B9:E9"/>
    <mergeCell ref="F9:I9"/>
    <mergeCell ref="I5:K5"/>
    <mergeCell ref="I7:K7"/>
  </mergeCells>
  <printOptions horizontalCentered="1"/>
  <pageMargins left="0.31496062992125984" right="0.31496062992125984" top="0.35433070866141736" bottom="0.35433070866141736" header="0.31496062992125984" footer="0.31496062992125984"/>
  <pageSetup paperSize="9" scale="8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5"/>
  <sheetViews>
    <sheetView view="pageLayout" workbookViewId="0">
      <selection activeCell="E8" sqref="E8"/>
    </sheetView>
  </sheetViews>
  <sheetFormatPr defaultRowHeight="25.5" customHeight="1"/>
  <cols>
    <col min="1" max="1" width="3.44140625" customWidth="1"/>
    <col min="2" max="2" width="18.44140625" customWidth="1"/>
    <col min="3" max="3" width="14.88671875" customWidth="1"/>
    <col min="4" max="4" width="13.21875" customWidth="1"/>
    <col min="5" max="5" width="14.6640625" customWidth="1"/>
    <col min="6" max="6" width="11.77734375" customWidth="1"/>
    <col min="7" max="7" width="12.33203125" customWidth="1"/>
    <col min="8" max="8" width="9.88671875" customWidth="1"/>
  </cols>
  <sheetData>
    <row r="1" spans="1:8" ht="18" customHeight="1">
      <c r="A1" s="263" t="s">
        <v>75</v>
      </c>
      <c r="B1" s="263"/>
      <c r="C1" s="263"/>
      <c r="D1" s="263"/>
      <c r="E1" s="263"/>
      <c r="F1" s="263"/>
      <c r="G1" s="263"/>
      <c r="H1" s="263"/>
    </row>
    <row r="2" spans="1:8" ht="18" customHeight="1">
      <c r="A2" s="264" t="s">
        <v>129</v>
      </c>
      <c r="B2" s="265"/>
      <c r="C2" s="265"/>
      <c r="D2" s="265"/>
      <c r="E2" s="265"/>
      <c r="F2" s="265"/>
      <c r="G2" s="265"/>
      <c r="H2" s="266"/>
    </row>
    <row r="3" spans="1:8" ht="44.1" customHeight="1">
      <c r="A3" s="64" t="s">
        <v>126</v>
      </c>
      <c r="B3" s="56" t="s">
        <v>76</v>
      </c>
      <c r="C3" s="56" t="s">
        <v>77</v>
      </c>
      <c r="D3" s="56" t="s">
        <v>78</v>
      </c>
      <c r="E3" s="56" t="s">
        <v>79</v>
      </c>
      <c r="F3" s="56" t="s">
        <v>80</v>
      </c>
      <c r="G3" s="56" t="s">
        <v>81</v>
      </c>
      <c r="H3" s="64" t="s">
        <v>134</v>
      </c>
    </row>
    <row r="4" spans="1:8" ht="25.5" customHeight="1">
      <c r="A4" s="8">
        <v>1</v>
      </c>
      <c r="B4" s="8"/>
      <c r="C4" s="8"/>
      <c r="D4" s="8"/>
      <c r="E4" s="8"/>
      <c r="F4" s="8"/>
      <c r="G4" s="8"/>
      <c r="H4" s="8"/>
    </row>
    <row r="5" spans="1:8" ht="25.5" customHeight="1">
      <c r="A5" s="8">
        <v>2</v>
      </c>
      <c r="B5" s="8"/>
      <c r="C5" s="8"/>
      <c r="D5" s="8"/>
      <c r="E5" s="8"/>
      <c r="F5" s="8"/>
      <c r="G5" s="8"/>
      <c r="H5" s="8"/>
    </row>
    <row r="6" spans="1:8" ht="25.5" customHeight="1">
      <c r="A6" s="8">
        <v>3</v>
      </c>
      <c r="B6" s="8"/>
      <c r="C6" s="8"/>
      <c r="D6" s="8"/>
      <c r="E6" s="8"/>
      <c r="F6" s="8"/>
      <c r="G6" s="8"/>
      <c r="H6" s="8"/>
    </row>
    <row r="7" spans="1:8" ht="25.5" customHeight="1">
      <c r="A7" s="8">
        <v>4</v>
      </c>
      <c r="B7" s="8"/>
      <c r="C7" s="8"/>
      <c r="D7" s="8"/>
      <c r="E7" s="8"/>
      <c r="F7" s="8"/>
      <c r="G7" s="8"/>
      <c r="H7" s="8"/>
    </row>
    <row r="8" spans="1:8" ht="25.5" customHeight="1">
      <c r="A8" s="8">
        <v>5</v>
      </c>
      <c r="B8" s="8"/>
      <c r="C8" s="8"/>
      <c r="D8" s="8"/>
      <c r="E8" s="8"/>
      <c r="F8" s="8"/>
      <c r="G8" s="8"/>
      <c r="H8" s="8"/>
    </row>
    <row r="9" spans="1:8" ht="25.5" customHeight="1">
      <c r="A9" s="54">
        <v>6</v>
      </c>
      <c r="B9" s="54"/>
      <c r="C9" s="54"/>
      <c r="D9" s="54"/>
      <c r="E9" s="54"/>
      <c r="F9" s="54"/>
      <c r="G9" s="54"/>
      <c r="H9" s="54"/>
    </row>
    <row r="10" spans="1:8" ht="25.5" customHeight="1">
      <c r="A10" s="54">
        <v>7</v>
      </c>
      <c r="B10" s="54"/>
      <c r="C10" s="54"/>
      <c r="D10" s="54"/>
      <c r="E10" s="54"/>
      <c r="F10" s="54"/>
      <c r="G10" s="54"/>
      <c r="H10" s="54"/>
    </row>
    <row r="11" spans="1:8" ht="25.5" customHeight="1">
      <c r="A11" s="54">
        <v>8</v>
      </c>
      <c r="B11" s="54"/>
      <c r="C11" s="54"/>
      <c r="D11" s="54"/>
      <c r="E11" s="54"/>
      <c r="F11" s="54"/>
      <c r="G11" s="54"/>
      <c r="H11" s="54"/>
    </row>
    <row r="12" spans="1:8" ht="25.5" customHeight="1">
      <c r="A12" s="54">
        <v>9</v>
      </c>
      <c r="B12" s="54"/>
      <c r="C12" s="54"/>
      <c r="D12" s="54"/>
      <c r="E12" s="54"/>
      <c r="F12" s="54"/>
      <c r="G12" s="54"/>
      <c r="H12" s="54"/>
    </row>
    <row r="13" spans="1:8" ht="25.5" customHeight="1">
      <c r="A13" s="54">
        <v>10</v>
      </c>
      <c r="B13" s="54"/>
      <c r="C13" s="54"/>
      <c r="D13" s="54"/>
      <c r="E13" s="54"/>
      <c r="F13" s="54"/>
      <c r="G13" s="54"/>
      <c r="H13" s="54"/>
    </row>
    <row r="14" spans="1:8" ht="25.5" customHeight="1">
      <c r="A14" s="54">
        <v>11</v>
      </c>
      <c r="B14" s="54"/>
      <c r="C14" s="54"/>
      <c r="D14" s="54"/>
      <c r="E14" s="54"/>
      <c r="F14" s="54"/>
      <c r="G14" s="54"/>
      <c r="H14" s="54"/>
    </row>
    <row r="15" spans="1:8" ht="25.5" customHeight="1">
      <c r="A15" s="54">
        <v>12</v>
      </c>
      <c r="B15" s="54"/>
      <c r="C15" s="54"/>
      <c r="D15" s="54"/>
      <c r="E15" s="54"/>
      <c r="F15" s="54"/>
      <c r="G15" s="54"/>
      <c r="H15" s="54"/>
    </row>
    <row r="16" spans="1:8" ht="25.5" customHeight="1">
      <c r="A16" s="54">
        <v>13</v>
      </c>
      <c r="B16" s="54"/>
      <c r="C16" s="54"/>
      <c r="D16" s="54"/>
      <c r="E16" s="54"/>
      <c r="F16" s="54"/>
      <c r="G16" s="54"/>
      <c r="H16" s="54"/>
    </row>
    <row r="17" spans="1:8" ht="25.5" customHeight="1">
      <c r="A17" s="54">
        <v>14</v>
      </c>
      <c r="B17" s="54"/>
      <c r="C17" s="54"/>
      <c r="D17" s="54"/>
      <c r="E17" s="54"/>
      <c r="F17" s="54"/>
      <c r="G17" s="54"/>
      <c r="H17" s="54"/>
    </row>
    <row r="18" spans="1:8" ht="25.5" customHeight="1">
      <c r="A18" s="54">
        <v>15</v>
      </c>
      <c r="B18" s="54"/>
      <c r="C18" s="54"/>
      <c r="D18" s="54"/>
      <c r="E18" s="54"/>
      <c r="F18" s="54"/>
      <c r="G18" s="54"/>
      <c r="H18" s="54"/>
    </row>
    <row r="19" spans="1:8" ht="25.5" customHeight="1">
      <c r="A19" s="54">
        <v>16</v>
      </c>
      <c r="B19" s="54"/>
      <c r="C19" s="54"/>
      <c r="D19" s="54"/>
      <c r="E19" s="54"/>
      <c r="F19" s="54"/>
      <c r="G19" s="54"/>
      <c r="H19" s="54"/>
    </row>
    <row r="20" spans="1:8" ht="25.5" customHeight="1">
      <c r="A20" s="54">
        <v>17</v>
      </c>
      <c r="B20" s="54"/>
      <c r="C20" s="54"/>
      <c r="D20" s="54"/>
      <c r="E20" s="54"/>
      <c r="F20" s="54"/>
      <c r="G20" s="54"/>
      <c r="H20" s="54"/>
    </row>
    <row r="21" spans="1:8" ht="25.5" customHeight="1">
      <c r="A21" s="54">
        <v>18</v>
      </c>
      <c r="B21" s="54"/>
      <c r="C21" s="54"/>
      <c r="D21" s="54"/>
      <c r="E21" s="54"/>
      <c r="F21" s="54"/>
      <c r="G21" s="54"/>
      <c r="H21" s="54"/>
    </row>
    <row r="22" spans="1:8" ht="25.5" customHeight="1">
      <c r="A22" s="54">
        <v>19</v>
      </c>
      <c r="B22" s="54"/>
      <c r="C22" s="54"/>
      <c r="D22" s="54"/>
      <c r="E22" s="54"/>
      <c r="F22" s="54"/>
      <c r="G22" s="54"/>
      <c r="H22" s="54"/>
    </row>
    <row r="23" spans="1:8" ht="25.5" customHeight="1">
      <c r="A23" s="54">
        <v>20</v>
      </c>
      <c r="B23" s="54"/>
      <c r="C23" s="54"/>
      <c r="D23" s="54"/>
      <c r="E23" s="54"/>
      <c r="F23" s="54"/>
      <c r="G23" s="54"/>
      <c r="H23" s="54"/>
    </row>
    <row r="24" spans="1:8" ht="25.5" customHeight="1">
      <c r="A24" s="54">
        <v>21</v>
      </c>
      <c r="B24" s="54"/>
      <c r="C24" s="54"/>
      <c r="D24" s="54"/>
      <c r="E24" s="54"/>
      <c r="F24" s="54"/>
      <c r="G24" s="54"/>
      <c r="H24" s="54"/>
    </row>
    <row r="25" spans="1:8" ht="25.5" customHeight="1">
      <c r="A25" s="54">
        <v>22</v>
      </c>
      <c r="B25" s="54"/>
      <c r="C25" s="54"/>
      <c r="D25" s="54"/>
      <c r="E25" s="54"/>
      <c r="F25" s="54"/>
      <c r="G25" s="54"/>
      <c r="H25" s="54"/>
    </row>
  </sheetData>
  <mergeCells count="2">
    <mergeCell ref="A1:H1"/>
    <mergeCell ref="A2:H2"/>
  </mergeCells>
  <pageMargins left="0.39370078740157483" right="0.31496062992125984" top="0.35433070866141736" bottom="0.35433070866141736" header="0.31496062992125984" footer="0.31496062992125984"/>
  <pageSetup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6"/>
  <sheetViews>
    <sheetView showWhiteSpace="0" view="pageLayout" workbookViewId="0">
      <selection activeCell="C9" sqref="C9"/>
    </sheetView>
  </sheetViews>
  <sheetFormatPr defaultRowHeight="25.5" customHeight="1"/>
  <cols>
    <col min="1" max="1" width="4.21875" customWidth="1"/>
    <col min="2" max="2" width="22.109375" customWidth="1"/>
    <col min="3" max="3" width="25.77734375" customWidth="1"/>
    <col min="4" max="4" width="20.77734375" customWidth="1"/>
    <col min="5" max="5" width="24.44140625" customWidth="1"/>
  </cols>
  <sheetData>
    <row r="1" spans="1:5" ht="18" customHeight="1">
      <c r="A1" s="267" t="s">
        <v>127</v>
      </c>
      <c r="B1" s="268"/>
      <c r="C1" s="268"/>
      <c r="D1" s="268"/>
      <c r="E1" s="268"/>
    </row>
    <row r="2" spans="1:5" ht="18" customHeight="1">
      <c r="A2" s="269" t="s">
        <v>128</v>
      </c>
      <c r="B2" s="270"/>
      <c r="C2" s="270"/>
      <c r="D2" s="270"/>
      <c r="E2" s="270"/>
    </row>
    <row r="3" spans="1:5" ht="29.1" customHeight="1">
      <c r="A3" s="67" t="s">
        <v>130</v>
      </c>
      <c r="B3" s="67" t="s">
        <v>131</v>
      </c>
      <c r="C3" s="68" t="s">
        <v>132</v>
      </c>
      <c r="D3" s="68" t="s">
        <v>133</v>
      </c>
      <c r="E3" s="68"/>
    </row>
    <row r="4" spans="1:5" ht="25.5" customHeight="1">
      <c r="A4" s="54">
        <v>1</v>
      </c>
      <c r="B4" s="54"/>
      <c r="C4" s="54"/>
      <c r="D4" s="54"/>
      <c r="E4" s="54"/>
    </row>
    <row r="5" spans="1:5" ht="25.5" customHeight="1">
      <c r="A5" s="54">
        <v>2</v>
      </c>
      <c r="B5" s="54"/>
      <c r="C5" s="54"/>
      <c r="D5" s="54"/>
      <c r="E5" s="54"/>
    </row>
    <row r="6" spans="1:5" ht="25.5" customHeight="1">
      <c r="A6" s="54">
        <v>3</v>
      </c>
      <c r="B6" s="54"/>
      <c r="C6" s="54"/>
      <c r="D6" s="54"/>
      <c r="E6" s="54"/>
    </row>
    <row r="7" spans="1:5" ht="25.5" customHeight="1">
      <c r="A7" s="54">
        <v>4</v>
      </c>
      <c r="B7" s="54"/>
      <c r="C7" s="54"/>
      <c r="D7" s="54"/>
      <c r="E7" s="54"/>
    </row>
    <row r="8" spans="1:5" ht="25.5" customHeight="1">
      <c r="A8" s="54">
        <v>5</v>
      </c>
      <c r="B8" s="54"/>
      <c r="C8" s="54"/>
      <c r="D8" s="54"/>
      <c r="E8" s="54"/>
    </row>
    <row r="9" spans="1:5" ht="25.5" customHeight="1">
      <c r="A9" s="54">
        <v>6</v>
      </c>
      <c r="B9" s="54"/>
      <c r="C9" s="54"/>
      <c r="D9" s="54"/>
      <c r="E9" s="54"/>
    </row>
    <row r="10" spans="1:5" ht="25.5" customHeight="1">
      <c r="A10" s="54">
        <v>7</v>
      </c>
      <c r="B10" s="54"/>
      <c r="C10" s="54"/>
      <c r="D10" s="54"/>
      <c r="E10" s="54"/>
    </row>
    <row r="11" spans="1:5" ht="25.5" customHeight="1">
      <c r="A11" s="54">
        <v>8</v>
      </c>
      <c r="B11" s="54"/>
      <c r="C11" s="54"/>
      <c r="D11" s="54"/>
      <c r="E11" s="54"/>
    </row>
    <row r="12" spans="1:5" ht="25.5" customHeight="1">
      <c r="A12" s="54">
        <v>9</v>
      </c>
      <c r="B12" s="54"/>
      <c r="C12" s="54"/>
      <c r="D12" s="54"/>
      <c r="E12" s="54"/>
    </row>
    <row r="13" spans="1:5" ht="25.5" customHeight="1">
      <c r="A13" s="54">
        <v>10</v>
      </c>
      <c r="B13" s="54"/>
      <c r="C13" s="54"/>
      <c r="D13" s="54"/>
      <c r="E13" s="54"/>
    </row>
    <row r="14" spans="1:5" ht="25.5" customHeight="1">
      <c r="A14" s="54">
        <v>11</v>
      </c>
      <c r="B14" s="54"/>
      <c r="C14" s="54"/>
      <c r="D14" s="54"/>
      <c r="E14" s="54"/>
    </row>
    <row r="15" spans="1:5" ht="25.5" customHeight="1">
      <c r="A15" s="54">
        <v>12</v>
      </c>
      <c r="B15" s="54"/>
      <c r="C15" s="54"/>
      <c r="D15" s="54"/>
      <c r="E15" s="54"/>
    </row>
    <row r="16" spans="1:5" ht="25.5" customHeight="1">
      <c r="A16" s="54">
        <v>13</v>
      </c>
      <c r="B16" s="54"/>
      <c r="C16" s="54"/>
      <c r="D16" s="54"/>
      <c r="E16" s="54"/>
    </row>
    <row r="17" spans="1:5" ht="25.5" customHeight="1">
      <c r="A17" s="54">
        <v>14</v>
      </c>
      <c r="B17" s="54"/>
      <c r="C17" s="54"/>
      <c r="D17" s="54"/>
      <c r="E17" s="54"/>
    </row>
    <row r="18" spans="1:5" ht="25.5" customHeight="1">
      <c r="A18" s="54">
        <v>15</v>
      </c>
      <c r="B18" s="54"/>
      <c r="C18" s="54"/>
      <c r="D18" s="54"/>
      <c r="E18" s="54"/>
    </row>
    <row r="19" spans="1:5" ht="25.5" customHeight="1">
      <c r="A19" s="54">
        <v>16</v>
      </c>
      <c r="B19" s="54"/>
      <c r="C19" s="54"/>
      <c r="D19" s="54"/>
      <c r="E19" s="54"/>
    </row>
    <row r="20" spans="1:5" ht="25.5" customHeight="1">
      <c r="A20" s="54">
        <v>17</v>
      </c>
      <c r="B20" s="54"/>
      <c r="C20" s="54"/>
      <c r="D20" s="54"/>
      <c r="E20" s="54"/>
    </row>
    <row r="21" spans="1:5" ht="25.5" customHeight="1">
      <c r="A21" s="54">
        <v>18</v>
      </c>
      <c r="B21" s="54"/>
      <c r="C21" s="54"/>
      <c r="D21" s="54"/>
      <c r="E21" s="54"/>
    </row>
    <row r="22" spans="1:5" ht="25.5" customHeight="1">
      <c r="A22" s="54">
        <v>19</v>
      </c>
      <c r="B22" s="54"/>
      <c r="C22" s="54"/>
      <c r="D22" s="54"/>
      <c r="E22" s="54"/>
    </row>
    <row r="23" spans="1:5" ht="25.5" customHeight="1">
      <c r="A23" s="54">
        <v>20</v>
      </c>
      <c r="B23" s="54"/>
      <c r="C23" s="54"/>
      <c r="D23" s="54"/>
      <c r="E23" s="54"/>
    </row>
    <row r="24" spans="1:5" ht="25.5" customHeight="1">
      <c r="A24" s="54">
        <v>21</v>
      </c>
      <c r="B24" s="54"/>
      <c r="C24" s="54"/>
      <c r="D24" s="54"/>
      <c r="E24" s="54"/>
    </row>
    <row r="25" spans="1:5" ht="25.5" customHeight="1">
      <c r="A25" s="54">
        <v>22</v>
      </c>
      <c r="B25" s="54"/>
      <c r="C25" s="54"/>
      <c r="D25" s="54"/>
      <c r="E25" s="54"/>
    </row>
    <row r="26" spans="1:5" ht="25.5" customHeight="1">
      <c r="A26" s="54">
        <v>23</v>
      </c>
      <c r="B26" s="54"/>
      <c r="C26" s="54"/>
      <c r="D26" s="54"/>
      <c r="E26" s="54"/>
    </row>
  </sheetData>
  <mergeCells count="2">
    <mergeCell ref="A1:E1"/>
    <mergeCell ref="A2:E2"/>
  </mergeCells>
  <pageMargins left="0.39370078740157483" right="0.31496062992125984" top="0.35433070866141736" bottom="0.35433070866141736" header="0.31496062992125984" footer="0.31496062992125984"/>
  <pageSetup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C1:G139"/>
  <sheetViews>
    <sheetView topLeftCell="A39" workbookViewId="0">
      <selection activeCell="D47" sqref="D47"/>
    </sheetView>
  </sheetViews>
  <sheetFormatPr defaultColWidth="9.21875" defaultRowHeight="18"/>
  <cols>
    <col min="1" max="1" width="3.77734375" style="97" customWidth="1"/>
    <col min="2" max="2" width="9.21875" style="97"/>
    <col min="3" max="3" width="5.77734375" style="116" customWidth="1"/>
    <col min="4" max="4" width="33" style="117" customWidth="1"/>
    <col min="5" max="5" width="47.77734375" style="117" customWidth="1"/>
    <col min="6" max="6" width="9.21875" style="97" customWidth="1"/>
    <col min="7" max="16384" width="9.21875" style="97"/>
  </cols>
  <sheetData>
    <row r="1" spans="3:5" ht="15.6">
      <c r="C1" s="96" t="s">
        <v>126</v>
      </c>
      <c r="D1" s="96" t="s">
        <v>228</v>
      </c>
      <c r="E1" s="96" t="s">
        <v>132</v>
      </c>
    </row>
    <row r="2" spans="3:5">
      <c r="C2" s="98"/>
      <c r="D2" s="271" t="s">
        <v>229</v>
      </c>
      <c r="E2" s="272"/>
    </row>
    <row r="3" spans="3:5">
      <c r="C3" s="98"/>
      <c r="D3" s="99" t="s">
        <v>230</v>
      </c>
      <c r="E3" s="100" t="s">
        <v>231</v>
      </c>
    </row>
    <row r="4" spans="3:5">
      <c r="C4" s="98"/>
      <c r="D4" s="99" t="s">
        <v>232</v>
      </c>
      <c r="E4" s="100" t="s">
        <v>233</v>
      </c>
    </row>
    <row r="5" spans="3:5">
      <c r="C5" s="98"/>
      <c r="D5" s="99" t="s">
        <v>234</v>
      </c>
      <c r="E5" s="100"/>
    </row>
    <row r="6" spans="3:5">
      <c r="C6" s="98"/>
      <c r="D6" s="99" t="s">
        <v>235</v>
      </c>
      <c r="E6" s="100" t="s">
        <v>236</v>
      </c>
    </row>
    <row r="7" spans="3:5">
      <c r="C7" s="98"/>
      <c r="D7" s="99" t="s">
        <v>237</v>
      </c>
      <c r="E7" s="100" t="s">
        <v>238</v>
      </c>
    </row>
    <row r="8" spans="3:5">
      <c r="C8" s="98"/>
      <c r="D8" s="99" t="s">
        <v>239</v>
      </c>
      <c r="E8" s="100" t="s">
        <v>240</v>
      </c>
    </row>
    <row r="9" spans="3:5">
      <c r="C9" s="98"/>
      <c r="D9" s="99" t="s">
        <v>241</v>
      </c>
      <c r="E9" s="100" t="s">
        <v>242</v>
      </c>
    </row>
    <row r="10" spans="3:5">
      <c r="C10" s="98"/>
      <c r="D10" s="271" t="s">
        <v>243</v>
      </c>
      <c r="E10" s="272"/>
    </row>
    <row r="11" spans="3:5">
      <c r="C11" s="98"/>
      <c r="D11" s="101" t="s">
        <v>244</v>
      </c>
      <c r="E11" s="100" t="s">
        <v>245</v>
      </c>
    </row>
    <row r="12" spans="3:5">
      <c r="C12" s="98"/>
      <c r="D12" s="101" t="s">
        <v>246</v>
      </c>
      <c r="E12" s="100"/>
    </row>
    <row r="13" spans="3:5">
      <c r="C13" s="98"/>
      <c r="D13" s="99" t="s">
        <v>247</v>
      </c>
      <c r="E13" s="100" t="s">
        <v>248</v>
      </c>
    </row>
    <row r="14" spans="3:5">
      <c r="C14" s="98"/>
      <c r="D14" s="99" t="s">
        <v>249</v>
      </c>
      <c r="E14" s="100" t="s">
        <v>250</v>
      </c>
    </row>
    <row r="15" spans="3:5">
      <c r="C15" s="98"/>
      <c r="D15" s="99" t="s">
        <v>251</v>
      </c>
      <c r="E15" s="102" t="s">
        <v>252</v>
      </c>
    </row>
    <row r="16" spans="3:5">
      <c r="C16" s="98"/>
      <c r="D16" s="99" t="s">
        <v>253</v>
      </c>
      <c r="E16" s="102"/>
    </row>
    <row r="17" spans="3:5">
      <c r="C17" s="98"/>
      <c r="D17" s="99" t="s">
        <v>254</v>
      </c>
      <c r="E17" s="100" t="s">
        <v>255</v>
      </c>
    </row>
    <row r="18" spans="3:5">
      <c r="C18" s="98"/>
      <c r="D18" s="271" t="s">
        <v>256</v>
      </c>
      <c r="E18" s="272"/>
    </row>
    <row r="19" spans="3:5">
      <c r="C19" s="98"/>
      <c r="D19" s="103" t="s">
        <v>257</v>
      </c>
      <c r="E19" s="100" t="s">
        <v>258</v>
      </c>
    </row>
    <row r="20" spans="3:5">
      <c r="C20" s="98"/>
      <c r="D20" s="99" t="s">
        <v>259</v>
      </c>
      <c r="E20" s="100"/>
    </row>
    <row r="21" spans="3:5">
      <c r="C21" s="98"/>
      <c r="D21" s="99" t="s">
        <v>260</v>
      </c>
      <c r="E21" s="100" t="s">
        <v>261</v>
      </c>
    </row>
    <row r="22" spans="3:5">
      <c r="C22" s="98"/>
      <c r="D22" s="99" t="s">
        <v>262</v>
      </c>
      <c r="E22" s="100" t="s">
        <v>263</v>
      </c>
    </row>
    <row r="23" spans="3:5">
      <c r="C23" s="98"/>
      <c r="D23" s="99" t="s">
        <v>264</v>
      </c>
      <c r="E23" s="100" t="s">
        <v>265</v>
      </c>
    </row>
    <row r="24" spans="3:5">
      <c r="C24" s="98"/>
      <c r="D24" s="271" t="s">
        <v>266</v>
      </c>
      <c r="E24" s="272"/>
    </row>
    <row r="25" spans="3:5">
      <c r="C25" s="98"/>
      <c r="D25" s="99" t="s">
        <v>267</v>
      </c>
      <c r="E25" s="100" t="s">
        <v>214</v>
      </c>
    </row>
    <row r="26" spans="3:5">
      <c r="C26" s="98"/>
      <c r="D26" s="104" t="s">
        <v>268</v>
      </c>
      <c r="E26" s="105" t="s">
        <v>269</v>
      </c>
    </row>
    <row r="27" spans="3:5">
      <c r="C27" s="98"/>
      <c r="D27" s="106" t="s">
        <v>270</v>
      </c>
      <c r="E27" s="100" t="s">
        <v>271</v>
      </c>
    </row>
    <row r="28" spans="3:5">
      <c r="C28" s="98"/>
      <c r="D28" s="271" t="s">
        <v>272</v>
      </c>
      <c r="E28" s="272"/>
    </row>
    <row r="29" spans="3:5">
      <c r="C29" s="98"/>
      <c r="D29" s="99" t="s">
        <v>273</v>
      </c>
      <c r="E29" s="100" t="s">
        <v>274</v>
      </c>
    </row>
    <row r="30" spans="3:5">
      <c r="C30" s="98"/>
      <c r="D30" s="271" t="s">
        <v>275</v>
      </c>
      <c r="E30" s="272"/>
    </row>
    <row r="31" spans="3:5">
      <c r="C31" s="98"/>
      <c r="D31" s="107" t="s">
        <v>276</v>
      </c>
      <c r="E31" s="100" t="s">
        <v>277</v>
      </c>
    </row>
    <row r="32" spans="3:5">
      <c r="C32" s="98"/>
      <c r="D32" s="107" t="s">
        <v>278</v>
      </c>
      <c r="E32" s="100" t="s">
        <v>279</v>
      </c>
    </row>
    <row r="33" spans="3:5">
      <c r="C33" s="108"/>
      <c r="D33" s="109" t="s">
        <v>280</v>
      </c>
      <c r="E33" s="100" t="s">
        <v>281</v>
      </c>
    </row>
    <row r="34" spans="3:5">
      <c r="C34" s="108"/>
      <c r="D34" s="99" t="s">
        <v>282</v>
      </c>
      <c r="E34" s="100" t="s">
        <v>283</v>
      </c>
    </row>
    <row r="35" spans="3:5">
      <c r="C35" s="108"/>
      <c r="D35" s="99" t="s">
        <v>284</v>
      </c>
      <c r="E35" s="100"/>
    </row>
    <row r="36" spans="3:5">
      <c r="C36" s="108"/>
      <c r="D36" s="99" t="s">
        <v>285</v>
      </c>
      <c r="E36" s="100" t="s">
        <v>286</v>
      </c>
    </row>
    <row r="37" spans="3:5">
      <c r="C37" s="108"/>
      <c r="D37" s="99" t="s">
        <v>287</v>
      </c>
      <c r="E37" s="100" t="s">
        <v>288</v>
      </c>
    </row>
    <row r="38" spans="3:5">
      <c r="C38" s="108"/>
      <c r="D38" s="109" t="s">
        <v>289</v>
      </c>
      <c r="E38" s="100" t="s">
        <v>290</v>
      </c>
    </row>
    <row r="39" spans="3:5">
      <c r="C39" s="108"/>
      <c r="D39" s="107"/>
      <c r="E39" s="100"/>
    </row>
    <row r="40" spans="3:5">
      <c r="C40" s="108"/>
      <c r="D40" s="271" t="s">
        <v>291</v>
      </c>
      <c r="E40" s="272"/>
    </row>
    <row r="41" spans="3:5">
      <c r="C41" s="108"/>
      <c r="D41" s="99" t="s">
        <v>292</v>
      </c>
      <c r="E41" s="100" t="s">
        <v>293</v>
      </c>
    </row>
    <row r="42" spans="3:5">
      <c r="C42" s="108"/>
      <c r="D42" s="99" t="s">
        <v>294</v>
      </c>
      <c r="E42" s="100" t="s">
        <v>295</v>
      </c>
    </row>
    <row r="43" spans="3:5">
      <c r="C43" s="108"/>
      <c r="D43" s="99" t="s">
        <v>296</v>
      </c>
      <c r="E43" s="100" t="s">
        <v>297</v>
      </c>
    </row>
    <row r="44" spans="3:5">
      <c r="C44" s="108"/>
      <c r="D44" s="99" t="s">
        <v>298</v>
      </c>
      <c r="E44" s="100" t="s">
        <v>299</v>
      </c>
    </row>
    <row r="45" spans="3:5">
      <c r="C45" s="108"/>
      <c r="D45" s="110" t="s">
        <v>300</v>
      </c>
      <c r="E45" s="100" t="s">
        <v>301</v>
      </c>
    </row>
    <row r="46" spans="3:5">
      <c r="C46" s="108"/>
      <c r="D46" s="109" t="s">
        <v>302</v>
      </c>
      <c r="E46" s="100" t="s">
        <v>303</v>
      </c>
    </row>
    <row r="47" spans="3:5">
      <c r="C47" s="108"/>
      <c r="D47" s="111" t="s">
        <v>304</v>
      </c>
      <c r="E47" s="100" t="s">
        <v>305</v>
      </c>
    </row>
    <row r="48" spans="3:5">
      <c r="C48" s="108"/>
      <c r="D48" s="101" t="s">
        <v>306</v>
      </c>
      <c r="E48" s="100" t="s">
        <v>216</v>
      </c>
    </row>
    <row r="49" spans="3:7">
      <c r="C49" s="108"/>
      <c r="D49" s="99" t="s">
        <v>307</v>
      </c>
      <c r="E49" s="100" t="s">
        <v>308</v>
      </c>
    </row>
    <row r="50" spans="3:7">
      <c r="C50" s="108"/>
      <c r="D50" s="99" t="s">
        <v>309</v>
      </c>
      <c r="E50" s="100" t="s">
        <v>310</v>
      </c>
    </row>
    <row r="51" spans="3:7">
      <c r="C51" s="108"/>
      <c r="D51" s="111" t="s">
        <v>311</v>
      </c>
      <c r="E51" s="100" t="s">
        <v>312</v>
      </c>
    </row>
    <row r="52" spans="3:7">
      <c r="C52" s="108"/>
      <c r="D52" s="111" t="s">
        <v>313</v>
      </c>
      <c r="E52" s="100" t="s">
        <v>314</v>
      </c>
    </row>
    <row r="53" spans="3:7">
      <c r="C53" s="108"/>
      <c r="D53" s="99" t="s">
        <v>315</v>
      </c>
      <c r="E53" s="100" t="s">
        <v>316</v>
      </c>
    </row>
    <row r="54" spans="3:7">
      <c r="C54" s="108"/>
      <c r="D54" s="99" t="s">
        <v>317</v>
      </c>
      <c r="E54" s="100" t="s">
        <v>242</v>
      </c>
    </row>
    <row r="55" spans="3:7">
      <c r="C55" s="108"/>
      <c r="D55" s="99" t="s">
        <v>318</v>
      </c>
      <c r="E55" s="100" t="s">
        <v>319</v>
      </c>
    </row>
    <row r="56" spans="3:7">
      <c r="C56" s="108"/>
      <c r="D56" s="99" t="s">
        <v>320</v>
      </c>
      <c r="E56" s="100"/>
    </row>
    <row r="57" spans="3:7">
      <c r="C57" s="108"/>
      <c r="D57" s="271" t="s">
        <v>321</v>
      </c>
      <c r="E57" s="272"/>
    </row>
    <row r="58" spans="3:7">
      <c r="C58" s="108"/>
      <c r="D58" s="99" t="s">
        <v>322</v>
      </c>
      <c r="E58" s="100" t="s">
        <v>323</v>
      </c>
    </row>
    <row r="59" spans="3:7">
      <c r="C59" s="108"/>
      <c r="D59" s="271" t="s">
        <v>324</v>
      </c>
      <c r="E59" s="272"/>
    </row>
    <row r="60" spans="3:7">
      <c r="C60" s="108"/>
      <c r="D60" s="99" t="s">
        <v>325</v>
      </c>
      <c r="E60" s="112" t="s">
        <v>326</v>
      </c>
    </row>
    <row r="61" spans="3:7">
      <c r="C61" s="108"/>
      <c r="D61" s="107" t="s">
        <v>327</v>
      </c>
      <c r="E61" s="105" t="s">
        <v>238</v>
      </c>
    </row>
    <row r="62" spans="3:7">
      <c r="C62" s="108"/>
      <c r="D62" s="271" t="s">
        <v>328</v>
      </c>
      <c r="E62" s="272"/>
    </row>
    <row r="63" spans="3:7">
      <c r="C63" s="108"/>
      <c r="D63" s="99" t="s">
        <v>329</v>
      </c>
      <c r="E63" s="100" t="s">
        <v>330</v>
      </c>
      <c r="G63" s="100"/>
    </row>
    <row r="64" spans="3:7">
      <c r="C64" s="108"/>
      <c r="D64" s="99" t="s">
        <v>331</v>
      </c>
      <c r="E64" s="100" t="s">
        <v>332</v>
      </c>
    </row>
    <row r="65" spans="3:5">
      <c r="C65" s="108"/>
      <c r="D65" s="99" t="s">
        <v>333</v>
      </c>
      <c r="E65" s="100"/>
    </row>
    <row r="66" spans="3:5">
      <c r="C66" s="108"/>
      <c r="D66" s="111" t="s">
        <v>334</v>
      </c>
      <c r="E66" s="100" t="s">
        <v>335</v>
      </c>
    </row>
    <row r="67" spans="3:5">
      <c r="C67" s="108"/>
      <c r="D67" s="99" t="s">
        <v>336</v>
      </c>
      <c r="E67" s="100" t="s">
        <v>337</v>
      </c>
    </row>
    <row r="68" spans="3:5">
      <c r="C68" s="108"/>
      <c r="D68" s="101" t="s">
        <v>338</v>
      </c>
      <c r="E68" s="100" t="s">
        <v>339</v>
      </c>
    </row>
    <row r="69" spans="3:5">
      <c r="C69" s="108"/>
      <c r="D69" s="99" t="s">
        <v>340</v>
      </c>
      <c r="E69" s="100" t="s">
        <v>335</v>
      </c>
    </row>
    <row r="70" spans="3:5">
      <c r="C70" s="108"/>
      <c r="D70" s="104" t="s">
        <v>341</v>
      </c>
      <c r="E70" s="100" t="s">
        <v>342</v>
      </c>
    </row>
    <row r="71" spans="3:5">
      <c r="C71" s="108"/>
      <c r="D71" s="99" t="s">
        <v>343</v>
      </c>
      <c r="E71" s="100" t="s">
        <v>344</v>
      </c>
    </row>
    <row r="72" spans="3:5">
      <c r="C72" s="108"/>
      <c r="D72" s="99" t="s">
        <v>345</v>
      </c>
      <c r="E72" s="100" t="s">
        <v>346</v>
      </c>
    </row>
    <row r="73" spans="3:5">
      <c r="C73" s="108"/>
      <c r="D73" s="99" t="s">
        <v>347</v>
      </c>
      <c r="E73" s="100" t="s">
        <v>348</v>
      </c>
    </row>
    <row r="74" spans="3:5">
      <c r="C74" s="108"/>
      <c r="D74" s="99" t="s">
        <v>349</v>
      </c>
      <c r="E74" s="100" t="s">
        <v>350</v>
      </c>
    </row>
    <row r="75" spans="3:5">
      <c r="C75" s="108"/>
      <c r="D75" s="99" t="s">
        <v>351</v>
      </c>
      <c r="E75" s="100" t="s">
        <v>352</v>
      </c>
    </row>
    <row r="76" spans="3:5">
      <c r="C76" s="108"/>
      <c r="D76" s="99" t="s">
        <v>353</v>
      </c>
      <c r="E76" s="100" t="s">
        <v>350</v>
      </c>
    </row>
    <row r="77" spans="3:5">
      <c r="C77" s="108"/>
      <c r="D77" s="99" t="s">
        <v>354</v>
      </c>
      <c r="E77" s="100" t="s">
        <v>355</v>
      </c>
    </row>
    <row r="78" spans="3:5">
      <c r="C78" s="108"/>
      <c r="D78" s="113" t="s">
        <v>356</v>
      </c>
      <c r="E78" s="114"/>
    </row>
    <row r="79" spans="3:5">
      <c r="C79" s="108"/>
      <c r="D79" s="99" t="s">
        <v>357</v>
      </c>
      <c r="E79" s="100" t="s">
        <v>265</v>
      </c>
    </row>
    <row r="80" spans="3:5">
      <c r="C80" s="108"/>
      <c r="D80" s="99" t="s">
        <v>358</v>
      </c>
      <c r="E80" s="100" t="s">
        <v>359</v>
      </c>
    </row>
    <row r="81" spans="3:5">
      <c r="C81" s="108"/>
      <c r="D81" s="99" t="s">
        <v>360</v>
      </c>
      <c r="E81" s="100" t="s">
        <v>361</v>
      </c>
    </row>
    <row r="82" spans="3:5">
      <c r="C82" s="108"/>
      <c r="D82" s="99" t="s">
        <v>362</v>
      </c>
      <c r="E82" s="100" t="s">
        <v>363</v>
      </c>
    </row>
    <row r="83" spans="3:5">
      <c r="C83" s="108"/>
      <c r="D83" s="99" t="s">
        <v>364</v>
      </c>
      <c r="E83" s="100" t="s">
        <v>365</v>
      </c>
    </row>
    <row r="84" spans="3:5">
      <c r="C84" s="108"/>
      <c r="D84" s="99" t="s">
        <v>366</v>
      </c>
      <c r="E84" s="100" t="s">
        <v>367</v>
      </c>
    </row>
    <row r="85" spans="3:5">
      <c r="C85" s="108"/>
      <c r="D85" s="99" t="s">
        <v>368</v>
      </c>
      <c r="E85" s="100"/>
    </row>
    <row r="86" spans="3:5">
      <c r="C86" s="108"/>
      <c r="D86" s="99" t="s">
        <v>369</v>
      </c>
      <c r="E86" s="112" t="s">
        <v>370</v>
      </c>
    </row>
    <row r="87" spans="3:5">
      <c r="C87" s="108"/>
      <c r="D87" s="97"/>
      <c r="E87" s="97"/>
    </row>
    <row r="88" spans="3:5">
      <c r="C88" s="108"/>
      <c r="D88" s="107"/>
      <c r="E88" s="115"/>
    </row>
    <row r="89" spans="3:5">
      <c r="C89" s="108"/>
      <c r="D89" s="271" t="s">
        <v>371</v>
      </c>
      <c r="E89" s="272"/>
    </row>
    <row r="90" spans="3:5">
      <c r="C90" s="108"/>
      <c r="D90" s="107" t="s">
        <v>372</v>
      </c>
      <c r="E90" s="105" t="s">
        <v>373</v>
      </c>
    </row>
    <row r="91" spans="3:5">
      <c r="C91" s="108"/>
      <c r="D91" s="99" t="s">
        <v>374</v>
      </c>
      <c r="E91" s="100" t="s">
        <v>375</v>
      </c>
    </row>
    <row r="92" spans="3:5">
      <c r="C92" s="108"/>
      <c r="D92" s="99" t="s">
        <v>376</v>
      </c>
      <c r="E92" s="100"/>
    </row>
    <row r="93" spans="3:5">
      <c r="C93" s="108"/>
      <c r="D93" s="99" t="s">
        <v>377</v>
      </c>
      <c r="E93" s="100" t="s">
        <v>378</v>
      </c>
    </row>
    <row r="94" spans="3:5">
      <c r="C94" s="108"/>
      <c r="D94" s="99" t="s">
        <v>379</v>
      </c>
      <c r="E94" s="100" t="s">
        <v>380</v>
      </c>
    </row>
    <row r="95" spans="3:5">
      <c r="C95" s="108"/>
      <c r="D95" s="99" t="s">
        <v>381</v>
      </c>
      <c r="E95" s="100" t="s">
        <v>382</v>
      </c>
    </row>
    <row r="96" spans="3:5">
      <c r="C96" s="108"/>
      <c r="D96" s="99" t="s">
        <v>383</v>
      </c>
      <c r="E96" s="100" t="s">
        <v>384</v>
      </c>
    </row>
    <row r="97" spans="3:5">
      <c r="C97" s="108"/>
      <c r="D97" s="99" t="s">
        <v>385</v>
      </c>
      <c r="E97" s="100" t="s">
        <v>319</v>
      </c>
    </row>
    <row r="98" spans="3:5">
      <c r="C98" s="108"/>
      <c r="D98" s="99" t="s">
        <v>386</v>
      </c>
      <c r="E98" s="100" t="s">
        <v>387</v>
      </c>
    </row>
    <row r="99" spans="3:5">
      <c r="C99" s="108"/>
      <c r="D99" s="99" t="s">
        <v>388</v>
      </c>
      <c r="E99" s="100" t="s">
        <v>389</v>
      </c>
    </row>
    <row r="100" spans="3:5">
      <c r="C100" s="108"/>
      <c r="D100" s="99" t="s">
        <v>390</v>
      </c>
      <c r="E100" s="100" t="s">
        <v>391</v>
      </c>
    </row>
    <row r="101" spans="3:5">
      <c r="C101" s="108"/>
      <c r="D101" s="99" t="s">
        <v>392</v>
      </c>
      <c r="E101" s="100" t="s">
        <v>393</v>
      </c>
    </row>
    <row r="102" spans="3:5">
      <c r="C102" s="108"/>
      <c r="D102" s="99" t="s">
        <v>394</v>
      </c>
      <c r="E102" s="100" t="s">
        <v>395</v>
      </c>
    </row>
    <row r="103" spans="3:5">
      <c r="C103" s="108"/>
      <c r="D103" s="107"/>
      <c r="E103" s="105"/>
    </row>
    <row r="104" spans="3:5">
      <c r="C104" s="108"/>
      <c r="D104" s="271" t="s">
        <v>396</v>
      </c>
      <c r="E104" s="272"/>
    </row>
    <row r="105" spans="3:5">
      <c r="C105" s="108"/>
      <c r="D105" s="103" t="s">
        <v>397</v>
      </c>
      <c r="E105" s="100" t="s">
        <v>398</v>
      </c>
    </row>
    <row r="106" spans="3:5">
      <c r="C106" s="108"/>
      <c r="D106" s="99" t="s">
        <v>399</v>
      </c>
      <c r="E106" s="100" t="s">
        <v>400</v>
      </c>
    </row>
    <row r="107" spans="3:5">
      <c r="C107" s="108"/>
      <c r="D107" s="99" t="s">
        <v>401</v>
      </c>
      <c r="E107" s="100" t="s">
        <v>402</v>
      </c>
    </row>
    <row r="108" spans="3:5">
      <c r="C108" s="108"/>
      <c r="D108" s="271" t="s">
        <v>403</v>
      </c>
      <c r="E108" s="272"/>
    </row>
    <row r="109" spans="3:5">
      <c r="C109" s="108"/>
      <c r="D109" s="107" t="s">
        <v>404</v>
      </c>
      <c r="E109" s="105"/>
    </row>
    <row r="110" spans="3:5">
      <c r="C110" s="108"/>
      <c r="D110" s="271" t="s">
        <v>405</v>
      </c>
      <c r="E110" s="272"/>
    </row>
    <row r="111" spans="3:5">
      <c r="C111" s="108"/>
      <c r="D111" s="101" t="s">
        <v>406</v>
      </c>
      <c r="E111" s="100"/>
    </row>
    <row r="112" spans="3:5">
      <c r="C112" s="108"/>
      <c r="D112" s="271" t="s">
        <v>407</v>
      </c>
      <c r="E112" s="272"/>
    </row>
    <row r="113" spans="3:5">
      <c r="C113" s="108"/>
      <c r="D113" s="101" t="s">
        <v>408</v>
      </c>
      <c r="E113" s="100" t="s">
        <v>409</v>
      </c>
    </row>
    <row r="114" spans="3:5">
      <c r="C114" s="108"/>
      <c r="D114" s="271" t="s">
        <v>410</v>
      </c>
      <c r="E114" s="272"/>
    </row>
    <row r="115" spans="3:5">
      <c r="C115" s="108"/>
      <c r="D115" s="99" t="s">
        <v>411</v>
      </c>
      <c r="E115" s="100" t="s">
        <v>227</v>
      </c>
    </row>
    <row r="116" spans="3:5">
      <c r="C116" s="108"/>
      <c r="D116" s="99" t="s">
        <v>412</v>
      </c>
      <c r="E116" s="100"/>
    </row>
    <row r="117" spans="3:5">
      <c r="C117" s="108"/>
      <c r="D117" s="99" t="s">
        <v>413</v>
      </c>
      <c r="E117" s="100" t="s">
        <v>414</v>
      </c>
    </row>
    <row r="118" spans="3:5">
      <c r="C118" s="108"/>
      <c r="D118" s="99" t="s">
        <v>415</v>
      </c>
      <c r="E118" s="100" t="s">
        <v>416</v>
      </c>
    </row>
    <row r="119" spans="3:5">
      <c r="C119" s="108"/>
      <c r="D119" s="99" t="s">
        <v>417</v>
      </c>
      <c r="E119" s="100"/>
    </row>
    <row r="120" spans="3:5">
      <c r="C120" s="108"/>
      <c r="D120" s="99" t="s">
        <v>418</v>
      </c>
      <c r="E120" s="100" t="s">
        <v>419</v>
      </c>
    </row>
    <row r="121" spans="3:5">
      <c r="C121" s="108"/>
      <c r="D121" s="99" t="s">
        <v>420</v>
      </c>
      <c r="E121" s="100" t="s">
        <v>421</v>
      </c>
    </row>
    <row r="122" spans="3:5">
      <c r="C122" s="108"/>
      <c r="D122" s="99" t="s">
        <v>422</v>
      </c>
      <c r="E122" s="100" t="s">
        <v>423</v>
      </c>
    </row>
    <row r="123" spans="3:5">
      <c r="C123" s="108"/>
      <c r="D123" s="99" t="s">
        <v>424</v>
      </c>
      <c r="E123" s="100" t="s">
        <v>425</v>
      </c>
    </row>
    <row r="124" spans="3:5">
      <c r="C124" s="108"/>
      <c r="D124" s="271" t="s">
        <v>426</v>
      </c>
      <c r="E124" s="272"/>
    </row>
    <row r="125" spans="3:5">
      <c r="C125" s="108"/>
      <c r="D125" s="99" t="s">
        <v>427</v>
      </c>
      <c r="E125" s="100" t="s">
        <v>428</v>
      </c>
    </row>
    <row r="126" spans="3:5">
      <c r="C126" s="108"/>
      <c r="D126" s="99" t="s">
        <v>429</v>
      </c>
      <c r="E126" s="100"/>
    </row>
    <row r="127" spans="3:5">
      <c r="C127" s="108"/>
      <c r="D127" s="107" t="s">
        <v>430</v>
      </c>
      <c r="E127" s="100" t="s">
        <v>431</v>
      </c>
    </row>
    <row r="128" spans="3:5">
      <c r="C128" s="108"/>
      <c r="D128" s="107" t="s">
        <v>432</v>
      </c>
      <c r="E128" s="100" t="s">
        <v>425</v>
      </c>
    </row>
    <row r="129" spans="3:5">
      <c r="C129" s="108"/>
      <c r="D129" s="107"/>
      <c r="E129" s="100"/>
    </row>
    <row r="130" spans="3:5">
      <c r="C130" s="108"/>
      <c r="D130" s="99" t="s">
        <v>433</v>
      </c>
      <c r="E130" s="100"/>
    </row>
    <row r="131" spans="3:5">
      <c r="C131" s="108"/>
      <c r="D131" s="271" t="s">
        <v>434</v>
      </c>
      <c r="E131" s="272"/>
    </row>
    <row r="132" spans="3:5">
      <c r="C132" s="108"/>
      <c r="D132" s="99" t="s">
        <v>435</v>
      </c>
      <c r="E132" s="100"/>
    </row>
    <row r="133" spans="3:5">
      <c r="C133" s="108"/>
      <c r="D133" s="99" t="s">
        <v>436</v>
      </c>
      <c r="E133" s="100" t="s">
        <v>437</v>
      </c>
    </row>
    <row r="134" spans="3:5">
      <c r="C134" s="108"/>
      <c r="D134" s="271" t="s">
        <v>438</v>
      </c>
      <c r="E134" s="272"/>
    </row>
    <row r="135" spans="3:5">
      <c r="C135" s="108"/>
      <c r="D135" s="99"/>
      <c r="E135" s="100"/>
    </row>
    <row r="136" spans="3:5">
      <c r="C136" s="108"/>
      <c r="D136" s="271" t="s">
        <v>439</v>
      </c>
      <c r="E136" s="272"/>
    </row>
    <row r="137" spans="3:5">
      <c r="C137" s="108"/>
      <c r="D137" s="99" t="s">
        <v>440</v>
      </c>
      <c r="E137" s="100" t="s">
        <v>219</v>
      </c>
    </row>
    <row r="138" spans="3:5">
      <c r="C138" s="108"/>
      <c r="D138" s="271" t="s">
        <v>441</v>
      </c>
      <c r="E138" s="272"/>
    </row>
    <row r="139" spans="3:5">
      <c r="C139" s="108"/>
      <c r="D139" s="99"/>
      <c r="E139" s="100"/>
    </row>
  </sheetData>
  <mergeCells count="21">
    <mergeCell ref="D134:E134"/>
    <mergeCell ref="D136:E136"/>
    <mergeCell ref="D138:E138"/>
    <mergeCell ref="D108:E108"/>
    <mergeCell ref="D110:E110"/>
    <mergeCell ref="D112:E112"/>
    <mergeCell ref="D114:E114"/>
    <mergeCell ref="D124:E124"/>
    <mergeCell ref="D131:E131"/>
    <mergeCell ref="D104:E104"/>
    <mergeCell ref="D2:E2"/>
    <mergeCell ref="D10:E10"/>
    <mergeCell ref="D18:E18"/>
    <mergeCell ref="D24:E24"/>
    <mergeCell ref="D28:E28"/>
    <mergeCell ref="D30:E30"/>
    <mergeCell ref="D40:E40"/>
    <mergeCell ref="D57:E57"/>
    <mergeCell ref="D59:E59"/>
    <mergeCell ref="D62:E62"/>
    <mergeCell ref="D89:E89"/>
  </mergeCells>
  <pageMargins left="0.7" right="0.4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3</vt:i4>
      </vt:variant>
    </vt:vector>
  </HeadingPairs>
  <TitlesOfParts>
    <vt:vector size="13" baseType="lpstr">
      <vt:lpstr>Form-1</vt:lpstr>
      <vt:lpstr>Form-2</vt:lpstr>
      <vt:lpstr>F-III A1</vt:lpstr>
      <vt:lpstr>FIII A2 (2)</vt:lpstr>
      <vt:lpstr>F-B</vt:lpstr>
      <vt:lpstr>Form C</vt:lpstr>
      <vt:lpstr>Form 8</vt:lpstr>
      <vt:lpstr>NTFP-Med Plant</vt:lpstr>
      <vt:lpstr>Canes</vt:lpstr>
      <vt:lpstr>SSN</vt:lpstr>
      <vt:lpstr>'F-B'!Print_Titles</vt:lpstr>
      <vt:lpstr>'F-III A1'!Print_Titles</vt:lpstr>
      <vt:lpstr>'Form C'!Print_Titles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LENOVO</cp:lastModifiedBy>
  <cp:lastPrinted>2024-10-30T03:22:43Z</cp:lastPrinted>
  <dcterms:created xsi:type="dcterms:W3CDTF">2023-09-21T06:16:02Z</dcterms:created>
  <dcterms:modified xsi:type="dcterms:W3CDTF">2024-11-07T16:32:25Z</dcterms:modified>
</cp:coreProperties>
</file>