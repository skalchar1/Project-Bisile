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8" windowWidth="14808" windowHeight="8016"/>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19" i="12"/>
  <c r="G2"/>
  <c r="I24" i="11"/>
  <c r="I16"/>
  <c r="I8"/>
  <c r="I2"/>
  <c r="C13" i="8"/>
  <c r="C12"/>
  <c r="C11"/>
  <c r="C10"/>
  <c r="C5" i="6" s="1"/>
  <c r="C9" i="8"/>
</calcChain>
</file>

<file path=xl/sharedStrings.xml><?xml version="1.0" encoding="utf-8"?>
<sst xmlns="http://schemas.openxmlformats.org/spreadsheetml/2006/main" count="289" uniqueCount="179">
  <si>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</si>
  <si>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</si>
  <si>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</si>
  <si>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</si>
  <si>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</si>
  <si>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</si>
  <si>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</si>
  <si>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</si>
  <si>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</si>
  <si>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</si>
  <si>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</si>
  <si>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</si>
  <si>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</si>
  <si>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</si>
  <si>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</si>
  <si>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</si>
  <si>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</si>
  <si>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</si>
  <si>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</si>
  <si>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</si>
  <si>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</si>
  <si>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</si>
  <si>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</si>
  <si>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</si>
  <si>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</si>
  <si>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</si>
  <si>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</si>
  <si>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</si>
  <si>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</si>
  <si>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</si>
  <si>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</si>
  <si>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</si>
  <si>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</si>
  <si>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</si>
  <si>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</si>
  <si>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</si>
  <si>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</si>
  <si>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</si>
  <si>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</si>
  <si>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</si>
  <si>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</si>
  <si>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</si>
  <si>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</si>
  <si>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</si>
  <si>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</si>
  <si>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</si>
  <si>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</si>
  <si>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</si>
  <si>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</si>
  <si>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</si>
  <si>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</si>
  <si>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</si>
  <si>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</si>
  <si>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</si>
  <si>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</si>
  <si>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</si>
  <si>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</si>
  <si>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</si>
  <si>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</si>
  <si>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</si>
  <si>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</si>
  <si>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</si>
  <si>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</si>
  <si>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</si>
  <si>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</si>
  <si>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</si>
  <si>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</si>
  <si>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</si>
  <si>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</si>
  <si>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</si>
  <si>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</si>
  <si>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</si>
  <si>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</si>
  <si>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</si>
  <si>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</si>
  <si>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</si>
  <si>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</si>
  <si>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</si>
  <si>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</si>
  <si>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</si>
  <si>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</si>
  <si>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</si>
  <si>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</si>
  <si>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</si>
  <si>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</si>
  <si>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</si>
  <si>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</si>
  <si>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</si>
  <si>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</si>
  <si>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</si>
  <si>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</si>
  <si>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</si>
  <si>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</si>
  <si>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</si>
  <si>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</si>
  <si>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</si>
  <si>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</si>
  <si>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</si>
  <si>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</si>
  <si>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</si>
  <si>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</si>
  <si>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</si>
  <si>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</si>
  <si>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</si>
  <si>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</si>
  <si>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</si>
  <si>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</si>
  <si>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</si>
  <si>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</si>
  <si>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</si>
  <si>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</si>
  <si>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</si>
  <si>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</si>
  <si>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</si>
  <si>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 xml:space="preserve">5. Grass - Scanty, </t>
  </si>
  <si>
    <t>6. Weeds - Scanty,. Eupatorium</t>
  </si>
  <si>
    <t>12. Rattans - Nill</t>
  </si>
  <si>
    <t>13. NTFP yielding sps - Cinnamomum zalenicum (Dalchinni)</t>
  </si>
  <si>
    <t>None</t>
  </si>
  <si>
    <t>Upto - 4 - 15</t>
  </si>
  <si>
    <t>Ignecious rocks</t>
  </si>
  <si>
    <t>Absent</t>
  </si>
  <si>
    <t>none</t>
  </si>
  <si>
    <t>2. Aspect - Eastern</t>
  </si>
  <si>
    <t>3.Canopy density - Open forest 30% canopy cover</t>
  </si>
  <si>
    <t>8. Herbs - Psycotrea dalkzellii (Vaatmadike), Leea indica (Nedthi).</t>
  </si>
  <si>
    <t>9. Shrubs - Calycopteris floribunda (Kumsa), Zizipus mouriantana (Parige).</t>
  </si>
  <si>
    <t>10. Underwood species - Aparosa lindliana (Salle), Olea dioca (Agasalle), Tabariena montana (Maddarsa), Ixora brachiata (Kaansurgi).</t>
  </si>
  <si>
    <t>11. Climber - Piper tiocum (Kaal Menasu), Senegaliea rugata (Seege).</t>
  </si>
  <si>
    <t>Firewood</t>
  </si>
  <si>
    <t>Open forest 30% canopy cover</t>
  </si>
  <si>
    <t>Eastern</t>
  </si>
  <si>
    <t>Latarie soil. Texture - Hard, depth - 30 cm, Permiability - Avarage.</t>
  </si>
  <si>
    <t>Moderate</t>
  </si>
  <si>
    <t>Acassia - 30%, Kasarka - 20%.</t>
  </si>
  <si>
    <t>Poor</t>
  </si>
  <si>
    <t>Scanty</t>
  </si>
  <si>
    <t>Scanty -  Eupatorium</t>
  </si>
  <si>
    <t>Natural with plant5ed acassia</t>
  </si>
  <si>
    <t>Moderatly degarted</t>
  </si>
  <si>
    <t>Kasarka</t>
  </si>
  <si>
    <t>Uppalige</t>
  </si>
  <si>
    <t>Kakke</t>
  </si>
  <si>
    <t>Jumma</t>
  </si>
  <si>
    <t>Acassia</t>
  </si>
  <si>
    <t>Salle</t>
  </si>
  <si>
    <t>120 gm</t>
  </si>
  <si>
    <t>1.2 kg</t>
  </si>
  <si>
    <t>Nill</t>
  </si>
  <si>
    <t>115 gm</t>
  </si>
  <si>
    <t>210 gm</t>
  </si>
  <si>
    <t>3.1 kg</t>
  </si>
  <si>
    <t>185 gm</t>
  </si>
  <si>
    <t>Kaare</t>
  </si>
  <si>
    <t>Thergida</t>
  </si>
  <si>
    <t>Vaatmadike</t>
  </si>
  <si>
    <t>Bogi</t>
  </si>
  <si>
    <t>Semi Evergreen Open forest and Species like Aparosa lindliana (Salle), Terminalea paniculata (Marva), Olea dioca (Agasalle), Vitexa altissima (Naviladi).</t>
  </si>
  <si>
    <t>7. Bamboo - Absent</t>
  </si>
  <si>
    <t>Strychnos nux-vomica</t>
  </si>
  <si>
    <t>Macaranga peltata</t>
  </si>
  <si>
    <t>Cassia fistula</t>
  </si>
  <si>
    <t>Zanthoxylum ehrtsa</t>
  </si>
  <si>
    <t>Aporosa lindleyana</t>
  </si>
  <si>
    <t>Randia aculeata</t>
  </si>
  <si>
    <t>Therugida</t>
  </si>
  <si>
    <t>Tinospora sinensis</t>
  </si>
  <si>
    <t>Phychotrica dalzellii</t>
  </si>
  <si>
    <t>Hopea parvifolia</t>
  </si>
  <si>
    <t>XII-21</t>
  </si>
  <si>
    <t>Kilarmale RF</t>
  </si>
  <si>
    <t>12.578441°</t>
  </si>
  <si>
    <t>75.554162°</t>
  </si>
  <si>
    <t>266 m</t>
  </si>
  <si>
    <t>Hilly</t>
  </si>
  <si>
    <t>1. Track - Hilly</t>
  </si>
  <si>
    <t>reserve forest</t>
  </si>
  <si>
    <t>Local Name</t>
  </si>
  <si>
    <t>Starting from Aranthodu traverse by Sullia-Madikeri high road leading towards Goonadka for 1.45 Kms to reach Arladka.Here turn left and traverse by Asphalt road leading to Elimale for abut 10.00 Kms to reach Sevaje.Here turn right and traverse by Asphalt road for about 4.80 Kms to reach Madappady.Here turn right and travesre SouthEast,East and North East by Asphalt road and Mud road as well leading to Hadikallu Enclosure s for about 2.40 Kms to reach a location with GPS Co-ordinates  12.574385°N, 75.558393°.Here turn left and traverse NorthWest and west by mudroad for about 300 mts and northWest by foot for about 400 mts to reach the centre of the Plot</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</si>
</sst>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1">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11" fillId="0" borderId="1" xfId="0" applyNumberFormat="1"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topLeftCell="A4" zoomScaleSheetLayoutView="115" workbookViewId="0">
      <selection activeCell="H12" sqref="H12"/>
    </sheetView>
  </sheetViews>
  <sheetFormatPr defaultColWidth="9.21875" defaultRowHeight="15.6"/>
  <cols>
    <col min="1" max="1" width="5" style="44" bestFit="1" customWidth="1"/>
    <col min="2" max="2" width="15.77734375" style="44" customWidth="1"/>
    <col min="3" max="3" width="55.33203125" style="44" customWidth="1"/>
    <col min="4" max="16384" width="9.21875" style="44"/>
  </cols>
  <sheetData>
    <row r="1" spans="1:3">
      <c r="A1" s="64" t="s">
        <v>21</v>
      </c>
      <c r="B1" s="64"/>
      <c r="C1" s="64"/>
    </row>
    <row r="2" spans="1:3">
      <c r="A2" s="64" t="s">
        <v>22</v>
      </c>
      <c r="B2" s="64"/>
      <c r="C2" s="64"/>
    </row>
    <row r="3" spans="1:3">
      <c r="A3" s="65" t="s">
        <v>103</v>
      </c>
      <c r="B3" s="65"/>
      <c r="C3" s="55" t="s">
        <v>111</v>
      </c>
    </row>
    <row r="4" spans="1:3">
      <c r="A4" s="47"/>
    </row>
    <row r="5" spans="1:3" ht="31.2">
      <c r="A5" s="48" t="s">
        <v>23</v>
      </c>
      <c r="B5" s="50" t="s">
        <v>24</v>
      </c>
      <c r="C5" s="50" t="s">
        <v>25</v>
      </c>
    </row>
    <row r="6" spans="1:3">
      <c r="A6" s="51">
        <v>1</v>
      </c>
      <c r="B6" s="52" t="s">
        <v>26</v>
      </c>
      <c r="C6" s="56" t="s">
        <v>112</v>
      </c>
    </row>
    <row r="7" spans="1:3" ht="31.2">
      <c r="A7" s="51">
        <v>2</v>
      </c>
      <c r="B7" s="52" t="s">
        <v>27</v>
      </c>
      <c r="C7" s="56" t="s">
        <v>170</v>
      </c>
    </row>
    <row r="8" spans="1:3">
      <c r="A8" s="51">
        <v>3</v>
      </c>
      <c r="B8" s="52" t="s">
        <v>28</v>
      </c>
      <c r="C8" s="56" t="s">
        <v>169</v>
      </c>
    </row>
    <row r="9" spans="1:3">
      <c r="A9" s="51">
        <v>4</v>
      </c>
      <c r="B9" s="52" t="s">
        <v>29</v>
      </c>
      <c r="C9" s="43">
        <v>705</v>
      </c>
    </row>
    <row r="10" spans="1:3" ht="20.25" customHeight="1">
      <c r="A10" s="51">
        <v>5</v>
      </c>
      <c r="B10" s="52" t="s">
        <v>30</v>
      </c>
      <c r="C10" s="57" t="s">
        <v>171</v>
      </c>
    </row>
    <row r="11" spans="1:3" ht="23.25" customHeight="1">
      <c r="A11" s="51">
        <v>6</v>
      </c>
      <c r="B11" s="52" t="s">
        <v>31</v>
      </c>
      <c r="C11" s="57" t="s">
        <v>172</v>
      </c>
    </row>
    <row r="12" spans="1:3" ht="204" customHeight="1">
      <c r="A12" s="51">
        <v>7</v>
      </c>
      <c r="B12" s="52" t="s">
        <v>32</v>
      </c>
      <c r="C12" s="140" t="s">
        <v>178</v>
      </c>
    </row>
    <row r="13" spans="1:3" ht="49.2" customHeight="1">
      <c r="A13" s="51">
        <v>8</v>
      </c>
      <c r="B13" s="52" t="s">
        <v>33</v>
      </c>
      <c r="C13" s="58" t="s">
        <v>157</v>
      </c>
    </row>
    <row r="14" spans="1:3" ht="15.75" customHeight="1">
      <c r="A14" s="62">
        <v>9</v>
      </c>
      <c r="B14" s="66" t="s">
        <v>34</v>
      </c>
      <c r="C14" s="58" t="s">
        <v>175</v>
      </c>
    </row>
    <row r="15" spans="1:3">
      <c r="A15" s="63"/>
      <c r="B15" s="67"/>
      <c r="C15" s="58" t="s">
        <v>123</v>
      </c>
    </row>
    <row r="16" spans="1:3">
      <c r="A16" s="63"/>
      <c r="B16" s="67"/>
      <c r="C16" s="58" t="s">
        <v>124</v>
      </c>
    </row>
    <row r="17" spans="1:3">
      <c r="A17" s="63"/>
      <c r="B17" s="67"/>
      <c r="C17" s="58" t="s">
        <v>113</v>
      </c>
    </row>
    <row r="18" spans="1:3">
      <c r="A18" s="63"/>
      <c r="B18" s="67"/>
      <c r="C18" s="60" t="s">
        <v>114</v>
      </c>
    </row>
    <row r="19" spans="1:3">
      <c r="A19" s="63"/>
      <c r="B19" s="67"/>
      <c r="C19" s="58" t="s">
        <v>115</v>
      </c>
    </row>
    <row r="20" spans="1:3">
      <c r="A20" s="63"/>
      <c r="B20" s="67"/>
      <c r="C20" s="58" t="s">
        <v>158</v>
      </c>
    </row>
    <row r="21" spans="1:3" ht="31.2">
      <c r="A21" s="63"/>
      <c r="B21" s="67"/>
      <c r="C21" s="58" t="s">
        <v>125</v>
      </c>
    </row>
    <row r="22" spans="1:3" ht="31.2">
      <c r="A22" s="63"/>
      <c r="B22" s="67"/>
      <c r="C22" s="58" t="s">
        <v>126</v>
      </c>
    </row>
    <row r="23" spans="1:3" ht="46.8">
      <c r="A23" s="63"/>
      <c r="B23" s="67"/>
      <c r="C23" s="58" t="s">
        <v>127</v>
      </c>
    </row>
    <row r="24" spans="1:3" ht="34.5" customHeight="1">
      <c r="A24" s="63"/>
      <c r="B24" s="67"/>
      <c r="C24" s="58" t="s">
        <v>128</v>
      </c>
    </row>
    <row r="25" spans="1:3">
      <c r="A25" s="63"/>
      <c r="B25" s="67"/>
      <c r="C25" s="58" t="s">
        <v>116</v>
      </c>
    </row>
    <row r="26" spans="1:3" ht="31.2">
      <c r="A26" s="63"/>
      <c r="B26" s="67"/>
      <c r="C26" s="58" t="s">
        <v>117</v>
      </c>
    </row>
    <row r="27" spans="1:3" ht="31.2">
      <c r="A27" s="51">
        <v>10</v>
      </c>
      <c r="B27" s="52" t="s">
        <v>35</v>
      </c>
      <c r="C27" s="52" t="s">
        <v>118</v>
      </c>
    </row>
    <row r="28" spans="1:3" ht="46.8">
      <c r="A28" s="51">
        <v>11</v>
      </c>
      <c r="B28" s="52" t="s">
        <v>36</v>
      </c>
      <c r="C28" s="52" t="s">
        <v>129</v>
      </c>
    </row>
    <row r="29" spans="1:3" ht="61.5" customHeight="1">
      <c r="A29" s="47"/>
    </row>
    <row r="30" spans="1:3" ht="15.75" customHeight="1">
      <c r="A30" s="47"/>
    </row>
    <row r="31" spans="1:3">
      <c r="A31" s="47"/>
    </row>
    <row r="32" spans="1:3">
      <c r="A32" s="61"/>
    </row>
    <row r="33" spans="1:1">
      <c r="A33" s="59"/>
    </row>
    <row r="34" spans="1:1">
      <c r="A34" s="59"/>
    </row>
    <row r="35" spans="1:1">
      <c r="A35" s="59"/>
    </row>
    <row r="36" spans="1:1">
      <c r="A36" s="59"/>
    </row>
    <row r="37" spans="1:1">
      <c r="A37" s="59"/>
    </row>
    <row r="38" spans="1:1">
      <c r="A38" s="59"/>
    </row>
    <row r="49" spans="1:1">
      <c r="A49" s="59"/>
    </row>
    <row r="50" spans="1:1" ht="62.25" customHeight="1">
      <c r="A50" s="59"/>
    </row>
    <row r="51" spans="1:1">
      <c r="A51" s="59"/>
    </row>
    <row r="52" spans="1:1">
      <c r="A52" s="59"/>
    </row>
    <row r="53" spans="1:1">
      <c r="A53" s="59"/>
    </row>
    <row r="54" spans="1:1">
      <c r="A54" s="59"/>
    </row>
    <row r="55" spans="1:1">
      <c r="A55" s="59"/>
    </row>
    <row r="56" spans="1:1">
      <c r="A56" s="59"/>
    </row>
    <row r="57" spans="1:1">
      <c r="A57" s="59"/>
    </row>
    <row r="58" spans="1:1">
      <c r="A58" s="61"/>
    </row>
    <row r="66" spans="1:1">
      <c r="A66" s="59"/>
    </row>
    <row r="74" spans="1:1">
      <c r="A74" s="47"/>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I17" sqref="I17"/>
    </sheetView>
  </sheetViews>
  <sheetFormatPr defaultColWidth="9.21875" defaultRowHeight="15.6"/>
  <cols>
    <col min="1" max="1" width="4.77734375" style="44" bestFit="1" customWidth="1"/>
    <col min="2" max="2" width="16.44140625" style="44" customWidth="1"/>
    <col min="3" max="3" width="44.6640625" style="44" customWidth="1"/>
    <col min="4" max="16384" width="9.21875" style="44"/>
  </cols>
  <sheetData>
    <row r="1" spans="1:3">
      <c r="A1" s="64" t="s">
        <v>37</v>
      </c>
      <c r="B1" s="64"/>
      <c r="C1" s="64"/>
    </row>
    <row r="2" spans="1:3">
      <c r="A2" s="64" t="s">
        <v>38</v>
      </c>
      <c r="B2" s="64"/>
      <c r="C2" s="64"/>
    </row>
    <row r="3" spans="1:3">
      <c r="A3" s="45"/>
    </row>
    <row r="4" spans="1:3" ht="70.95" customHeight="1">
      <c r="A4" s="68" t="s">
        <v>39</v>
      </c>
      <c r="B4" s="68"/>
      <c r="C4" s="68"/>
    </row>
    <row r="5" spans="1:3">
      <c r="A5" s="65" t="s">
        <v>103</v>
      </c>
      <c r="B5" s="65"/>
      <c r="C5" s="46" t="str">
        <f>'Form 1'!C3</f>
        <v>Mangalore</v>
      </c>
    </row>
    <row r="6" spans="1:3">
      <c r="A6" s="47"/>
    </row>
    <row r="7" spans="1:3" ht="31.2">
      <c r="A7" s="48" t="s">
        <v>23</v>
      </c>
      <c r="B7" s="49" t="s">
        <v>25</v>
      </c>
      <c r="C7" s="50" t="s">
        <v>40</v>
      </c>
    </row>
    <row r="8" spans="1:3">
      <c r="A8" s="51">
        <v>1</v>
      </c>
      <c r="B8" s="52" t="s">
        <v>26</v>
      </c>
      <c r="C8" s="4" t="s">
        <v>112</v>
      </c>
    </row>
    <row r="9" spans="1:3" ht="31.2">
      <c r="A9" s="51">
        <v>2</v>
      </c>
      <c r="B9" s="52" t="s">
        <v>41</v>
      </c>
      <c r="C9" s="53" t="str">
        <f>'Form 1'!C7</f>
        <v>Kilarmale RF</v>
      </c>
    </row>
    <row r="10" spans="1:3">
      <c r="A10" s="51">
        <v>3</v>
      </c>
      <c r="B10" s="52" t="s">
        <v>28</v>
      </c>
      <c r="C10" s="53" t="str">
        <f>'Form 1'!C8</f>
        <v>XII-21</v>
      </c>
    </row>
    <row r="11" spans="1:3">
      <c r="A11" s="51">
        <v>4</v>
      </c>
      <c r="B11" s="52" t="s">
        <v>29</v>
      </c>
      <c r="C11" s="53">
        <f>'Form 1'!C9</f>
        <v>705</v>
      </c>
    </row>
    <row r="12" spans="1:3">
      <c r="A12" s="51">
        <v>5</v>
      </c>
      <c r="B12" s="52" t="s">
        <v>42</v>
      </c>
      <c r="C12" s="53" t="str">
        <f>'Form 1'!C10</f>
        <v>12.578441°</v>
      </c>
    </row>
    <row r="13" spans="1:3">
      <c r="A13" s="51">
        <v>6</v>
      </c>
      <c r="B13" s="52" t="s">
        <v>43</v>
      </c>
      <c r="C13" s="53" t="str">
        <f>'Form 1'!C11</f>
        <v>75.554162°</v>
      </c>
    </row>
    <row r="14" spans="1:3">
      <c r="A14" s="51">
        <v>7</v>
      </c>
      <c r="B14" s="52" t="s">
        <v>44</v>
      </c>
      <c r="C14" s="53" t="s">
        <v>173</v>
      </c>
    </row>
    <row r="15" spans="1:3">
      <c r="A15" s="51">
        <v>8</v>
      </c>
      <c r="B15" s="52" t="s">
        <v>45</v>
      </c>
      <c r="C15" s="53" t="s">
        <v>176</v>
      </c>
    </row>
    <row r="16" spans="1:3">
      <c r="A16" s="51">
        <v>9</v>
      </c>
      <c r="B16" s="52" t="s">
        <v>46</v>
      </c>
      <c r="C16" s="53" t="s">
        <v>130</v>
      </c>
    </row>
    <row r="17" spans="1:3" ht="31.2">
      <c r="A17" s="51">
        <v>10</v>
      </c>
      <c r="B17" s="52" t="s">
        <v>47</v>
      </c>
      <c r="C17" s="53" t="s">
        <v>174</v>
      </c>
    </row>
    <row r="18" spans="1:3">
      <c r="A18" s="51">
        <v>11</v>
      </c>
      <c r="B18" s="52" t="s">
        <v>48</v>
      </c>
      <c r="C18" s="54" t="s">
        <v>119</v>
      </c>
    </row>
    <row r="19" spans="1:3">
      <c r="A19" s="51">
        <v>12</v>
      </c>
      <c r="B19" s="52" t="s">
        <v>49</v>
      </c>
      <c r="C19" s="54" t="s">
        <v>131</v>
      </c>
    </row>
    <row r="20" spans="1:3" ht="31.2">
      <c r="A20" s="51">
        <v>13</v>
      </c>
      <c r="B20" s="52" t="s">
        <v>50</v>
      </c>
      <c r="C20" s="54" t="s">
        <v>120</v>
      </c>
    </row>
    <row r="21" spans="1:3" ht="31.2">
      <c r="A21" s="51">
        <v>14</v>
      </c>
      <c r="B21" s="52" t="s">
        <v>51</v>
      </c>
      <c r="C21" s="54" t="s">
        <v>132</v>
      </c>
    </row>
    <row r="22" spans="1:3">
      <c r="A22" s="51">
        <v>15</v>
      </c>
      <c r="B22" s="52" t="s">
        <v>52</v>
      </c>
      <c r="C22" s="54" t="s">
        <v>133</v>
      </c>
    </row>
    <row r="23" spans="1:3" ht="31.2">
      <c r="A23" s="51">
        <v>16</v>
      </c>
      <c r="B23" s="52" t="s">
        <v>53</v>
      </c>
      <c r="C23" s="54" t="s">
        <v>134</v>
      </c>
    </row>
    <row r="24" spans="1:3" ht="31.2">
      <c r="A24" s="51">
        <v>17</v>
      </c>
      <c r="B24" s="52" t="s">
        <v>54</v>
      </c>
      <c r="C24" s="54" t="s">
        <v>135</v>
      </c>
    </row>
    <row r="25" spans="1:3" ht="31.2">
      <c r="A25" s="51">
        <v>18</v>
      </c>
      <c r="B25" s="52" t="s">
        <v>55</v>
      </c>
      <c r="C25" s="54" t="s">
        <v>118</v>
      </c>
    </row>
    <row r="26" spans="1:3" ht="31.2">
      <c r="A26" s="51">
        <v>19</v>
      </c>
      <c r="B26" s="52" t="s">
        <v>56</v>
      </c>
      <c r="C26" s="54" t="s">
        <v>118</v>
      </c>
    </row>
    <row r="27" spans="1:3" ht="31.2">
      <c r="A27" s="51">
        <v>20</v>
      </c>
      <c r="B27" s="52" t="s">
        <v>57</v>
      </c>
      <c r="C27" s="54" t="s">
        <v>121</v>
      </c>
    </row>
    <row r="28" spans="1:3" ht="31.2">
      <c r="A28" s="51">
        <v>21</v>
      </c>
      <c r="B28" s="52" t="s">
        <v>58</v>
      </c>
      <c r="C28" s="54" t="s">
        <v>136</v>
      </c>
    </row>
    <row r="29" spans="1:3" ht="31.2">
      <c r="A29" s="51">
        <v>22</v>
      </c>
      <c r="B29" s="52" t="s">
        <v>59</v>
      </c>
      <c r="C29" s="54" t="s">
        <v>137</v>
      </c>
    </row>
    <row r="30" spans="1:3" ht="31.2">
      <c r="A30" s="51">
        <v>23</v>
      </c>
      <c r="B30" s="52" t="s">
        <v>60</v>
      </c>
      <c r="C30" s="54" t="s">
        <v>138</v>
      </c>
    </row>
    <row r="31" spans="1:3">
      <c r="A31" s="51">
        <v>24</v>
      </c>
      <c r="B31" s="52" t="s">
        <v>61</v>
      </c>
      <c r="C31" s="54" t="s">
        <v>118</v>
      </c>
    </row>
    <row r="32" spans="1:3" ht="31.2">
      <c r="A32" s="51">
        <v>25</v>
      </c>
      <c r="B32" s="52" t="s">
        <v>62</v>
      </c>
      <c r="C32" s="54" t="s">
        <v>139</v>
      </c>
    </row>
    <row r="33" spans="1:3" ht="31.2">
      <c r="A33" s="51">
        <v>26</v>
      </c>
      <c r="B33" s="52" t="s">
        <v>63</v>
      </c>
      <c r="C33" s="54" t="s">
        <v>118</v>
      </c>
    </row>
    <row r="34" spans="1:3" ht="31.2">
      <c r="A34" s="51">
        <v>27</v>
      </c>
      <c r="B34" s="52" t="s">
        <v>64</v>
      </c>
      <c r="C34" s="54" t="s">
        <v>122</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17"/>
  <sheetViews>
    <sheetView workbookViewId="0">
      <selection activeCell="B18" sqref="B18"/>
    </sheetView>
  </sheetViews>
  <sheetFormatPr defaultRowHeight="14.4"/>
  <cols>
    <col min="1" max="1" width="4.5546875" customWidth="1"/>
    <col min="2" max="2" width="12.21875" customWidth="1"/>
    <col min="3" max="3" width="15.21875" style="8" customWidth="1"/>
    <col min="4" max="4" width="16.77734375" style="9" customWidth="1"/>
    <col min="5" max="5" width="9.44140625" customWidth="1"/>
    <col min="6" max="6" width="0.77734375" hidden="1" customWidth="1"/>
    <col min="7" max="7" width="9.77734375" bestFit="1" customWidth="1"/>
    <col min="8" max="9" width="5.21875" customWidth="1"/>
    <col min="10" max="10" width="9.21875" customWidth="1"/>
    <col min="11" max="11" width="5.44140625" customWidth="1"/>
    <col min="12" max="12" width="12.5546875" customWidth="1"/>
  </cols>
  <sheetData>
    <row r="1" spans="1:12" ht="15.6" customHeight="1">
      <c r="A1" s="103" t="s">
        <v>0</v>
      </c>
      <c r="B1" s="103"/>
      <c r="C1" s="103"/>
      <c r="D1" s="103"/>
      <c r="E1" s="103"/>
      <c r="F1" s="103"/>
      <c r="G1" s="103"/>
      <c r="H1" s="103"/>
      <c r="I1" s="103"/>
      <c r="J1" s="103"/>
      <c r="K1" s="103"/>
      <c r="L1" s="103"/>
    </row>
    <row r="2" spans="1:12" ht="15.6" customHeight="1">
      <c r="A2" s="103" t="s">
        <v>1</v>
      </c>
      <c r="B2" s="103"/>
      <c r="C2" s="103"/>
      <c r="D2" s="103"/>
      <c r="E2" s="103"/>
      <c r="F2" s="103"/>
      <c r="G2" s="103"/>
      <c r="H2" s="103"/>
      <c r="I2" s="103"/>
      <c r="J2" s="103"/>
      <c r="K2" s="103"/>
      <c r="L2" s="103"/>
    </row>
    <row r="3" spans="1:12" ht="15.6" customHeight="1">
      <c r="A3" s="103" t="s">
        <v>2</v>
      </c>
      <c r="B3" s="103"/>
      <c r="C3" s="103"/>
      <c r="D3" s="103"/>
      <c r="E3" s="103"/>
      <c r="F3" s="103"/>
      <c r="G3" s="103"/>
      <c r="H3" s="103"/>
      <c r="I3" s="103"/>
      <c r="J3" s="103"/>
      <c r="K3" s="103"/>
      <c r="L3" s="103"/>
    </row>
    <row r="4" spans="1:12" ht="15.6" customHeight="1" thickBot="1">
      <c r="A4" s="104"/>
      <c r="B4" s="104"/>
      <c r="C4" s="104"/>
      <c r="D4" s="104"/>
      <c r="E4" s="104"/>
      <c r="F4" s="104"/>
      <c r="G4" s="104"/>
      <c r="H4" s="104"/>
      <c r="I4" s="104"/>
      <c r="J4" s="104"/>
      <c r="K4" s="104"/>
      <c r="L4" s="104"/>
    </row>
    <row r="5" spans="1:12" ht="15.6" customHeight="1">
      <c r="A5" s="105" t="s">
        <v>3</v>
      </c>
      <c r="B5" s="106"/>
      <c r="C5" s="97" t="str">
        <f>'Form II'!C10</f>
        <v>XII-21</v>
      </c>
      <c r="D5" s="98"/>
      <c r="E5" s="96" t="s">
        <v>110</v>
      </c>
      <c r="F5" s="97"/>
      <c r="G5" s="97"/>
      <c r="H5" s="97"/>
      <c r="I5" s="98"/>
      <c r="J5" s="13" t="s">
        <v>4</v>
      </c>
      <c r="K5" s="106"/>
      <c r="L5" s="107"/>
    </row>
    <row r="6" spans="1:12" ht="15.6" customHeight="1">
      <c r="A6" s="83" t="s">
        <v>5</v>
      </c>
      <c r="B6" s="84"/>
      <c r="C6" s="85" t="str">
        <f>'Form 1'!C6</f>
        <v>Subramanya</v>
      </c>
      <c r="D6" s="86"/>
      <c r="E6" s="34" t="s">
        <v>102</v>
      </c>
      <c r="F6" s="33"/>
      <c r="G6" s="85" t="str">
        <f>'Form 1'!C3</f>
        <v>Mangalore</v>
      </c>
      <c r="H6" s="85"/>
      <c r="I6" s="86"/>
      <c r="J6" s="14" t="s">
        <v>6</v>
      </c>
      <c r="K6" s="85" t="str">
        <f>'Form II'!C14</f>
        <v>266 m</v>
      </c>
      <c r="L6" s="108"/>
    </row>
    <row r="7" spans="1:12" ht="15.6" customHeight="1" thickBot="1">
      <c r="A7" s="99" t="s">
        <v>7</v>
      </c>
      <c r="B7" s="100"/>
      <c r="C7" s="101" t="str">
        <f>'Form 1'!C10</f>
        <v>12.578441°</v>
      </c>
      <c r="D7" s="102"/>
      <c r="E7" s="15" t="s">
        <v>8</v>
      </c>
      <c r="F7" s="12"/>
      <c r="G7" s="101" t="str">
        <f>'Form 1'!C11</f>
        <v>75.554162°</v>
      </c>
      <c r="H7" s="101"/>
      <c r="I7" s="102"/>
      <c r="J7" s="15" t="s">
        <v>9</v>
      </c>
      <c r="K7" s="101">
        <f>'Form 1'!C9</f>
        <v>705</v>
      </c>
      <c r="L7" s="109"/>
    </row>
    <row r="8" spans="1:12" ht="15.6" customHeight="1" thickBot="1">
      <c r="A8" s="1"/>
      <c r="B8" s="1"/>
      <c r="C8" s="5"/>
      <c r="D8" s="6"/>
      <c r="E8" s="2"/>
      <c r="F8" s="2"/>
      <c r="G8" s="2"/>
      <c r="H8" s="2"/>
      <c r="I8" s="2"/>
      <c r="J8" s="2"/>
      <c r="K8" s="2"/>
      <c r="L8" s="2"/>
    </row>
    <row r="9" spans="1:12" ht="18.600000000000001" customHeight="1">
      <c r="A9" s="79" t="s">
        <v>10</v>
      </c>
      <c r="B9" s="87" t="s">
        <v>11</v>
      </c>
      <c r="C9" s="88"/>
      <c r="D9" s="81" t="s">
        <v>12</v>
      </c>
      <c r="E9" s="81" t="s">
        <v>13</v>
      </c>
      <c r="F9" s="16" t="s">
        <v>14</v>
      </c>
      <c r="G9" s="81" t="s">
        <v>20</v>
      </c>
      <c r="H9" s="93" t="s">
        <v>15</v>
      </c>
      <c r="I9" s="94"/>
      <c r="J9" s="94"/>
      <c r="K9" s="95"/>
      <c r="L9" s="77" t="s">
        <v>16</v>
      </c>
    </row>
    <row r="10" spans="1:12" ht="57" customHeight="1">
      <c r="A10" s="80"/>
      <c r="B10" s="89"/>
      <c r="C10" s="90"/>
      <c r="D10" s="82"/>
      <c r="E10" s="82"/>
      <c r="F10" s="17" t="s">
        <v>17</v>
      </c>
      <c r="G10" s="82"/>
      <c r="H10" s="91" t="s">
        <v>18</v>
      </c>
      <c r="I10" s="92"/>
      <c r="J10" s="91" t="s">
        <v>19</v>
      </c>
      <c r="K10" s="92"/>
      <c r="L10" s="78"/>
    </row>
    <row r="11" spans="1:12" ht="15.6" customHeight="1">
      <c r="A11" s="10">
        <v>1</v>
      </c>
      <c r="B11" s="69" t="s">
        <v>159</v>
      </c>
      <c r="C11" s="70"/>
      <c r="D11" s="3" t="s">
        <v>140</v>
      </c>
      <c r="E11" s="37">
        <v>35</v>
      </c>
      <c r="F11" s="37"/>
      <c r="G11" s="37">
        <v>6</v>
      </c>
      <c r="H11" s="73"/>
      <c r="I11" s="74"/>
      <c r="J11" s="71"/>
      <c r="K11" s="72"/>
      <c r="L11" s="11"/>
    </row>
    <row r="12" spans="1:12" ht="15.6" customHeight="1">
      <c r="A12" s="10">
        <v>2</v>
      </c>
      <c r="B12" s="69" t="s">
        <v>159</v>
      </c>
      <c r="C12" s="70"/>
      <c r="D12" s="4" t="s">
        <v>140</v>
      </c>
      <c r="E12" s="37">
        <v>162</v>
      </c>
      <c r="F12" s="37"/>
      <c r="G12" s="37">
        <v>12</v>
      </c>
      <c r="H12" s="73"/>
      <c r="I12" s="74"/>
      <c r="J12" s="71"/>
      <c r="K12" s="72"/>
      <c r="L12" s="11"/>
    </row>
    <row r="13" spans="1:12" ht="15.6" customHeight="1">
      <c r="A13" s="10">
        <v>3</v>
      </c>
      <c r="B13" s="69" t="s">
        <v>160</v>
      </c>
      <c r="C13" s="70"/>
      <c r="D13" s="3" t="s">
        <v>141</v>
      </c>
      <c r="E13" s="37">
        <v>66</v>
      </c>
      <c r="F13" s="37"/>
      <c r="G13" s="37">
        <v>12</v>
      </c>
      <c r="H13" s="73"/>
      <c r="I13" s="74"/>
      <c r="J13" s="71"/>
      <c r="K13" s="72"/>
      <c r="L13" s="11"/>
    </row>
    <row r="14" spans="1:12" ht="15.6" customHeight="1">
      <c r="A14" s="10">
        <v>4</v>
      </c>
      <c r="B14" s="69" t="s">
        <v>161</v>
      </c>
      <c r="C14" s="70"/>
      <c r="D14" s="3" t="s">
        <v>142</v>
      </c>
      <c r="E14" s="37">
        <v>95</v>
      </c>
      <c r="F14" s="37"/>
      <c r="G14" s="37">
        <v>10</v>
      </c>
      <c r="H14" s="73"/>
      <c r="I14" s="74"/>
      <c r="J14" s="71"/>
      <c r="K14" s="72"/>
      <c r="L14" s="11"/>
    </row>
    <row r="15" spans="1:12" ht="15.6" customHeight="1">
      <c r="A15" s="10">
        <v>5</v>
      </c>
      <c r="B15" s="69" t="s">
        <v>162</v>
      </c>
      <c r="C15" s="70"/>
      <c r="D15" s="7" t="s">
        <v>143</v>
      </c>
      <c r="E15" s="38">
        <v>44</v>
      </c>
      <c r="F15" s="37"/>
      <c r="G15" s="37">
        <v>8</v>
      </c>
      <c r="H15" s="73"/>
      <c r="I15" s="74"/>
      <c r="J15" s="71"/>
      <c r="K15" s="72"/>
      <c r="L15" s="11"/>
    </row>
    <row r="16" spans="1:12" ht="15.6" customHeight="1">
      <c r="A16" s="10">
        <v>6</v>
      </c>
      <c r="B16" s="69" t="s">
        <v>159</v>
      </c>
      <c r="C16" s="70"/>
      <c r="D16" s="4" t="s">
        <v>140</v>
      </c>
      <c r="E16" s="37">
        <v>110</v>
      </c>
      <c r="F16" s="38"/>
      <c r="G16" s="38">
        <v>13</v>
      </c>
      <c r="H16" s="75"/>
      <c r="I16" s="76"/>
      <c r="J16" s="71"/>
      <c r="K16" s="72"/>
      <c r="L16" s="11"/>
    </row>
    <row r="17" spans="1:12" ht="15.75" customHeight="1">
      <c r="A17" s="10">
        <v>7</v>
      </c>
      <c r="B17" s="69" t="s">
        <v>144</v>
      </c>
      <c r="C17" s="70"/>
      <c r="D17" s="7" t="s">
        <v>144</v>
      </c>
      <c r="E17" s="37">
        <v>61</v>
      </c>
      <c r="F17" s="38"/>
      <c r="G17" s="38">
        <v>9</v>
      </c>
      <c r="H17" s="75"/>
      <c r="I17" s="76"/>
      <c r="J17" s="71"/>
      <c r="K17" s="72"/>
      <c r="L17" s="11"/>
    </row>
  </sheetData>
  <mergeCells count="46">
    <mergeCell ref="B11:C11"/>
    <mergeCell ref="B12:C12"/>
    <mergeCell ref="B13:C13"/>
    <mergeCell ref="B14:C14"/>
    <mergeCell ref="B15:C15"/>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A6:B6"/>
    <mergeCell ref="G6:I6"/>
    <mergeCell ref="E9:E10"/>
    <mergeCell ref="G9:G10"/>
    <mergeCell ref="B9:C10"/>
    <mergeCell ref="H10:I10"/>
    <mergeCell ref="J10:K10"/>
    <mergeCell ref="H9:K9"/>
    <mergeCell ref="B16:C16"/>
    <mergeCell ref="B17:C17"/>
    <mergeCell ref="J16:K16"/>
    <mergeCell ref="J17:K17"/>
    <mergeCell ref="J11:K11"/>
    <mergeCell ref="J12:K12"/>
    <mergeCell ref="J13:K13"/>
    <mergeCell ref="J14:K14"/>
    <mergeCell ref="J15:K15"/>
    <mergeCell ref="H14:I14"/>
    <mergeCell ref="H15:I15"/>
    <mergeCell ref="H11:I11"/>
    <mergeCell ref="H12:I12"/>
    <mergeCell ref="H13:I13"/>
    <mergeCell ref="H16:I16"/>
    <mergeCell ref="H17:I17"/>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5" sqref="D15"/>
    </sheetView>
  </sheetViews>
  <sheetFormatPr defaultRowHeight="14.4"/>
  <cols>
    <col min="1" max="1" width="6" customWidth="1"/>
    <col min="2" max="2" width="8.21875" customWidth="1"/>
    <col min="3" max="3" width="6.77734375" customWidth="1"/>
    <col min="4" max="4" width="7.77734375" customWidth="1"/>
    <col min="5" max="13" width="4.21875" customWidth="1"/>
    <col min="15" max="15" width="7.21875" bestFit="1" customWidth="1"/>
    <col min="17" max="17" width="11.77734375" customWidth="1"/>
  </cols>
  <sheetData>
    <row r="1" spans="1:17" ht="21">
      <c r="A1" s="122" t="s">
        <v>65</v>
      </c>
      <c r="B1" s="122"/>
      <c r="C1" s="122"/>
      <c r="D1" s="122"/>
      <c r="E1" s="122"/>
      <c r="F1" s="122"/>
      <c r="G1" s="122"/>
      <c r="H1" s="122"/>
      <c r="I1" s="122"/>
      <c r="J1" s="122"/>
      <c r="K1" s="122"/>
      <c r="L1" s="122"/>
      <c r="M1" s="122"/>
      <c r="N1" s="122"/>
      <c r="O1" s="122"/>
      <c r="P1" s="122"/>
      <c r="Q1" s="122"/>
    </row>
    <row r="2" spans="1:17" ht="21">
      <c r="A2" s="122" t="s">
        <v>66</v>
      </c>
      <c r="B2" s="122"/>
      <c r="C2" s="122"/>
      <c r="D2" s="122"/>
      <c r="E2" s="122"/>
      <c r="F2" s="122"/>
      <c r="G2" s="122"/>
      <c r="H2" s="122"/>
      <c r="I2" s="122"/>
      <c r="J2" s="122"/>
      <c r="K2" s="122"/>
      <c r="L2" s="122"/>
      <c r="M2" s="122"/>
      <c r="N2" s="122"/>
      <c r="O2" s="122"/>
      <c r="P2" s="122"/>
      <c r="Q2" s="122"/>
    </row>
    <row r="3" spans="1:17">
      <c r="A3" s="19"/>
    </row>
    <row r="4" spans="1:17" ht="15" thickBot="1">
      <c r="A4" s="19"/>
    </row>
    <row r="5" spans="1:17" ht="16.2" thickBot="1">
      <c r="A5" s="116" t="s">
        <v>10</v>
      </c>
      <c r="B5" s="116" t="s">
        <v>11</v>
      </c>
      <c r="C5" s="116" t="s">
        <v>177</v>
      </c>
      <c r="D5" s="116" t="s">
        <v>67</v>
      </c>
      <c r="E5" s="124" t="s">
        <v>68</v>
      </c>
      <c r="F5" s="125"/>
      <c r="G5" s="125"/>
      <c r="H5" s="125"/>
      <c r="I5" s="125"/>
      <c r="J5" s="125"/>
      <c r="K5" s="125"/>
      <c r="L5" s="125"/>
      <c r="M5" s="126"/>
      <c r="N5" s="116" t="s">
        <v>69</v>
      </c>
      <c r="O5" s="124" t="s">
        <v>70</v>
      </c>
      <c r="P5" s="126"/>
      <c r="Q5" s="116" t="s">
        <v>71</v>
      </c>
    </row>
    <row r="6" spans="1:17" ht="15.6">
      <c r="A6" s="117"/>
      <c r="B6" s="117"/>
      <c r="C6" s="117"/>
      <c r="D6" s="117"/>
      <c r="E6" s="113" t="s">
        <v>72</v>
      </c>
      <c r="F6" s="114"/>
      <c r="G6" s="115"/>
      <c r="H6" s="113" t="s">
        <v>73</v>
      </c>
      <c r="I6" s="114"/>
      <c r="J6" s="115"/>
      <c r="K6" s="113" t="s">
        <v>74</v>
      </c>
      <c r="L6" s="114"/>
      <c r="M6" s="115"/>
      <c r="N6" s="117"/>
      <c r="O6" s="116" t="s">
        <v>75</v>
      </c>
      <c r="P6" s="116" t="s">
        <v>76</v>
      </c>
      <c r="Q6" s="117"/>
    </row>
    <row r="7" spans="1:17" ht="16.2" thickBot="1">
      <c r="A7" s="117"/>
      <c r="B7" s="117"/>
      <c r="C7" s="123"/>
      <c r="D7" s="117"/>
      <c r="E7" s="119" t="s">
        <v>77</v>
      </c>
      <c r="F7" s="120"/>
      <c r="G7" s="121"/>
      <c r="H7" s="119" t="s">
        <v>78</v>
      </c>
      <c r="I7" s="120"/>
      <c r="J7" s="121"/>
      <c r="K7" s="119" t="s">
        <v>77</v>
      </c>
      <c r="L7" s="120"/>
      <c r="M7" s="121"/>
      <c r="N7" s="117"/>
      <c r="O7" s="117"/>
      <c r="P7" s="117"/>
      <c r="Q7" s="117"/>
    </row>
    <row r="8" spans="1:17" ht="16.2" thickBot="1">
      <c r="A8" s="118"/>
      <c r="B8" s="118"/>
      <c r="C8" s="118"/>
      <c r="D8" s="118"/>
      <c r="E8" s="20" t="s">
        <v>79</v>
      </c>
      <c r="F8" s="20" t="s">
        <v>80</v>
      </c>
      <c r="G8" s="20" t="s">
        <v>81</v>
      </c>
      <c r="H8" s="20" t="s">
        <v>79</v>
      </c>
      <c r="I8" s="20" t="s">
        <v>80</v>
      </c>
      <c r="J8" s="20" t="s">
        <v>81</v>
      </c>
      <c r="K8" s="20" t="s">
        <v>79</v>
      </c>
      <c r="L8" s="20" t="s">
        <v>80</v>
      </c>
      <c r="M8" s="20" t="s">
        <v>81</v>
      </c>
      <c r="N8" s="118"/>
      <c r="O8" s="118"/>
      <c r="P8" s="118"/>
      <c r="Q8" s="118"/>
    </row>
    <row r="9" spans="1:17" ht="24.6" customHeight="1" thickBot="1">
      <c r="A9" s="110" t="s">
        <v>82</v>
      </c>
      <c r="B9" s="111"/>
      <c r="C9" s="111"/>
      <c r="D9" s="111"/>
      <c r="E9" s="111"/>
      <c r="F9" s="111"/>
      <c r="G9" s="111"/>
      <c r="H9" s="111"/>
      <c r="I9" s="111"/>
      <c r="J9" s="111"/>
      <c r="K9" s="111"/>
      <c r="L9" s="111"/>
      <c r="M9" s="111"/>
      <c r="N9" s="111"/>
      <c r="O9" s="111"/>
      <c r="P9" s="111"/>
      <c r="Q9" s="112"/>
    </row>
  </sheetData>
  <mergeCells count="19">
    <mergeCell ref="A1:Q1"/>
    <mergeCell ref="A2:Q2"/>
    <mergeCell ref="A5:A8"/>
    <mergeCell ref="B5:B8"/>
    <mergeCell ref="C5:C8"/>
    <mergeCell ref="D5:D8"/>
    <mergeCell ref="E5:M5"/>
    <mergeCell ref="N5:N8"/>
    <mergeCell ref="O5:P5"/>
    <mergeCell ref="Q5:Q8"/>
    <mergeCell ref="A9:Q9"/>
    <mergeCell ref="E6:G6"/>
    <mergeCell ref="H6:J6"/>
    <mergeCell ref="K6:M6"/>
    <mergeCell ref="O6:O8"/>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7"/>
  <sheetViews>
    <sheetView workbookViewId="0">
      <selection activeCell="B21" sqref="B21"/>
    </sheetView>
  </sheetViews>
  <sheetFormatPr defaultRowHeight="14.4"/>
  <cols>
    <col min="1" max="1" width="5.21875" customWidth="1"/>
    <col min="2" max="2" width="26.44140625" customWidth="1"/>
    <col min="3" max="3" width="11.77734375" bestFit="1" customWidth="1"/>
    <col min="4" max="5" width="8.21875" customWidth="1"/>
    <col min="6" max="6" width="8.21875" bestFit="1" customWidth="1"/>
    <col min="9" max="9" width="15" customWidth="1"/>
    <col min="12" max="12" width="10.21875" bestFit="1" customWidth="1"/>
  </cols>
  <sheetData>
    <row r="1" spans="1:9" ht="21">
      <c r="A1" s="122" t="s">
        <v>83</v>
      </c>
      <c r="B1" s="122"/>
      <c r="C1" s="122"/>
      <c r="D1" s="122"/>
      <c r="E1" s="122"/>
      <c r="F1" s="122"/>
      <c r="G1" s="122"/>
      <c r="H1" s="122"/>
      <c r="I1" s="122"/>
    </row>
    <row r="2" spans="1:9">
      <c r="A2" s="131"/>
      <c r="B2" s="131"/>
      <c r="H2" t="s">
        <v>84</v>
      </c>
      <c r="I2" s="9">
        <f>'Form 1'!C9</f>
        <v>705</v>
      </c>
    </row>
    <row r="3" spans="1:9" ht="24" customHeight="1">
      <c r="A3" s="128" t="s">
        <v>10</v>
      </c>
      <c r="B3" s="128" t="s">
        <v>11</v>
      </c>
      <c r="C3" s="128" t="s">
        <v>12</v>
      </c>
      <c r="D3" s="128" t="s">
        <v>85</v>
      </c>
      <c r="E3" s="128" t="s">
        <v>109</v>
      </c>
      <c r="F3" s="128" t="s">
        <v>86</v>
      </c>
      <c r="G3" s="91" t="s">
        <v>15</v>
      </c>
      <c r="H3" s="92"/>
      <c r="I3" s="128" t="s">
        <v>87</v>
      </c>
    </row>
    <row r="4" spans="1:9" ht="62.4">
      <c r="A4" s="129"/>
      <c r="B4" s="129"/>
      <c r="C4" s="129"/>
      <c r="D4" s="129"/>
      <c r="E4" s="129"/>
      <c r="F4" s="129"/>
      <c r="G4" s="18" t="s">
        <v>88</v>
      </c>
      <c r="H4" s="18" t="s">
        <v>19</v>
      </c>
      <c r="I4" s="129"/>
    </row>
    <row r="5" spans="1:9" ht="15.6" customHeight="1">
      <c r="A5" s="21">
        <v>1</v>
      </c>
      <c r="B5" s="42" t="s">
        <v>163</v>
      </c>
      <c r="C5" s="4" t="s">
        <v>145</v>
      </c>
      <c r="D5" s="4"/>
      <c r="E5" s="4">
        <v>28.2</v>
      </c>
      <c r="F5" s="38">
        <v>1</v>
      </c>
      <c r="G5" s="21"/>
      <c r="H5" s="21"/>
      <c r="I5" s="21"/>
    </row>
    <row r="6" spans="1:9" ht="15.6">
      <c r="A6" s="22"/>
      <c r="B6" s="23"/>
      <c r="C6" s="24"/>
      <c r="D6" s="25"/>
      <c r="E6" s="25"/>
      <c r="F6" s="25"/>
      <c r="G6" s="22"/>
      <c r="H6" s="22"/>
      <c r="I6" s="22"/>
    </row>
    <row r="7" spans="1:9" ht="21">
      <c r="A7" s="122" t="s">
        <v>89</v>
      </c>
      <c r="B7" s="122"/>
      <c r="C7" s="122"/>
      <c r="D7" s="122"/>
      <c r="E7" s="122"/>
      <c r="F7" s="122"/>
      <c r="G7" s="122"/>
      <c r="H7" s="122"/>
      <c r="I7" s="122"/>
    </row>
    <row r="8" spans="1:9" ht="15.6">
      <c r="A8" s="130"/>
      <c r="B8" s="130"/>
      <c r="H8" t="s">
        <v>84</v>
      </c>
      <c r="I8" s="9">
        <f>'Form 1'!C9</f>
        <v>705</v>
      </c>
    </row>
    <row r="9" spans="1:9" ht="15.75" customHeight="1">
      <c r="A9" s="82" t="s">
        <v>10</v>
      </c>
      <c r="B9" s="82" t="s">
        <v>11</v>
      </c>
      <c r="C9" s="82" t="s">
        <v>12</v>
      </c>
      <c r="D9" s="82" t="s">
        <v>85</v>
      </c>
      <c r="E9" s="128" t="s">
        <v>109</v>
      </c>
      <c r="F9" s="82" t="s">
        <v>86</v>
      </c>
      <c r="G9" s="82" t="s">
        <v>15</v>
      </c>
      <c r="H9" s="82"/>
      <c r="I9" s="128" t="s">
        <v>87</v>
      </c>
    </row>
    <row r="10" spans="1:9" ht="62.4">
      <c r="A10" s="82"/>
      <c r="B10" s="82"/>
      <c r="C10" s="82"/>
      <c r="D10" s="82"/>
      <c r="E10" s="129"/>
      <c r="F10" s="82"/>
      <c r="G10" s="18" t="s">
        <v>88</v>
      </c>
      <c r="H10" s="18" t="s">
        <v>19</v>
      </c>
      <c r="I10" s="129"/>
    </row>
    <row r="11" spans="1:9" ht="15.6">
      <c r="A11" s="21">
        <v>1</v>
      </c>
      <c r="B11" s="42" t="s">
        <v>163</v>
      </c>
      <c r="C11" s="3" t="s">
        <v>145</v>
      </c>
      <c r="D11" s="37"/>
      <c r="E11" s="39">
        <v>28.6</v>
      </c>
      <c r="F11" s="37">
        <v>2</v>
      </c>
      <c r="G11" s="21"/>
      <c r="H11" s="21"/>
      <c r="I11" s="26"/>
    </row>
    <row r="12" spans="1:9" ht="15.6">
      <c r="A12" s="21">
        <v>2</v>
      </c>
      <c r="B12" s="42" t="s">
        <v>163</v>
      </c>
      <c r="C12" s="3" t="s">
        <v>145</v>
      </c>
      <c r="D12" s="37"/>
      <c r="E12" s="39">
        <v>30.9</v>
      </c>
      <c r="F12" s="37">
        <v>2</v>
      </c>
      <c r="G12" s="21"/>
      <c r="H12" s="21"/>
      <c r="I12" s="26"/>
    </row>
    <row r="13" spans="1:9" ht="15.6">
      <c r="A13" s="21">
        <v>3</v>
      </c>
      <c r="B13" s="42" t="s">
        <v>159</v>
      </c>
      <c r="C13" s="3" t="s">
        <v>140</v>
      </c>
      <c r="D13" s="37"/>
      <c r="E13" s="39">
        <v>31.4</v>
      </c>
      <c r="F13" s="37">
        <v>2</v>
      </c>
      <c r="G13" s="21"/>
      <c r="H13" s="21"/>
      <c r="I13" s="26"/>
    </row>
    <row r="15" spans="1:9" ht="21">
      <c r="A15" s="122" t="s">
        <v>90</v>
      </c>
      <c r="B15" s="122"/>
      <c r="C15" s="122"/>
      <c r="D15" s="122"/>
      <c r="E15" s="122"/>
      <c r="F15" s="122"/>
      <c r="G15" s="122"/>
      <c r="H15" s="122"/>
      <c r="I15" s="122"/>
    </row>
    <row r="16" spans="1:9" ht="15.6">
      <c r="A16" s="130"/>
      <c r="B16" s="130"/>
      <c r="H16" s="9" t="s">
        <v>84</v>
      </c>
      <c r="I16" s="9">
        <f>'Form 1'!C9</f>
        <v>705</v>
      </c>
    </row>
    <row r="17" spans="1:9" ht="15.75" customHeight="1">
      <c r="A17" s="82" t="s">
        <v>10</v>
      </c>
      <c r="B17" s="82" t="s">
        <v>11</v>
      </c>
      <c r="C17" s="82" t="s">
        <v>12</v>
      </c>
      <c r="D17" s="82" t="s">
        <v>85</v>
      </c>
      <c r="E17" s="128" t="s">
        <v>109</v>
      </c>
      <c r="F17" s="82" t="s">
        <v>86</v>
      </c>
      <c r="G17" s="82" t="s">
        <v>15</v>
      </c>
      <c r="H17" s="82"/>
      <c r="I17" s="128" t="s">
        <v>87</v>
      </c>
    </row>
    <row r="18" spans="1:9" ht="62.4">
      <c r="A18" s="82"/>
      <c r="B18" s="82"/>
      <c r="C18" s="82"/>
      <c r="D18" s="82"/>
      <c r="E18" s="129"/>
      <c r="F18" s="82"/>
      <c r="G18" s="18" t="s">
        <v>88</v>
      </c>
      <c r="H18" s="18" t="s">
        <v>19</v>
      </c>
      <c r="I18" s="129"/>
    </row>
    <row r="19" spans="1:9" ht="15.6" customHeight="1">
      <c r="A19" s="21">
        <v>1</v>
      </c>
      <c r="B19" s="42" t="s">
        <v>163</v>
      </c>
      <c r="C19" s="3" t="s">
        <v>145</v>
      </c>
      <c r="D19" s="37"/>
      <c r="E19" s="3">
        <v>28.6</v>
      </c>
      <c r="F19" s="37">
        <v>2</v>
      </c>
      <c r="G19" s="21"/>
      <c r="H19" s="21"/>
      <c r="I19" s="21"/>
    </row>
    <row r="20" spans="1:9" ht="15.6" customHeight="1">
      <c r="A20" s="21">
        <v>2</v>
      </c>
      <c r="B20" s="42" t="s">
        <v>163</v>
      </c>
      <c r="C20" s="3" t="s">
        <v>145</v>
      </c>
      <c r="D20" s="37"/>
      <c r="E20" s="3">
        <v>44.7</v>
      </c>
      <c r="F20" s="37">
        <v>3</v>
      </c>
      <c r="G20" s="21"/>
      <c r="H20" s="21"/>
      <c r="I20" s="21"/>
    </row>
    <row r="21" spans="1:9" ht="15.6" customHeight="1">
      <c r="A21" s="21">
        <v>3</v>
      </c>
      <c r="B21" s="42" t="s">
        <v>163</v>
      </c>
      <c r="C21" s="3" t="s">
        <v>145</v>
      </c>
      <c r="D21" s="37"/>
      <c r="E21" s="3">
        <v>21.9</v>
      </c>
      <c r="F21" s="37">
        <v>2</v>
      </c>
      <c r="G21" s="21"/>
      <c r="H21" s="21"/>
      <c r="I21" s="21"/>
    </row>
    <row r="22" spans="1:9" ht="15.6">
      <c r="D22" s="25"/>
      <c r="F22" s="27"/>
    </row>
    <row r="23" spans="1:9" ht="21">
      <c r="A23" s="122" t="s">
        <v>91</v>
      </c>
      <c r="B23" s="122"/>
      <c r="C23" s="122"/>
      <c r="D23" s="122"/>
      <c r="E23" s="122"/>
      <c r="F23" s="122"/>
      <c r="G23" s="122"/>
      <c r="H23" s="122"/>
      <c r="I23" s="122"/>
    </row>
    <row r="24" spans="1:9">
      <c r="A24" s="127"/>
      <c r="B24" s="127"/>
      <c r="H24" t="s">
        <v>84</v>
      </c>
      <c r="I24" s="9">
        <f>'Form 1'!C9</f>
        <v>705</v>
      </c>
    </row>
    <row r="25" spans="1:9" ht="15.75" customHeight="1">
      <c r="A25" s="82" t="s">
        <v>10</v>
      </c>
      <c r="B25" s="82" t="s">
        <v>11</v>
      </c>
      <c r="C25" s="82" t="s">
        <v>12</v>
      </c>
      <c r="D25" s="82" t="s">
        <v>85</v>
      </c>
      <c r="E25" s="128" t="s">
        <v>109</v>
      </c>
      <c r="F25" s="82" t="s">
        <v>86</v>
      </c>
      <c r="G25" s="82" t="s">
        <v>15</v>
      </c>
      <c r="H25" s="82"/>
      <c r="I25" s="82" t="s">
        <v>87</v>
      </c>
    </row>
    <row r="26" spans="1:9" ht="62.4">
      <c r="A26" s="82"/>
      <c r="B26" s="82"/>
      <c r="C26" s="82"/>
      <c r="D26" s="82"/>
      <c r="E26" s="129"/>
      <c r="F26" s="82"/>
      <c r="G26" s="35" t="s">
        <v>88</v>
      </c>
      <c r="H26" s="35" t="s">
        <v>19</v>
      </c>
      <c r="I26" s="82"/>
    </row>
    <row r="27" spans="1:9" ht="17.25" customHeight="1">
      <c r="A27" s="21">
        <v>1</v>
      </c>
      <c r="B27" s="42" t="s">
        <v>159</v>
      </c>
      <c r="C27" s="3" t="s">
        <v>140</v>
      </c>
      <c r="D27" s="40"/>
      <c r="E27" s="41">
        <v>35.700000000000003</v>
      </c>
      <c r="F27" s="40">
        <v>2</v>
      </c>
      <c r="G27" s="21"/>
      <c r="H27" s="21"/>
      <c r="I27" s="21"/>
    </row>
  </sheetData>
  <mergeCells count="40">
    <mergeCell ref="A1:I1"/>
    <mergeCell ref="A2:B2"/>
    <mergeCell ref="A3:A4"/>
    <mergeCell ref="B3:B4"/>
    <mergeCell ref="C3:C4"/>
    <mergeCell ref="D3:D4"/>
    <mergeCell ref="E3:E4"/>
    <mergeCell ref="F3:F4"/>
    <mergeCell ref="G3:H3"/>
    <mergeCell ref="I3:I4"/>
    <mergeCell ref="A7:I7"/>
    <mergeCell ref="A8:B8"/>
    <mergeCell ref="A9:A10"/>
    <mergeCell ref="B9:B10"/>
    <mergeCell ref="C9:C10"/>
    <mergeCell ref="D9:D10"/>
    <mergeCell ref="E9:E10"/>
    <mergeCell ref="F9:F10"/>
    <mergeCell ref="G9:H9"/>
    <mergeCell ref="I9:I10"/>
    <mergeCell ref="A15:I15"/>
    <mergeCell ref="A16:B16"/>
    <mergeCell ref="A17:A18"/>
    <mergeCell ref="B17:B18"/>
    <mergeCell ref="C17:C18"/>
    <mergeCell ref="D17:D18"/>
    <mergeCell ref="E17:E18"/>
    <mergeCell ref="F17:F18"/>
    <mergeCell ref="G17:H17"/>
    <mergeCell ref="I17:I18"/>
    <mergeCell ref="A23:I23"/>
    <mergeCell ref="A24:B24"/>
    <mergeCell ref="A25:A26"/>
    <mergeCell ref="B25:B26"/>
    <mergeCell ref="C25:C26"/>
    <mergeCell ref="D25:D26"/>
    <mergeCell ref="E25:E26"/>
    <mergeCell ref="F25:F26"/>
    <mergeCell ref="G25:H25"/>
    <mergeCell ref="I25:I26"/>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dimension ref="A1:L32"/>
  <sheetViews>
    <sheetView workbookViewId="0">
      <selection activeCell="B24" sqref="B24"/>
    </sheetView>
  </sheetViews>
  <sheetFormatPr defaultRowHeight="14.4"/>
  <cols>
    <col min="1" max="1" width="5.21875" customWidth="1"/>
    <col min="2" max="2" width="23.44140625" customWidth="1"/>
    <col min="3" max="3" width="12.77734375" customWidth="1"/>
    <col min="5" max="5" width="11.5546875" customWidth="1"/>
    <col min="6" max="6" width="11.21875" customWidth="1"/>
    <col min="7" max="7" width="17.21875" customWidth="1"/>
    <col min="12" max="12" width="18.77734375" customWidth="1"/>
  </cols>
  <sheetData>
    <row r="1" spans="1:7" ht="15.6">
      <c r="A1" s="138" t="s">
        <v>92</v>
      </c>
      <c r="B1" s="138"/>
      <c r="C1" s="138"/>
      <c r="D1" s="138"/>
      <c r="E1" s="138"/>
      <c r="F1" s="138"/>
      <c r="G1" s="138"/>
    </row>
    <row r="2" spans="1:7" ht="15.6">
      <c r="A2" s="139"/>
      <c r="B2" s="139"/>
      <c r="C2" s="2"/>
      <c r="D2" s="2"/>
      <c r="E2" s="2"/>
      <c r="F2" t="s">
        <v>84</v>
      </c>
      <c r="G2" s="9">
        <f>'Form 1'!C9</f>
        <v>705</v>
      </c>
    </row>
    <row r="3" spans="1:7" ht="15.6">
      <c r="A3" s="82" t="s">
        <v>10</v>
      </c>
      <c r="B3" s="82" t="s">
        <v>11</v>
      </c>
      <c r="C3" s="82" t="s">
        <v>12</v>
      </c>
      <c r="D3" s="82" t="s">
        <v>93</v>
      </c>
      <c r="E3" s="82" t="s">
        <v>15</v>
      </c>
      <c r="F3" s="82"/>
      <c r="G3" s="82" t="s">
        <v>94</v>
      </c>
    </row>
    <row r="4" spans="1:7" ht="31.2">
      <c r="A4" s="82"/>
      <c r="B4" s="82"/>
      <c r="C4" s="82"/>
      <c r="D4" s="82"/>
      <c r="E4" s="28" t="s">
        <v>95</v>
      </c>
      <c r="F4" s="28" t="s">
        <v>96</v>
      </c>
      <c r="G4" s="82"/>
    </row>
    <row r="5" spans="1:7" ht="15.6">
      <c r="A5" s="82"/>
      <c r="B5" s="82"/>
      <c r="C5" s="82"/>
      <c r="D5" s="82"/>
      <c r="E5" s="29" t="s">
        <v>97</v>
      </c>
      <c r="F5" s="29" t="s">
        <v>98</v>
      </c>
      <c r="G5" s="82"/>
    </row>
    <row r="6" spans="1:7" ht="15.6">
      <c r="A6" s="21">
        <v>1</v>
      </c>
      <c r="B6" s="42" t="s">
        <v>164</v>
      </c>
      <c r="C6" s="3" t="s">
        <v>153</v>
      </c>
      <c r="D6" s="37">
        <v>15</v>
      </c>
      <c r="E6" s="21"/>
      <c r="F6" s="28"/>
      <c r="G6" s="21"/>
    </row>
    <row r="7" spans="1:7" ht="15.6">
      <c r="A7" s="21">
        <v>2</v>
      </c>
      <c r="B7" s="42" t="s">
        <v>166</v>
      </c>
      <c r="C7" s="3" t="s">
        <v>165</v>
      </c>
      <c r="D7" s="37">
        <v>15</v>
      </c>
      <c r="E7" s="21"/>
      <c r="F7" s="21"/>
      <c r="G7" s="21"/>
    </row>
    <row r="8" spans="1:7" ht="15.6">
      <c r="A8" s="21">
        <v>3</v>
      </c>
      <c r="B8" s="42" t="s">
        <v>159</v>
      </c>
      <c r="C8" s="3" t="s">
        <v>140</v>
      </c>
      <c r="D8" s="37">
        <v>10</v>
      </c>
      <c r="E8" s="21"/>
      <c r="F8" s="36"/>
      <c r="G8" s="21"/>
    </row>
    <row r="9" spans="1:7" ht="15.6">
      <c r="A9" s="21">
        <v>4</v>
      </c>
      <c r="B9" s="42" t="s">
        <v>167</v>
      </c>
      <c r="C9" s="3" t="s">
        <v>155</v>
      </c>
      <c r="D9" s="37">
        <v>5</v>
      </c>
      <c r="E9" s="21"/>
      <c r="F9" s="21"/>
      <c r="G9" s="21"/>
    </row>
    <row r="10" spans="1:7" ht="15.6">
      <c r="A10" s="21">
        <v>5</v>
      </c>
      <c r="B10" s="42" t="s">
        <v>167</v>
      </c>
      <c r="C10" s="3" t="s">
        <v>155</v>
      </c>
      <c r="D10" s="37">
        <v>4</v>
      </c>
      <c r="E10" s="21"/>
      <c r="F10" s="36"/>
      <c r="G10" s="21"/>
    </row>
    <row r="11" spans="1:7" ht="15.6">
      <c r="A11" s="21">
        <v>6</v>
      </c>
      <c r="B11" s="42" t="s">
        <v>167</v>
      </c>
      <c r="C11" s="3" t="s">
        <v>155</v>
      </c>
      <c r="D11" s="37">
        <v>3</v>
      </c>
      <c r="E11" s="21"/>
      <c r="F11" s="21"/>
      <c r="G11" s="21"/>
    </row>
    <row r="12" spans="1:7" ht="15.6">
      <c r="A12" s="91" t="s">
        <v>104</v>
      </c>
      <c r="B12" s="135"/>
      <c r="C12" s="135"/>
      <c r="D12" s="135"/>
      <c r="E12" s="135"/>
      <c r="F12" s="135"/>
      <c r="G12" s="92"/>
    </row>
    <row r="13" spans="1:7" ht="15.6">
      <c r="A13" s="21">
        <v>1</v>
      </c>
      <c r="B13" s="132" t="s">
        <v>105</v>
      </c>
      <c r="C13" s="133"/>
      <c r="D13" s="133"/>
      <c r="E13" s="133"/>
      <c r="F13" s="134"/>
      <c r="G13" s="3" t="s">
        <v>146</v>
      </c>
    </row>
    <row r="14" spans="1:7" ht="15.6">
      <c r="A14" s="21">
        <v>2</v>
      </c>
      <c r="B14" s="132" t="s">
        <v>106</v>
      </c>
      <c r="C14" s="133"/>
      <c r="D14" s="133"/>
      <c r="E14" s="133"/>
      <c r="F14" s="134"/>
      <c r="G14" s="3" t="s">
        <v>147</v>
      </c>
    </row>
    <row r="15" spans="1:7" ht="15.6">
      <c r="A15" s="21">
        <v>3</v>
      </c>
      <c r="B15" s="132" t="s">
        <v>107</v>
      </c>
      <c r="C15" s="133"/>
      <c r="D15" s="133"/>
      <c r="E15" s="133"/>
      <c r="F15" s="134"/>
      <c r="G15" s="3" t="s">
        <v>148</v>
      </c>
    </row>
    <row r="16" spans="1:7" ht="15.6">
      <c r="A16" s="21">
        <v>4</v>
      </c>
      <c r="B16" s="132" t="s">
        <v>108</v>
      </c>
      <c r="C16" s="133"/>
      <c r="D16" s="133"/>
      <c r="E16" s="133"/>
      <c r="F16" s="134"/>
      <c r="G16" s="3" t="s">
        <v>149</v>
      </c>
    </row>
    <row r="17" spans="1:12" ht="15.6">
      <c r="A17" s="22"/>
      <c r="B17" s="31"/>
      <c r="C17" s="31"/>
      <c r="D17" s="22"/>
      <c r="E17" s="22"/>
      <c r="F17" s="22"/>
      <c r="G17" s="22"/>
      <c r="L17" s="30"/>
    </row>
    <row r="18" spans="1:12" s="32" customFormat="1" ht="19.95" customHeight="1">
      <c r="A18" s="137" t="s">
        <v>99</v>
      </c>
      <c r="B18" s="137"/>
      <c r="C18" s="137"/>
      <c r="D18" s="137"/>
      <c r="E18" s="137"/>
      <c r="F18" s="137"/>
      <c r="G18" s="137"/>
      <c r="L18" s="30"/>
    </row>
    <row r="19" spans="1:12" ht="15.6">
      <c r="A19" s="32"/>
      <c r="B19" s="32"/>
      <c r="C19" s="32"/>
      <c r="D19" s="32"/>
      <c r="E19" s="32"/>
      <c r="F19" t="s">
        <v>84</v>
      </c>
      <c r="G19" s="9">
        <f>'Form 1'!C9</f>
        <v>705</v>
      </c>
      <c r="L19" s="30"/>
    </row>
    <row r="20" spans="1:12" ht="15.75" customHeight="1">
      <c r="A20" s="128" t="s">
        <v>10</v>
      </c>
      <c r="B20" s="128" t="s">
        <v>11</v>
      </c>
      <c r="C20" s="128" t="s">
        <v>12</v>
      </c>
      <c r="D20" s="128" t="s">
        <v>100</v>
      </c>
      <c r="E20" s="91" t="s">
        <v>15</v>
      </c>
      <c r="F20" s="92"/>
      <c r="G20" s="128" t="s">
        <v>101</v>
      </c>
      <c r="L20" s="30"/>
    </row>
    <row r="21" spans="1:12" ht="31.2">
      <c r="A21" s="136"/>
      <c r="B21" s="136"/>
      <c r="C21" s="136"/>
      <c r="D21" s="136"/>
      <c r="E21" s="28" t="s">
        <v>95</v>
      </c>
      <c r="F21" s="28" t="s">
        <v>96</v>
      </c>
      <c r="G21" s="136"/>
      <c r="L21" s="30"/>
    </row>
    <row r="22" spans="1:12" ht="15.6">
      <c r="A22" s="129"/>
      <c r="B22" s="129"/>
      <c r="C22" s="129"/>
      <c r="D22" s="129"/>
      <c r="E22" s="29" t="s">
        <v>97</v>
      </c>
      <c r="F22" s="29" t="s">
        <v>98</v>
      </c>
      <c r="G22" s="129"/>
      <c r="L22" s="30"/>
    </row>
    <row r="23" spans="1:12" ht="15.6">
      <c r="A23" s="21">
        <v>1</v>
      </c>
      <c r="B23" s="42" t="s">
        <v>163</v>
      </c>
      <c r="C23" s="3" t="s">
        <v>145</v>
      </c>
      <c r="D23" s="37">
        <v>15</v>
      </c>
      <c r="E23" s="21"/>
      <c r="F23" s="21"/>
      <c r="G23" s="21"/>
      <c r="L23" s="30"/>
    </row>
    <row r="24" spans="1:12" ht="15.6">
      <c r="A24" s="21">
        <v>2</v>
      </c>
      <c r="B24" s="42" t="s">
        <v>168</v>
      </c>
      <c r="C24" s="3" t="s">
        <v>156</v>
      </c>
      <c r="D24" s="37">
        <v>28</v>
      </c>
      <c r="E24" s="21"/>
      <c r="F24" s="21"/>
      <c r="G24" s="21"/>
      <c r="L24" s="30"/>
    </row>
    <row r="25" spans="1:12" ht="15.6">
      <c r="A25" s="21">
        <v>3</v>
      </c>
      <c r="B25" s="42" t="s">
        <v>163</v>
      </c>
      <c r="C25" s="3" t="s">
        <v>145</v>
      </c>
      <c r="D25" s="37">
        <v>30</v>
      </c>
      <c r="E25" s="21"/>
      <c r="F25" s="21"/>
      <c r="G25" s="21"/>
      <c r="L25" s="30"/>
    </row>
    <row r="26" spans="1:12" ht="15.6">
      <c r="A26" s="21">
        <v>4</v>
      </c>
      <c r="B26" s="42" t="s">
        <v>166</v>
      </c>
      <c r="C26" s="3" t="s">
        <v>154</v>
      </c>
      <c r="D26" s="37">
        <v>15</v>
      </c>
      <c r="E26" s="21"/>
      <c r="F26" s="21"/>
      <c r="G26" s="21"/>
      <c r="L26" s="30"/>
    </row>
    <row r="27" spans="1:12" ht="15.6">
      <c r="A27" s="21">
        <v>5</v>
      </c>
      <c r="B27" s="42" t="s">
        <v>163</v>
      </c>
      <c r="C27" s="3" t="s">
        <v>145</v>
      </c>
      <c r="D27" s="37">
        <v>10</v>
      </c>
      <c r="E27" s="21"/>
      <c r="F27" s="21"/>
      <c r="G27" s="21"/>
      <c r="L27" s="30"/>
    </row>
    <row r="28" spans="1:12" ht="15.6">
      <c r="A28" s="91" t="s">
        <v>104</v>
      </c>
      <c r="B28" s="135"/>
      <c r="C28" s="135"/>
      <c r="D28" s="135"/>
      <c r="E28" s="135"/>
      <c r="F28" s="135"/>
      <c r="G28" s="92"/>
    </row>
    <row r="29" spans="1:12" ht="15.6">
      <c r="A29" s="21">
        <v>1</v>
      </c>
      <c r="B29" s="132" t="s">
        <v>105</v>
      </c>
      <c r="C29" s="133"/>
      <c r="D29" s="133"/>
      <c r="E29" s="133"/>
      <c r="F29" s="134"/>
      <c r="G29" s="3" t="s">
        <v>150</v>
      </c>
    </row>
    <row r="30" spans="1:12" ht="15.6">
      <c r="A30" s="21">
        <v>2</v>
      </c>
      <c r="B30" s="132" t="s">
        <v>106</v>
      </c>
      <c r="C30" s="133"/>
      <c r="D30" s="133"/>
      <c r="E30" s="133"/>
      <c r="F30" s="134"/>
      <c r="G30" s="3" t="s">
        <v>151</v>
      </c>
    </row>
    <row r="31" spans="1:12" ht="15.6">
      <c r="A31" s="21">
        <v>3</v>
      </c>
      <c r="B31" s="132" t="s">
        <v>107</v>
      </c>
      <c r="C31" s="133"/>
      <c r="D31" s="133"/>
      <c r="E31" s="133"/>
      <c r="F31" s="134"/>
      <c r="G31" s="3" t="s">
        <v>148</v>
      </c>
    </row>
    <row r="32" spans="1:12" ht="15.6">
      <c r="A32" s="21">
        <v>4</v>
      </c>
      <c r="B32" s="132" t="s">
        <v>108</v>
      </c>
      <c r="C32" s="133"/>
      <c r="D32" s="133"/>
      <c r="E32" s="133"/>
      <c r="F32" s="134"/>
      <c r="G32" s="3" t="s">
        <v>152</v>
      </c>
    </row>
  </sheetData>
  <mergeCells count="25">
    <mergeCell ref="E20:F20"/>
    <mergeCell ref="A1:G1"/>
    <mergeCell ref="A2:B2"/>
    <mergeCell ref="A3:A5"/>
    <mergeCell ref="B3:B5"/>
    <mergeCell ref="C3:C5"/>
    <mergeCell ref="D3:D5"/>
    <mergeCell ref="E3:F3"/>
    <mergeCell ref="G3:G5"/>
    <mergeCell ref="B31:F31"/>
    <mergeCell ref="B32:F32"/>
    <mergeCell ref="A12:G12"/>
    <mergeCell ref="B13:F13"/>
    <mergeCell ref="A28:G28"/>
    <mergeCell ref="B29:F29"/>
    <mergeCell ref="B30:F30"/>
    <mergeCell ref="G20:G22"/>
    <mergeCell ref="A18:G18"/>
    <mergeCell ref="B14:F14"/>
    <mergeCell ref="B15:F15"/>
    <mergeCell ref="B16:F16"/>
    <mergeCell ref="A20:A22"/>
    <mergeCell ref="B20:B22"/>
    <mergeCell ref="C20:C22"/>
    <mergeCell ref="D20:D22"/>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2024-11-05T17:22:35Z</dcterms:modified>
</cp:coreProperties>
</file>