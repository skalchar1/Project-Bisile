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3" i="11"/>
  <c r="I24" i="11"/>
  <c r="I14" i="11"/>
  <c r="I2" i="11"/>
  <c r="C13" i="8"/>
  <c r="C12" i="8"/>
  <c r="C11" i="8"/>
  <c r="C10" i="8"/>
  <c r="C5" i="6" s="1"/>
  <c r="C9" i="8"/>
</calcChain>
</file>

<file path=xl/sharedStrings.xml><?xml version="1.0" encoding="utf-8"?>
<sst xmlns="http://schemas.openxmlformats.org/spreadsheetml/2006/main" count="411" uniqueCount="208">
  <si>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</si>
  <si>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</si>
  <si>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</si>
  <si>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</si>
  <si>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</si>
  <si>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</si>
  <si>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</si>
  <si>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</si>
  <si>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</si>
  <si>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</si>
  <si>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</si>
  <si>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</si>
  <si>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</si>
  <si>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</si>
  <si>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</si>
  <si>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</si>
  <si>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</si>
  <si>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</si>
  <si>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</si>
  <si>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</si>
  <si>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</si>
  <si>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</si>
  <si>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</si>
  <si>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</si>
  <si>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</si>
  <si>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</si>
  <si>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</si>
  <si>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</si>
  <si>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</si>
  <si>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</si>
  <si>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</si>
  <si>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</si>
  <si>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</si>
  <si>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</si>
  <si>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</si>
  <si>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</si>
  <si>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</si>
  <si>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</si>
  <si>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</si>
  <si>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</si>
  <si>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</si>
  <si>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</si>
  <si>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</si>
  <si>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</si>
  <si>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</si>
  <si>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</si>
  <si>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</si>
  <si>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</si>
  <si>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</si>
  <si>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</si>
  <si>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</si>
  <si>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</si>
  <si>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</si>
  <si>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</si>
  <si>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</si>
  <si>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</si>
  <si>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</si>
  <si>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</si>
  <si>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</si>
  <si>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</si>
  <si>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</si>
  <si>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</si>
  <si>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</si>
  <si>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</si>
  <si>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</si>
  <si>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</si>
  <si>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</si>
  <si>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</si>
  <si>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</si>
  <si>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</si>
  <si>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</si>
  <si>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</si>
  <si>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</si>
  <si>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</si>
  <si>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</si>
  <si>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</si>
  <si>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</si>
  <si>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</si>
  <si>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</si>
  <si>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</si>
  <si>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</si>
  <si>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</si>
  <si>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</si>
  <si>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</si>
  <si>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</si>
  <si>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</si>
  <si>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</si>
  <si>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</si>
  <si>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</si>
  <si>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</si>
  <si>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</si>
  <si>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</si>
  <si>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</si>
  <si>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</si>
  <si>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</si>
  <si>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</si>
  <si>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</si>
  <si>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</si>
  <si>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</si>
  <si>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</si>
  <si>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</si>
  <si>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</si>
  <si>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</si>
  <si>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</si>
  <si>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</si>
  <si>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</si>
  <si>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</si>
  <si>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</si>
  <si>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</si>
  <si>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</si>
  <si>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</si>
  <si>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</si>
  <si>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</si>
  <si>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</si>
  <si>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</si>
  <si>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</si>
  <si>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</si>
  <si>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 xml:space="preserve">Semi Evergreen Densed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Garuga pinnata</t>
    </r>
    <r>
      <rPr>
        <sz val="12"/>
        <color theme="1"/>
        <rFont val="Calibri"/>
        <family val="2"/>
        <scheme val="minor"/>
      </rPr>
      <t xml:space="preserve"> (Godda)</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</si>
  <si>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</si>
  <si>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</si>
  <si>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</si>
  <si>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</si>
  <si>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Latarite soil, Texture - Hard, Depth - 30cm, Permiability - Good.</t>
  </si>
  <si>
    <t>Mild Erosion</t>
  </si>
  <si>
    <t>Absent</t>
  </si>
  <si>
    <t xml:space="preserve">Scanty - Cynodon dactylon (Hambuhullu), </t>
  </si>
  <si>
    <t xml:space="preserve"> Scanty  Eupatorium</t>
  </si>
  <si>
    <t>Natural forest</t>
  </si>
  <si>
    <t>Elephant traces and dung</t>
  </si>
  <si>
    <t>Start from Nettana Timber Dipo to towards Sullya road to Ainakidu for  for 13.6 km N- 12.654927, E- 75.598083. Then left turn to Kiribag Rf for 9.6 kkm N-12.574863, E - 75.620846 (By jeep). Then walked towards right for 435 mtr to reached center of the plot.</t>
  </si>
  <si>
    <t>1. Track - Hilly</t>
  </si>
  <si>
    <t>2. Aspect - North East</t>
  </si>
  <si>
    <t>3.Canopy density - Closed forest and 90% canopy closed.</t>
  </si>
  <si>
    <r>
      <t xml:space="preserve">6. Weeds - Scanty  Eupatorium, </t>
    </r>
    <r>
      <rPr>
        <i/>
        <sz val="12"/>
        <color theme="1"/>
        <rFont val="Calibri"/>
        <family val="2"/>
        <scheme val="minor"/>
      </rPr>
      <t>Malastoma offine</t>
    </r>
  </si>
  <si>
    <t>7. Bamboo - Absent</t>
  </si>
  <si>
    <r>
      <t>10. Underwood species -</t>
    </r>
    <r>
      <rPr>
        <i/>
        <sz val="12"/>
        <color theme="1"/>
        <rFont val="Calibri"/>
        <family val="2"/>
        <scheme val="minor"/>
      </rPr>
      <t xml:space="preserve">  Xylea xylocarpa </t>
    </r>
    <r>
      <rPr>
        <sz val="12"/>
        <color theme="1"/>
        <rFont val="Calibri"/>
        <family val="2"/>
        <scheme val="minor"/>
      </rPr>
      <t xml:space="preserve">(Jambe), </t>
    </r>
    <r>
      <rPr>
        <i/>
        <sz val="12"/>
        <color theme="1"/>
        <rFont val="Calibri"/>
        <family val="2"/>
        <scheme val="minor"/>
      </rPr>
      <t xml:space="preserve">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</si>
  <si>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</si>
  <si>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Miristica malabarica (Rampatre),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</si>
  <si>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Closed forest forest, Canopy 90% closed</t>
  </si>
  <si>
    <t>Hilly</t>
  </si>
  <si>
    <t>Upto 16 - 40</t>
  </si>
  <si>
    <t>North East</t>
  </si>
  <si>
    <r>
      <t>Cinnamomum zalenicum</t>
    </r>
    <r>
      <rPr>
        <sz val="12"/>
        <color theme="1"/>
        <rFont val="Calibri"/>
        <family val="2"/>
        <scheme val="minor"/>
      </rPr>
      <t xml:space="preserve"> (Dalchinni)  - 20%, </t>
    </r>
    <r>
      <rPr>
        <i/>
        <sz val="12"/>
        <color theme="1"/>
        <rFont val="Calibri"/>
        <family val="2"/>
        <scheme val="minor"/>
      </rPr>
      <t xml:space="preserve"> Aparosa lindlyana </t>
    </r>
    <r>
      <rPr>
        <sz val="12"/>
        <color theme="1"/>
        <rFont val="Calibri"/>
        <family val="2"/>
        <scheme val="minor"/>
      </rPr>
      <t>(Salle) - 10%, Holigarna arnottiana (Chaar) - 20%.</t>
    </r>
  </si>
  <si>
    <t>Block /Village: Kollamogaru</t>
  </si>
  <si>
    <t>Kasarka</t>
  </si>
  <si>
    <t>Chaar</t>
  </si>
  <si>
    <t>Dalchinni</t>
  </si>
  <si>
    <t>Genasi</t>
  </si>
  <si>
    <t>Nerale</t>
  </si>
  <si>
    <t>Bannasampige</t>
  </si>
  <si>
    <t>DAlchinni</t>
  </si>
  <si>
    <t>Salle</t>
  </si>
  <si>
    <t>Marva</t>
  </si>
  <si>
    <t>Agasalle</t>
  </si>
  <si>
    <t>Kendala</t>
  </si>
  <si>
    <t>Kodlimurka</t>
  </si>
  <si>
    <t>Uppalige</t>
  </si>
  <si>
    <t>Honne</t>
  </si>
  <si>
    <t>Bogi</t>
  </si>
  <si>
    <t>Kaadlimbe</t>
  </si>
  <si>
    <t>Hebbalasu</t>
  </si>
  <si>
    <t>Malatus philipensis</t>
  </si>
  <si>
    <t>Karivala</t>
  </si>
  <si>
    <t>Holigarna arnottiana</t>
  </si>
  <si>
    <t>Cinnamomum zalenicum</t>
  </si>
  <si>
    <t>Syzygium cumini</t>
  </si>
  <si>
    <t>Knema attiunata</t>
  </si>
  <si>
    <t>Aparosa lindlyana</t>
  </si>
  <si>
    <t>Terminalea paniculata</t>
  </si>
  <si>
    <t>Olea dioca</t>
  </si>
  <si>
    <t>Macaranga peltata</t>
  </si>
  <si>
    <t>Pterocarpus marsupium</t>
  </si>
  <si>
    <t>Hopea parvifolea</t>
  </si>
  <si>
    <t>Artocarpus hirsutus</t>
  </si>
  <si>
    <t>Naringi crenulata</t>
  </si>
  <si>
    <t>Schleichera oleaosa</t>
  </si>
  <si>
    <t xml:space="preserve"> Dimocarpus longan</t>
  </si>
  <si>
    <t>Dolichandrone spsthacea</t>
  </si>
  <si>
    <t>Strychnos nux-vomica</t>
  </si>
  <si>
    <t>Diospyros edenum</t>
  </si>
  <si>
    <t>Nill</t>
  </si>
  <si>
    <t>Adcahri</t>
  </si>
  <si>
    <t>630 gm</t>
  </si>
  <si>
    <t>1.3 kg</t>
  </si>
  <si>
    <t>2.7 kg</t>
  </si>
  <si>
    <t>190 gm</t>
  </si>
  <si>
    <t>420 gm</t>
  </si>
  <si>
    <t>1.5 kg</t>
  </si>
  <si>
    <t>2.6 kg</t>
  </si>
  <si>
    <t>210 gm</t>
  </si>
  <si>
    <t>Kumsa</t>
  </si>
  <si>
    <t>Adchari</t>
  </si>
  <si>
    <t>Climber</t>
  </si>
  <si>
    <t>Maddarsa</t>
  </si>
  <si>
    <t>Jambe</t>
  </si>
  <si>
    <t>Vaatmadike</t>
  </si>
  <si>
    <t>Xylea xylocarpa</t>
  </si>
  <si>
    <t>Phycotrea dalzelli</t>
  </si>
  <si>
    <t>Tabernaentana montana</t>
  </si>
  <si>
    <t>Memecylon talbotianum</t>
  </si>
  <si>
    <t>Calycopteris floribunda</t>
  </si>
  <si>
    <t>Artocarpus marsupium</t>
  </si>
  <si>
    <t>Kilarmale RF</t>
  </si>
  <si>
    <t>XII-30</t>
  </si>
  <si>
    <t>12.537598°</t>
  </si>
  <si>
    <t xml:space="preserve"> 75.623107°</t>
  </si>
  <si>
    <t>Reserve forest</t>
  </si>
  <si>
    <t>199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</si>
</sst>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C13" sqref="C13"/>
    </sheetView>
  </sheetViews>
  <sheetFormatPr defaultColWidth="9.1796875" defaultRowHeight="15.5" x14ac:dyDescent="0.35"/>
  <cols>
    <col min="1" max="1" width="5" style="51" bestFit="1" customWidth="1"/>
    <col min="2" max="2" width="15.7265625" style="51" customWidth="1"/>
    <col min="3" max="3" width="55.6328125" style="51" customWidth="1"/>
    <col min="4" max="16384" width="9.1796875" style="51"/>
  </cols>
  <sheetData>
    <row r="1" spans="1:3" x14ac:dyDescent="0.35">
      <c r="A1" s="77" t="s">
        <v>21</v>
      </c>
      <c r="B1" s="77"/>
      <c r="C1" s="77"/>
    </row>
    <row r="2" spans="1:3" x14ac:dyDescent="0.35">
      <c r="A2" s="77" t="s">
        <v>22</v>
      </c>
      <c r="B2" s="77"/>
      <c r="C2" s="77"/>
    </row>
    <row r="3" spans="1:3" x14ac:dyDescent="0.35">
      <c r="A3" s="78" t="s">
        <v>102</v>
      </c>
      <c r="B3" s="78"/>
      <c r="C3" s="62" t="s">
        <v>109</v>
      </c>
    </row>
    <row r="4" spans="1:3" x14ac:dyDescent="0.35">
      <c r="A4" s="54"/>
    </row>
    <row r="5" spans="1:3" x14ac:dyDescent="0.35">
      <c r="A5" s="55" t="s">
        <v>23</v>
      </c>
      <c r="B5" s="57" t="s">
        <v>24</v>
      </c>
      <c r="C5" s="57" t="s">
        <v>25</v>
      </c>
    </row>
    <row r="6" spans="1:3" x14ac:dyDescent="0.35">
      <c r="A6" s="58">
        <v>1</v>
      </c>
      <c r="B6" s="59" t="s">
        <v>26</v>
      </c>
      <c r="C6" s="63" t="s">
        <v>116</v>
      </c>
    </row>
    <row r="7" spans="1:3" ht="31" x14ac:dyDescent="0.35">
      <c r="A7" s="58">
        <v>2</v>
      </c>
      <c r="B7" s="59" t="s">
        <v>27</v>
      </c>
      <c r="C7" s="63" t="s">
        <v>202</v>
      </c>
    </row>
    <row r="8" spans="1:3" x14ac:dyDescent="0.35">
      <c r="A8" s="58">
        <v>3</v>
      </c>
      <c r="B8" s="59" t="s">
        <v>28</v>
      </c>
      <c r="C8" s="63" t="s">
        <v>203</v>
      </c>
    </row>
    <row r="9" spans="1:3" x14ac:dyDescent="0.35">
      <c r="A9" s="58">
        <v>4</v>
      </c>
      <c r="B9" s="59" t="s">
        <v>29</v>
      </c>
      <c r="C9" s="45">
        <v>359</v>
      </c>
    </row>
    <row r="10" spans="1:3" ht="20.25" customHeight="1" x14ac:dyDescent="0.35">
      <c r="A10" s="58">
        <v>5</v>
      </c>
      <c r="B10" s="59" t="s">
        <v>30</v>
      </c>
      <c r="C10" s="64" t="s">
        <v>204</v>
      </c>
    </row>
    <row r="11" spans="1:3" ht="23.25" customHeight="1" x14ac:dyDescent="0.35">
      <c r="A11" s="58">
        <v>6</v>
      </c>
      <c r="B11" s="59" t="s">
        <v>31</v>
      </c>
      <c r="C11" s="64" t="s">
        <v>205</v>
      </c>
    </row>
    <row r="12" spans="1:3" ht="96" customHeight="1" x14ac:dyDescent="0.35">
      <c r="A12" s="58">
        <v>7</v>
      </c>
      <c r="B12" s="59" t="s">
        <v>32</v>
      </c>
      <c r="C12" s="45" t="s">
        <v>129</v>
      </c>
    </row>
    <row r="13" spans="1:3" ht="99.75" customHeight="1" x14ac:dyDescent="0.35">
      <c r="A13" s="58">
        <v>8</v>
      </c>
      <c r="B13" s="59" t="s">
        <v>33</v>
      </c>
      <c r="C13" s="65" t="s">
        <v>117</v>
      </c>
    </row>
    <row r="14" spans="1:3" ht="15.75" customHeight="1" x14ac:dyDescent="0.35">
      <c r="A14" s="70">
        <v>9</v>
      </c>
      <c r="B14" s="79" t="s">
        <v>34</v>
      </c>
      <c r="C14" s="65" t="s">
        <v>130</v>
      </c>
    </row>
    <row r="15" spans="1:3" x14ac:dyDescent="0.35">
      <c r="A15" s="71"/>
      <c r="B15" s="80"/>
      <c r="C15" s="65" t="s">
        <v>131</v>
      </c>
    </row>
    <row r="16" spans="1:3" x14ac:dyDescent="0.35">
      <c r="A16" s="71"/>
      <c r="B16" s="80"/>
      <c r="C16" s="65" t="s">
        <v>132</v>
      </c>
    </row>
    <row r="17" spans="1:3" x14ac:dyDescent="0.35">
      <c r="A17" s="71"/>
      <c r="B17" s="80"/>
      <c r="C17" s="65" t="s">
        <v>111</v>
      </c>
    </row>
    <row r="18" spans="1:3" x14ac:dyDescent="0.35">
      <c r="A18" s="71"/>
      <c r="B18" s="80"/>
      <c r="C18" s="67" t="s">
        <v>118</v>
      </c>
    </row>
    <row r="19" spans="1:3" x14ac:dyDescent="0.35">
      <c r="A19" s="71"/>
      <c r="B19" s="80"/>
      <c r="C19" s="65" t="s">
        <v>133</v>
      </c>
    </row>
    <row r="20" spans="1:3" x14ac:dyDescent="0.35">
      <c r="A20" s="71"/>
      <c r="B20" s="80"/>
      <c r="C20" s="65" t="s">
        <v>134</v>
      </c>
    </row>
    <row r="21" spans="1:3" ht="31" x14ac:dyDescent="0.35">
      <c r="A21" s="71"/>
      <c r="B21" s="80"/>
      <c r="C21" s="65" t="s">
        <v>119</v>
      </c>
    </row>
    <row r="22" spans="1:3" ht="31" x14ac:dyDescent="0.35">
      <c r="A22" s="71"/>
      <c r="B22" s="80"/>
      <c r="C22" s="65" t="s">
        <v>120</v>
      </c>
    </row>
    <row r="23" spans="1:3" ht="46.5" x14ac:dyDescent="0.35">
      <c r="A23" s="71"/>
      <c r="B23" s="80"/>
      <c r="C23" s="65" t="s">
        <v>135</v>
      </c>
    </row>
    <row r="24" spans="1:3" ht="50.25" customHeight="1" x14ac:dyDescent="0.35">
      <c r="A24" s="71"/>
      <c r="B24" s="80"/>
      <c r="C24" s="65" t="s">
        <v>121</v>
      </c>
    </row>
    <row r="25" spans="1:3" x14ac:dyDescent="0.35">
      <c r="A25" s="71"/>
      <c r="B25" s="80"/>
      <c r="C25" s="65" t="s">
        <v>136</v>
      </c>
    </row>
    <row r="26" spans="1:3" ht="46.5" x14ac:dyDescent="0.35">
      <c r="A26" s="71"/>
      <c r="B26" s="80"/>
      <c r="C26" s="65" t="s">
        <v>137</v>
      </c>
    </row>
    <row r="27" spans="1:3" ht="31" x14ac:dyDescent="0.35">
      <c r="A27" s="58">
        <v>10</v>
      </c>
      <c r="B27" s="59" t="s">
        <v>35</v>
      </c>
      <c r="C27" s="59" t="s">
        <v>112</v>
      </c>
    </row>
    <row r="28" spans="1:3" ht="46.5" x14ac:dyDescent="0.35">
      <c r="A28" s="58">
        <v>11</v>
      </c>
      <c r="B28" s="59" t="s">
        <v>36</v>
      </c>
      <c r="C28" s="59" t="s">
        <v>112</v>
      </c>
    </row>
    <row r="29" spans="1:3" ht="61.5" customHeight="1" x14ac:dyDescent="0.35">
      <c r="A29" s="54"/>
    </row>
    <row r="30" spans="1:3" ht="15.75" customHeight="1" x14ac:dyDescent="0.35">
      <c r="A30" s="54"/>
    </row>
    <row r="31" spans="1:3" x14ac:dyDescent="0.35">
      <c r="A31" s="54"/>
    </row>
    <row r="32" spans="1:3" x14ac:dyDescent="0.35">
      <c r="A32" s="69"/>
    </row>
    <row r="33" spans="1:1" x14ac:dyDescent="0.35">
      <c r="A33" s="66"/>
    </row>
    <row r="34" spans="1:1" x14ac:dyDescent="0.35">
      <c r="A34" s="66"/>
    </row>
    <row r="35" spans="1:1" x14ac:dyDescent="0.35">
      <c r="A35" s="66"/>
    </row>
    <row r="36" spans="1:1" x14ac:dyDescent="0.35">
      <c r="A36" s="66"/>
    </row>
    <row r="37" spans="1:1" x14ac:dyDescent="0.35">
      <c r="A37" s="66"/>
    </row>
    <row r="38" spans="1:1" x14ac:dyDescent="0.35">
      <c r="A38" s="66"/>
    </row>
    <row r="49" spans="1:1" x14ac:dyDescent="0.35">
      <c r="A49" s="66"/>
    </row>
    <row r="50" spans="1:1" ht="62.25" customHeight="1" x14ac:dyDescent="0.35">
      <c r="A50" s="66"/>
    </row>
    <row r="51" spans="1:1" x14ac:dyDescent="0.35">
      <c r="A51" s="66"/>
    </row>
    <row r="52" spans="1:1" x14ac:dyDescent="0.35">
      <c r="A52" s="66"/>
    </row>
    <row r="53" spans="1:1" x14ac:dyDescent="0.35">
      <c r="A53" s="66"/>
    </row>
    <row r="54" spans="1:1" x14ac:dyDescent="0.35">
      <c r="A54" s="66"/>
    </row>
    <row r="55" spans="1:1" x14ac:dyDescent="0.35">
      <c r="A55" s="66"/>
    </row>
    <row r="56" spans="1:1" x14ac:dyDescent="0.35">
      <c r="A56" s="66"/>
    </row>
    <row r="57" spans="1:1" x14ac:dyDescent="0.35">
      <c r="A57" s="66"/>
    </row>
    <row r="58" spans="1:1" x14ac:dyDescent="0.35">
      <c r="A58" s="69"/>
    </row>
    <row r="66" spans="1:1" x14ac:dyDescent="0.35">
      <c r="A66" s="66"/>
    </row>
    <row r="74" spans="1:1" x14ac:dyDescent="0.35">
      <c r="A74" s="54"/>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F14" sqref="F14"/>
    </sheetView>
  </sheetViews>
  <sheetFormatPr defaultColWidth="9.1796875" defaultRowHeight="15.5" x14ac:dyDescent="0.35"/>
  <cols>
    <col min="1" max="1" width="4.7265625" style="51" bestFit="1" customWidth="1"/>
    <col min="2" max="2" width="16.453125" style="51" customWidth="1"/>
    <col min="3" max="3" width="51.36328125" style="51" customWidth="1"/>
    <col min="4" max="16384" width="9.1796875" style="51"/>
  </cols>
  <sheetData>
    <row r="1" spans="1:3" x14ac:dyDescent="0.35">
      <c r="A1" s="77" t="s">
        <v>37</v>
      </c>
      <c r="B1" s="77"/>
      <c r="C1" s="77"/>
    </row>
    <row r="2" spans="1:3" x14ac:dyDescent="0.35">
      <c r="A2" s="77" t="s">
        <v>38</v>
      </c>
      <c r="B2" s="77"/>
      <c r="C2" s="77"/>
    </row>
    <row r="3" spans="1:3" x14ac:dyDescent="0.35">
      <c r="A3" s="52"/>
    </row>
    <row r="4" spans="1:3" ht="70.900000000000006" customHeight="1" x14ac:dyDescent="0.35">
      <c r="A4" s="81" t="s">
        <v>39</v>
      </c>
      <c r="B4" s="81"/>
      <c r="C4" s="81"/>
    </row>
    <row r="5" spans="1:3" x14ac:dyDescent="0.35">
      <c r="A5" s="78" t="s">
        <v>102</v>
      </c>
      <c r="B5" s="78"/>
      <c r="C5" s="53" t="str">
        <f>'Form 1'!C3</f>
        <v>Mangalore</v>
      </c>
    </row>
    <row r="6" spans="1:3" x14ac:dyDescent="0.35">
      <c r="A6" s="54"/>
    </row>
    <row r="7" spans="1:3" ht="31" x14ac:dyDescent="0.35">
      <c r="A7" s="55" t="s">
        <v>23</v>
      </c>
      <c r="B7" s="56" t="s">
        <v>25</v>
      </c>
      <c r="C7" s="57" t="s">
        <v>40</v>
      </c>
    </row>
    <row r="8" spans="1:3" x14ac:dyDescent="0.35">
      <c r="A8" s="58">
        <v>1</v>
      </c>
      <c r="B8" s="59" t="s">
        <v>26</v>
      </c>
      <c r="C8" s="4" t="s">
        <v>110</v>
      </c>
    </row>
    <row r="9" spans="1:3" ht="31" x14ac:dyDescent="0.35">
      <c r="A9" s="58">
        <v>2</v>
      </c>
      <c r="B9" s="59" t="s">
        <v>41</v>
      </c>
      <c r="C9" s="60" t="str">
        <f>'Form 1'!C7</f>
        <v>Kilarmale RF</v>
      </c>
    </row>
    <row r="10" spans="1:3" x14ac:dyDescent="0.35">
      <c r="A10" s="58">
        <v>3</v>
      </c>
      <c r="B10" s="59" t="s">
        <v>28</v>
      </c>
      <c r="C10" s="60" t="str">
        <f>'Form 1'!C8</f>
        <v>XII-30</v>
      </c>
    </row>
    <row r="11" spans="1:3" x14ac:dyDescent="0.35">
      <c r="A11" s="58">
        <v>4</v>
      </c>
      <c r="B11" s="59" t="s">
        <v>29</v>
      </c>
      <c r="C11" s="60">
        <f>'Form 1'!C9</f>
        <v>359</v>
      </c>
    </row>
    <row r="12" spans="1:3" x14ac:dyDescent="0.35">
      <c r="A12" s="58">
        <v>5</v>
      </c>
      <c r="B12" s="59" t="s">
        <v>42</v>
      </c>
      <c r="C12" s="60" t="str">
        <f>'Form 1'!C10</f>
        <v>12.537598°</v>
      </c>
    </row>
    <row r="13" spans="1:3" x14ac:dyDescent="0.35">
      <c r="A13" s="58">
        <v>6</v>
      </c>
      <c r="B13" s="59" t="s">
        <v>43</v>
      </c>
      <c r="C13" s="60" t="str">
        <f>'Form 1'!C11</f>
        <v xml:space="preserve"> 75.623107°</v>
      </c>
    </row>
    <row r="14" spans="1:3" x14ac:dyDescent="0.35">
      <c r="A14" s="58">
        <v>7</v>
      </c>
      <c r="B14" s="59" t="s">
        <v>44</v>
      </c>
      <c r="C14" s="60" t="s">
        <v>207</v>
      </c>
    </row>
    <row r="15" spans="1:3" x14ac:dyDescent="0.35">
      <c r="A15" s="58">
        <v>8</v>
      </c>
      <c r="B15" s="59" t="s">
        <v>45</v>
      </c>
      <c r="C15" s="60" t="s">
        <v>206</v>
      </c>
    </row>
    <row r="16" spans="1:3" x14ac:dyDescent="0.35">
      <c r="A16" s="58">
        <v>9</v>
      </c>
      <c r="B16" s="59" t="s">
        <v>46</v>
      </c>
      <c r="C16" s="60" t="s">
        <v>138</v>
      </c>
    </row>
    <row r="17" spans="1:3" ht="31" x14ac:dyDescent="0.35">
      <c r="A17" s="58">
        <v>10</v>
      </c>
      <c r="B17" s="59" t="s">
        <v>47</v>
      </c>
      <c r="C17" s="60" t="s">
        <v>139</v>
      </c>
    </row>
    <row r="18" spans="1:3" x14ac:dyDescent="0.35">
      <c r="A18" s="58">
        <v>11</v>
      </c>
      <c r="B18" s="59" t="s">
        <v>48</v>
      </c>
      <c r="C18" s="61" t="s">
        <v>140</v>
      </c>
    </row>
    <row r="19" spans="1:3" x14ac:dyDescent="0.35">
      <c r="A19" s="58">
        <v>12</v>
      </c>
      <c r="B19" s="59" t="s">
        <v>49</v>
      </c>
      <c r="C19" s="61" t="s">
        <v>141</v>
      </c>
    </row>
    <row r="20" spans="1:3" ht="31" x14ac:dyDescent="0.35">
      <c r="A20" s="58">
        <v>13</v>
      </c>
      <c r="B20" s="59" t="s">
        <v>50</v>
      </c>
      <c r="C20" s="61" t="s">
        <v>113</v>
      </c>
    </row>
    <row r="21" spans="1:3" ht="31" x14ac:dyDescent="0.35">
      <c r="A21" s="58">
        <v>14</v>
      </c>
      <c r="B21" s="59" t="s">
        <v>51</v>
      </c>
      <c r="C21" s="61" t="s">
        <v>122</v>
      </c>
    </row>
    <row r="22" spans="1:3" x14ac:dyDescent="0.35">
      <c r="A22" s="58">
        <v>15</v>
      </c>
      <c r="B22" s="59" t="s">
        <v>52</v>
      </c>
      <c r="C22" s="61" t="s">
        <v>123</v>
      </c>
    </row>
    <row r="23" spans="1:3" ht="45" customHeight="1" x14ac:dyDescent="0.35">
      <c r="A23" s="58">
        <v>16</v>
      </c>
      <c r="B23" s="59" t="s">
        <v>53</v>
      </c>
      <c r="C23" s="76" t="s">
        <v>142</v>
      </c>
    </row>
    <row r="24" spans="1:3" ht="31" x14ac:dyDescent="0.35">
      <c r="A24" s="58">
        <v>17</v>
      </c>
      <c r="B24" s="59" t="s">
        <v>54</v>
      </c>
      <c r="C24" s="61" t="s">
        <v>114</v>
      </c>
    </row>
    <row r="25" spans="1:3" ht="31" x14ac:dyDescent="0.35">
      <c r="A25" s="58">
        <v>18</v>
      </c>
      <c r="B25" s="59" t="s">
        <v>55</v>
      </c>
      <c r="C25" s="61" t="s">
        <v>112</v>
      </c>
    </row>
    <row r="26" spans="1:3" ht="31" x14ac:dyDescent="0.35">
      <c r="A26" s="58">
        <v>19</v>
      </c>
      <c r="B26" s="59" t="s">
        <v>56</v>
      </c>
      <c r="C26" s="61" t="s">
        <v>112</v>
      </c>
    </row>
    <row r="27" spans="1:3" ht="31" x14ac:dyDescent="0.35">
      <c r="A27" s="58">
        <v>20</v>
      </c>
      <c r="B27" s="59" t="s">
        <v>57</v>
      </c>
      <c r="C27" s="61" t="s">
        <v>124</v>
      </c>
    </row>
    <row r="28" spans="1:3" ht="31" x14ac:dyDescent="0.35">
      <c r="A28" s="58">
        <v>21</v>
      </c>
      <c r="B28" s="59" t="s">
        <v>58</v>
      </c>
      <c r="C28" s="61" t="s">
        <v>125</v>
      </c>
    </row>
    <row r="29" spans="1:3" ht="31" x14ac:dyDescent="0.35">
      <c r="A29" s="58">
        <v>22</v>
      </c>
      <c r="B29" s="59" t="s">
        <v>59</v>
      </c>
      <c r="C29" s="61" t="s">
        <v>126</v>
      </c>
    </row>
    <row r="30" spans="1:3" x14ac:dyDescent="0.35">
      <c r="A30" s="58">
        <v>23</v>
      </c>
      <c r="B30" s="59" t="s">
        <v>60</v>
      </c>
      <c r="C30" s="61" t="s">
        <v>127</v>
      </c>
    </row>
    <row r="31" spans="1:3" x14ac:dyDescent="0.35">
      <c r="A31" s="58">
        <v>24</v>
      </c>
      <c r="B31" s="59" t="s">
        <v>61</v>
      </c>
      <c r="C31" s="61" t="s">
        <v>112</v>
      </c>
    </row>
    <row r="32" spans="1:3" ht="31" x14ac:dyDescent="0.35">
      <c r="A32" s="58">
        <v>25</v>
      </c>
      <c r="B32" s="59" t="s">
        <v>62</v>
      </c>
      <c r="C32" s="61" t="s">
        <v>115</v>
      </c>
    </row>
    <row r="33" spans="1:3" ht="31" x14ac:dyDescent="0.35">
      <c r="A33" s="58">
        <v>26</v>
      </c>
      <c r="B33" s="59" t="s">
        <v>63</v>
      </c>
      <c r="C33" s="61" t="s">
        <v>112</v>
      </c>
    </row>
    <row r="34" spans="1:3" ht="31" x14ac:dyDescent="0.35">
      <c r="A34" s="58">
        <v>27</v>
      </c>
      <c r="B34" s="59" t="s">
        <v>64</v>
      </c>
      <c r="C34" s="61" t="s">
        <v>128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H17" sqref="H17:I17"/>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t="str">
        <f>'Form II'!C10</f>
        <v>XII-30</v>
      </c>
      <c r="D5" s="104"/>
      <c r="E5" s="110" t="s">
        <v>143</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199 m</v>
      </c>
      <c r="L6" s="115"/>
    </row>
    <row r="7" spans="1:12" ht="15.65" customHeight="1" thickBot="1" x14ac:dyDescent="0.4">
      <c r="A7" s="111" t="s">
        <v>7</v>
      </c>
      <c r="B7" s="112"/>
      <c r="C7" s="113" t="str">
        <f>'Form 1'!C10</f>
        <v>12.537598°</v>
      </c>
      <c r="D7" s="114"/>
      <c r="E7" s="16" t="s">
        <v>8</v>
      </c>
      <c r="F7" s="13"/>
      <c r="G7" s="113" t="str">
        <f>'Form 1'!C11</f>
        <v xml:space="preserve"> 75.623107°</v>
      </c>
      <c r="H7" s="113"/>
      <c r="I7" s="114"/>
      <c r="J7" s="16" t="s">
        <v>9</v>
      </c>
      <c r="K7" s="113">
        <f>'Form 1'!C9</f>
        <v>359</v>
      </c>
      <c r="L7" s="116"/>
    </row>
    <row r="8" spans="1:12" ht="15.65" customHeight="1" thickBot="1" x14ac:dyDescent="0.4">
      <c r="A8" s="1"/>
      <c r="B8" s="1"/>
      <c r="C8" s="5"/>
      <c r="D8" s="6"/>
      <c r="E8" s="2"/>
      <c r="F8" s="2"/>
      <c r="G8" s="2"/>
      <c r="H8" s="2"/>
      <c r="I8" s="2"/>
      <c r="J8" s="2"/>
      <c r="K8" s="2"/>
      <c r="L8" s="2"/>
    </row>
    <row r="9" spans="1:12" ht="18.649999999999999" customHeight="1" x14ac:dyDescent="0.35">
      <c r="A9" s="89" t="s">
        <v>10</v>
      </c>
      <c r="B9" s="95" t="s">
        <v>11</v>
      </c>
      <c r="C9" s="96"/>
      <c r="D9" s="91" t="s">
        <v>12</v>
      </c>
      <c r="E9" s="91" t="s">
        <v>13</v>
      </c>
      <c r="F9" s="17" t="s">
        <v>14</v>
      </c>
      <c r="G9" s="91" t="s">
        <v>20</v>
      </c>
      <c r="H9" s="84" t="s">
        <v>15</v>
      </c>
      <c r="I9" s="85"/>
      <c r="J9" s="85"/>
      <c r="K9" s="86"/>
      <c r="L9" s="117" t="s">
        <v>16</v>
      </c>
    </row>
    <row r="10" spans="1:12" ht="57" customHeight="1" x14ac:dyDescent="0.35">
      <c r="A10" s="90"/>
      <c r="B10" s="97"/>
      <c r="C10" s="98"/>
      <c r="D10" s="92"/>
      <c r="E10" s="92"/>
      <c r="F10" s="18" t="s">
        <v>17</v>
      </c>
      <c r="G10" s="92"/>
      <c r="H10" s="82" t="s">
        <v>18</v>
      </c>
      <c r="I10" s="83"/>
      <c r="J10" s="82" t="s">
        <v>19</v>
      </c>
      <c r="K10" s="83"/>
      <c r="L10" s="118"/>
    </row>
    <row r="11" spans="1:12" ht="15.65" customHeight="1" x14ac:dyDescent="0.35">
      <c r="A11" s="11">
        <v>1</v>
      </c>
      <c r="B11" s="87" t="s">
        <v>178</v>
      </c>
      <c r="C11" s="88"/>
      <c r="D11" s="3" t="s">
        <v>144</v>
      </c>
      <c r="E11" s="41">
        <v>119</v>
      </c>
      <c r="F11" s="41"/>
      <c r="G11" s="41">
        <v>16</v>
      </c>
      <c r="H11" s="93"/>
      <c r="I11" s="94"/>
      <c r="J11" s="123"/>
      <c r="K11" s="124"/>
      <c r="L11" s="12"/>
    </row>
    <row r="12" spans="1:12" ht="15.65" customHeight="1" x14ac:dyDescent="0.35">
      <c r="A12" s="11">
        <v>2</v>
      </c>
      <c r="B12" s="87" t="s">
        <v>163</v>
      </c>
      <c r="C12" s="88"/>
      <c r="D12" s="4" t="s">
        <v>145</v>
      </c>
      <c r="E12" s="41">
        <v>36</v>
      </c>
      <c r="F12" s="41"/>
      <c r="G12" s="41">
        <v>8</v>
      </c>
      <c r="H12" s="93"/>
      <c r="I12" s="94"/>
      <c r="J12" s="123"/>
      <c r="K12" s="124"/>
      <c r="L12" s="12"/>
    </row>
    <row r="13" spans="1:12" ht="15.65" customHeight="1" x14ac:dyDescent="0.35">
      <c r="A13" s="11">
        <v>3</v>
      </c>
      <c r="B13" s="87" t="s">
        <v>164</v>
      </c>
      <c r="C13" s="88"/>
      <c r="D13" s="3" t="s">
        <v>146</v>
      </c>
      <c r="E13" s="41">
        <v>47</v>
      </c>
      <c r="F13" s="41"/>
      <c r="G13" s="41">
        <v>10</v>
      </c>
      <c r="H13" s="93"/>
      <c r="I13" s="94"/>
      <c r="J13" s="123"/>
      <c r="K13" s="124"/>
      <c r="L13" s="12"/>
    </row>
    <row r="14" spans="1:12" ht="15.65" customHeight="1" x14ac:dyDescent="0.35">
      <c r="A14" s="11">
        <v>4</v>
      </c>
      <c r="B14" s="87" t="s">
        <v>177</v>
      </c>
      <c r="C14" s="88"/>
      <c r="D14" s="3" t="s">
        <v>147</v>
      </c>
      <c r="E14" s="41">
        <v>153</v>
      </c>
      <c r="F14" s="41"/>
      <c r="G14" s="41">
        <v>16</v>
      </c>
      <c r="H14" s="93"/>
      <c r="I14" s="94"/>
      <c r="J14" s="123"/>
      <c r="K14" s="124"/>
      <c r="L14" s="12"/>
    </row>
    <row r="15" spans="1:12" ht="15.65" customHeight="1" x14ac:dyDescent="0.35">
      <c r="A15" s="11">
        <v>5</v>
      </c>
      <c r="B15" s="87" t="s">
        <v>165</v>
      </c>
      <c r="C15" s="88"/>
      <c r="D15" s="7" t="s">
        <v>148</v>
      </c>
      <c r="E15" s="42">
        <v>99</v>
      </c>
      <c r="F15" s="41"/>
      <c r="G15" s="41">
        <v>13</v>
      </c>
      <c r="H15" s="93"/>
      <c r="I15" s="94"/>
      <c r="J15" s="123"/>
      <c r="K15" s="124"/>
      <c r="L15" s="12"/>
    </row>
    <row r="16" spans="1:12" ht="15.65" customHeight="1" x14ac:dyDescent="0.35">
      <c r="A16" s="11">
        <v>6</v>
      </c>
      <c r="B16" s="87" t="s">
        <v>166</v>
      </c>
      <c r="C16" s="88"/>
      <c r="D16" s="4" t="s">
        <v>149</v>
      </c>
      <c r="E16" s="41">
        <v>45</v>
      </c>
      <c r="F16" s="42"/>
      <c r="G16" s="42">
        <v>10</v>
      </c>
      <c r="H16" s="121"/>
      <c r="I16" s="122"/>
      <c r="J16" s="123"/>
      <c r="K16" s="124"/>
      <c r="L16" s="12"/>
    </row>
    <row r="17" spans="1:12" ht="15.65" customHeight="1" x14ac:dyDescent="0.35">
      <c r="A17" s="11">
        <v>7</v>
      </c>
      <c r="B17" s="87" t="s">
        <v>164</v>
      </c>
      <c r="C17" s="88"/>
      <c r="D17" s="7" t="s">
        <v>150</v>
      </c>
      <c r="E17" s="41">
        <v>60</v>
      </c>
      <c r="F17" s="42"/>
      <c r="G17" s="42">
        <v>10</v>
      </c>
      <c r="H17" s="121"/>
      <c r="I17" s="122"/>
      <c r="J17" s="123"/>
      <c r="K17" s="124"/>
      <c r="L17" s="12"/>
    </row>
    <row r="18" spans="1:12" ht="15.65" customHeight="1" x14ac:dyDescent="0.35">
      <c r="A18" s="11">
        <v>8</v>
      </c>
      <c r="B18" s="87" t="s">
        <v>164</v>
      </c>
      <c r="C18" s="88"/>
      <c r="D18" s="3" t="s">
        <v>146</v>
      </c>
      <c r="E18" s="41">
        <v>54</v>
      </c>
      <c r="F18" s="42"/>
      <c r="G18" s="42">
        <v>10</v>
      </c>
      <c r="H18" s="121"/>
      <c r="I18" s="122"/>
      <c r="J18" s="123"/>
      <c r="K18" s="124"/>
      <c r="L18" s="12"/>
    </row>
    <row r="19" spans="1:12" ht="15.5" x14ac:dyDescent="0.35">
      <c r="A19" s="11">
        <v>9</v>
      </c>
      <c r="B19" s="87" t="s">
        <v>164</v>
      </c>
      <c r="C19" s="88"/>
      <c r="D19" s="19" t="s">
        <v>146</v>
      </c>
      <c r="E19" s="41">
        <v>45</v>
      </c>
      <c r="F19" s="42"/>
      <c r="G19" s="42">
        <v>10</v>
      </c>
      <c r="H19" s="121"/>
      <c r="I19" s="122"/>
      <c r="J19" s="123"/>
      <c r="K19" s="124"/>
      <c r="L19" s="12"/>
    </row>
    <row r="20" spans="1:12" ht="15.65" customHeight="1" x14ac:dyDescent="0.35">
      <c r="A20" s="11">
        <v>10</v>
      </c>
      <c r="B20" s="87" t="s">
        <v>163</v>
      </c>
      <c r="C20" s="88"/>
      <c r="D20" s="4" t="s">
        <v>145</v>
      </c>
      <c r="E20" s="41">
        <v>36</v>
      </c>
      <c r="F20" s="42"/>
      <c r="G20" s="42">
        <v>7</v>
      </c>
      <c r="H20" s="121"/>
      <c r="I20" s="122"/>
      <c r="J20" s="123"/>
      <c r="K20" s="124"/>
      <c r="L20" s="12"/>
    </row>
    <row r="21" spans="1:12" ht="15.65" customHeight="1" x14ac:dyDescent="0.35">
      <c r="A21" s="11">
        <v>11</v>
      </c>
      <c r="B21" s="87" t="s">
        <v>166</v>
      </c>
      <c r="C21" s="88"/>
      <c r="D21" s="7" t="s">
        <v>149</v>
      </c>
      <c r="E21" s="41">
        <v>31</v>
      </c>
      <c r="F21" s="42"/>
      <c r="G21" s="42">
        <v>7</v>
      </c>
      <c r="H21" s="121"/>
      <c r="I21" s="122"/>
      <c r="J21" s="123"/>
      <c r="K21" s="124"/>
      <c r="L21" s="12"/>
    </row>
    <row r="22" spans="1:12" ht="15.65" customHeight="1" x14ac:dyDescent="0.35">
      <c r="A22" s="11">
        <v>12</v>
      </c>
      <c r="B22" s="87" t="s">
        <v>167</v>
      </c>
      <c r="C22" s="88"/>
      <c r="D22" s="7" t="s">
        <v>151</v>
      </c>
      <c r="E22" s="41">
        <v>57</v>
      </c>
      <c r="F22" s="42"/>
      <c r="G22" s="42">
        <v>8</v>
      </c>
      <c r="H22" s="121"/>
      <c r="I22" s="122"/>
      <c r="J22" s="123"/>
      <c r="K22" s="124"/>
      <c r="L22" s="12"/>
    </row>
    <row r="23" spans="1:12" ht="15.65" customHeight="1" x14ac:dyDescent="0.35">
      <c r="A23" s="11">
        <v>13</v>
      </c>
      <c r="B23" s="87" t="s">
        <v>168</v>
      </c>
      <c r="C23" s="88"/>
      <c r="D23" s="3" t="s">
        <v>152</v>
      </c>
      <c r="E23" s="41">
        <v>69</v>
      </c>
      <c r="F23" s="42"/>
      <c r="G23" s="42">
        <v>8</v>
      </c>
      <c r="H23" s="121"/>
      <c r="I23" s="122"/>
      <c r="J23" s="123"/>
      <c r="K23" s="124"/>
      <c r="L23" s="12"/>
    </row>
    <row r="24" spans="1:12" ht="15.65" customHeight="1" x14ac:dyDescent="0.35">
      <c r="A24" s="11">
        <v>14</v>
      </c>
      <c r="B24" s="87" t="s">
        <v>169</v>
      </c>
      <c r="C24" s="88"/>
      <c r="D24" s="3" t="s">
        <v>153</v>
      </c>
      <c r="E24" s="41">
        <v>35</v>
      </c>
      <c r="F24" s="42"/>
      <c r="G24" s="42">
        <v>7</v>
      </c>
      <c r="H24" s="121"/>
      <c r="I24" s="122"/>
      <c r="J24" s="123"/>
      <c r="K24" s="124"/>
      <c r="L24" s="12"/>
    </row>
    <row r="25" spans="1:12" ht="15.65" customHeight="1" x14ac:dyDescent="0.35">
      <c r="A25" s="11">
        <v>15</v>
      </c>
      <c r="B25" s="87" t="s">
        <v>176</v>
      </c>
      <c r="C25" s="88"/>
      <c r="D25" s="4" t="s">
        <v>154</v>
      </c>
      <c r="E25" s="41">
        <v>48</v>
      </c>
      <c r="F25" s="42"/>
      <c r="G25" s="42">
        <v>10</v>
      </c>
      <c r="H25" s="121"/>
      <c r="I25" s="122"/>
      <c r="J25" s="123"/>
      <c r="K25" s="124"/>
      <c r="L25" s="12"/>
    </row>
    <row r="26" spans="1:12" ht="15.65" customHeight="1" x14ac:dyDescent="0.35">
      <c r="A26" s="11">
        <v>16</v>
      </c>
      <c r="B26" s="87" t="s">
        <v>164</v>
      </c>
      <c r="C26" s="88"/>
      <c r="D26" s="4" t="s">
        <v>146</v>
      </c>
      <c r="E26" s="41">
        <v>79</v>
      </c>
      <c r="F26" s="42"/>
      <c r="G26" s="42">
        <v>15</v>
      </c>
      <c r="H26" s="121"/>
      <c r="I26" s="122"/>
      <c r="J26" s="123"/>
      <c r="K26" s="124"/>
      <c r="L26" s="12"/>
    </row>
    <row r="27" spans="1:12" ht="15.65" customHeight="1" x14ac:dyDescent="0.35">
      <c r="A27" s="11">
        <v>17</v>
      </c>
      <c r="B27" s="87" t="s">
        <v>164</v>
      </c>
      <c r="C27" s="88"/>
      <c r="D27" s="4" t="s">
        <v>146</v>
      </c>
      <c r="E27" s="41">
        <v>70</v>
      </c>
      <c r="F27" s="42"/>
      <c r="G27" s="42">
        <v>14</v>
      </c>
      <c r="H27" s="121"/>
      <c r="I27" s="122"/>
      <c r="J27" s="123"/>
      <c r="K27" s="124"/>
      <c r="L27" s="12"/>
    </row>
    <row r="28" spans="1:12" ht="15.65" customHeight="1" x14ac:dyDescent="0.35">
      <c r="A28" s="11">
        <v>18</v>
      </c>
      <c r="B28" s="87" t="s">
        <v>164</v>
      </c>
      <c r="C28" s="88"/>
      <c r="D28" s="3" t="s">
        <v>146</v>
      </c>
      <c r="E28" s="41">
        <v>53</v>
      </c>
      <c r="F28" s="42"/>
      <c r="G28" s="42">
        <v>10</v>
      </c>
      <c r="H28" s="121"/>
      <c r="I28" s="122"/>
      <c r="J28" s="123"/>
      <c r="K28" s="124"/>
      <c r="L28" s="12"/>
    </row>
    <row r="29" spans="1:12" ht="15.65" customHeight="1" x14ac:dyDescent="0.35">
      <c r="A29" s="11">
        <v>19</v>
      </c>
      <c r="B29" s="87" t="s">
        <v>175</v>
      </c>
      <c r="C29" s="88"/>
      <c r="D29" s="8" t="s">
        <v>155</v>
      </c>
      <c r="E29" s="41">
        <v>95</v>
      </c>
      <c r="F29" s="42"/>
      <c r="G29" s="42">
        <v>7</v>
      </c>
      <c r="H29" s="121"/>
      <c r="I29" s="122"/>
      <c r="J29" s="123"/>
      <c r="K29" s="124"/>
      <c r="L29" s="12"/>
    </row>
    <row r="30" spans="1:12" ht="15.65" customHeight="1" x14ac:dyDescent="0.35">
      <c r="A30" s="11">
        <v>20</v>
      </c>
      <c r="B30" s="87" t="s">
        <v>166</v>
      </c>
      <c r="C30" s="88"/>
      <c r="D30" s="7" t="s">
        <v>149</v>
      </c>
      <c r="E30" s="41">
        <v>40</v>
      </c>
      <c r="F30" s="42"/>
      <c r="G30" s="42">
        <v>8</v>
      </c>
      <c r="H30" s="121"/>
      <c r="I30" s="122"/>
      <c r="J30" s="123"/>
      <c r="K30" s="124"/>
      <c r="L30" s="12"/>
    </row>
    <row r="31" spans="1:12" ht="15.65" customHeight="1" x14ac:dyDescent="0.35">
      <c r="A31" s="11">
        <v>21</v>
      </c>
      <c r="B31" s="87" t="s">
        <v>164</v>
      </c>
      <c r="C31" s="88"/>
      <c r="D31" s="8" t="s">
        <v>146</v>
      </c>
      <c r="E31" s="41">
        <v>41</v>
      </c>
      <c r="F31" s="42"/>
      <c r="G31" s="42">
        <v>10</v>
      </c>
      <c r="H31" s="121"/>
      <c r="I31" s="122"/>
      <c r="J31" s="123"/>
      <c r="K31" s="124"/>
      <c r="L31" s="12"/>
    </row>
    <row r="32" spans="1:12" ht="15.65" customHeight="1" x14ac:dyDescent="0.35">
      <c r="A32" s="11">
        <v>22</v>
      </c>
      <c r="B32" s="87" t="s">
        <v>164</v>
      </c>
      <c r="C32" s="88"/>
      <c r="D32" s="8" t="s">
        <v>146</v>
      </c>
      <c r="E32" s="41">
        <v>45</v>
      </c>
      <c r="F32" s="42"/>
      <c r="G32" s="42">
        <v>10</v>
      </c>
      <c r="H32" s="121"/>
      <c r="I32" s="122"/>
      <c r="J32" s="123"/>
      <c r="K32" s="124"/>
      <c r="L32" s="12"/>
    </row>
    <row r="33" spans="1:12" ht="15.65" customHeight="1" x14ac:dyDescent="0.35">
      <c r="A33" s="11">
        <v>23</v>
      </c>
      <c r="B33" s="87" t="s">
        <v>170</v>
      </c>
      <c r="C33" s="88"/>
      <c r="D33" s="4" t="s">
        <v>156</v>
      </c>
      <c r="E33" s="41">
        <v>73</v>
      </c>
      <c r="F33" s="42"/>
      <c r="G33" s="42">
        <v>14</v>
      </c>
      <c r="H33" s="121"/>
      <c r="I33" s="122"/>
      <c r="J33" s="123"/>
      <c r="K33" s="124"/>
      <c r="L33" s="12"/>
    </row>
    <row r="34" spans="1:12" ht="15.65" customHeight="1" x14ac:dyDescent="0.35">
      <c r="A34" s="11">
        <v>24</v>
      </c>
      <c r="B34" s="87" t="s">
        <v>176</v>
      </c>
      <c r="C34" s="88"/>
      <c r="D34" s="4" t="s">
        <v>154</v>
      </c>
      <c r="E34" s="41">
        <v>63</v>
      </c>
      <c r="F34" s="42"/>
      <c r="G34" s="42">
        <v>8</v>
      </c>
      <c r="H34" s="121"/>
      <c r="I34" s="122"/>
      <c r="J34" s="123"/>
      <c r="K34" s="124"/>
      <c r="L34" s="12"/>
    </row>
    <row r="35" spans="1:12" ht="15.65" customHeight="1" x14ac:dyDescent="0.35">
      <c r="A35" s="11">
        <v>25</v>
      </c>
      <c r="B35" s="87" t="s">
        <v>164</v>
      </c>
      <c r="C35" s="88"/>
      <c r="D35" s="4" t="s">
        <v>146</v>
      </c>
      <c r="E35" s="41">
        <v>59</v>
      </c>
      <c r="F35" s="42"/>
      <c r="G35" s="42">
        <v>10</v>
      </c>
      <c r="H35" s="121"/>
      <c r="I35" s="122"/>
      <c r="J35" s="123"/>
      <c r="K35" s="124"/>
      <c r="L35" s="12"/>
    </row>
    <row r="36" spans="1:12" ht="15.65" customHeight="1" x14ac:dyDescent="0.35">
      <c r="A36" s="11">
        <v>26</v>
      </c>
      <c r="B36" s="87" t="s">
        <v>171</v>
      </c>
      <c r="C36" s="88"/>
      <c r="D36" s="4" t="s">
        <v>157</v>
      </c>
      <c r="E36" s="41">
        <v>157</v>
      </c>
      <c r="F36" s="42"/>
      <c r="G36" s="42">
        <v>14</v>
      </c>
      <c r="H36" s="121"/>
      <c r="I36" s="122"/>
      <c r="J36" s="123"/>
      <c r="K36" s="124"/>
      <c r="L36" s="12"/>
    </row>
    <row r="37" spans="1:12" ht="15.65" customHeight="1" x14ac:dyDescent="0.35">
      <c r="A37" s="11">
        <v>27</v>
      </c>
      <c r="B37" s="87" t="s">
        <v>175</v>
      </c>
      <c r="C37" s="88"/>
      <c r="D37" s="4" t="s">
        <v>155</v>
      </c>
      <c r="E37" s="41">
        <v>140</v>
      </c>
      <c r="F37" s="42"/>
      <c r="G37" s="42">
        <v>16</v>
      </c>
      <c r="H37" s="121"/>
      <c r="I37" s="122"/>
      <c r="J37" s="123"/>
      <c r="K37" s="124"/>
      <c r="L37" s="12"/>
    </row>
    <row r="38" spans="1:12" ht="15.65" customHeight="1" x14ac:dyDescent="0.35">
      <c r="A38" s="11">
        <v>28</v>
      </c>
      <c r="B38" s="87" t="s">
        <v>167</v>
      </c>
      <c r="C38" s="88"/>
      <c r="D38" s="4" t="s">
        <v>151</v>
      </c>
      <c r="E38" s="41">
        <v>60</v>
      </c>
      <c r="F38" s="42"/>
      <c r="G38" s="42">
        <v>10</v>
      </c>
      <c r="H38" s="121"/>
      <c r="I38" s="122"/>
      <c r="J38" s="123"/>
      <c r="K38" s="124"/>
      <c r="L38" s="12"/>
    </row>
    <row r="39" spans="1:12" ht="15.65" customHeight="1" x14ac:dyDescent="0.35">
      <c r="A39" s="11">
        <v>29</v>
      </c>
      <c r="B39" s="119" t="s">
        <v>172</v>
      </c>
      <c r="C39" s="120"/>
      <c r="D39" s="4" t="s">
        <v>158</v>
      </c>
      <c r="E39" s="41">
        <v>55</v>
      </c>
      <c r="F39" s="42"/>
      <c r="G39" s="42">
        <v>11</v>
      </c>
      <c r="H39" s="121"/>
      <c r="I39" s="122"/>
      <c r="J39" s="123"/>
      <c r="K39" s="124"/>
      <c r="L39" s="12"/>
    </row>
    <row r="40" spans="1:12" ht="15.65" customHeight="1" x14ac:dyDescent="0.35">
      <c r="A40" s="11">
        <v>30</v>
      </c>
      <c r="B40" s="119" t="s">
        <v>168</v>
      </c>
      <c r="C40" s="120"/>
      <c r="D40" s="4" t="s">
        <v>152</v>
      </c>
      <c r="E40" s="41">
        <v>265</v>
      </c>
      <c r="F40" s="42"/>
      <c r="G40" s="42">
        <v>18</v>
      </c>
      <c r="H40" s="121"/>
      <c r="I40" s="122"/>
      <c r="J40" s="123"/>
      <c r="K40" s="124"/>
      <c r="L40" s="12"/>
    </row>
    <row r="41" spans="1:12" ht="15.65" customHeight="1" x14ac:dyDescent="0.35">
      <c r="A41" s="11">
        <v>31</v>
      </c>
      <c r="B41" s="119" t="s">
        <v>163</v>
      </c>
      <c r="C41" s="120"/>
      <c r="D41" s="4" t="s">
        <v>145</v>
      </c>
      <c r="E41" s="41">
        <v>88</v>
      </c>
      <c r="F41" s="42"/>
      <c r="G41" s="42">
        <v>14</v>
      </c>
      <c r="H41" s="121"/>
      <c r="I41" s="122"/>
      <c r="J41" s="123"/>
      <c r="K41" s="124"/>
      <c r="L41" s="12"/>
    </row>
    <row r="42" spans="1:12" ht="15.65" customHeight="1" x14ac:dyDescent="0.35">
      <c r="A42" s="11">
        <v>32</v>
      </c>
      <c r="B42" s="119" t="s">
        <v>163</v>
      </c>
      <c r="C42" s="120"/>
      <c r="D42" s="4" t="s">
        <v>145</v>
      </c>
      <c r="E42" s="41">
        <v>126</v>
      </c>
      <c r="F42" s="42"/>
      <c r="G42" s="42">
        <v>17</v>
      </c>
      <c r="H42" s="47"/>
      <c r="I42" s="48"/>
      <c r="J42" s="49"/>
      <c r="K42" s="50"/>
      <c r="L42" s="12"/>
    </row>
    <row r="43" spans="1:12" ht="15.65" customHeight="1" x14ac:dyDescent="0.35">
      <c r="A43" s="11">
        <v>33</v>
      </c>
      <c r="B43" s="119" t="s">
        <v>172</v>
      </c>
      <c r="C43" s="120"/>
      <c r="D43" s="4" t="s">
        <v>158</v>
      </c>
      <c r="E43" s="41">
        <v>94</v>
      </c>
      <c r="F43" s="42"/>
      <c r="G43" s="42">
        <v>15</v>
      </c>
      <c r="H43" s="47"/>
      <c r="I43" s="48"/>
      <c r="J43" s="49"/>
      <c r="K43" s="50"/>
      <c r="L43" s="12"/>
    </row>
    <row r="44" spans="1:12" ht="15.65" customHeight="1" x14ac:dyDescent="0.35">
      <c r="A44" s="11">
        <v>34</v>
      </c>
      <c r="B44" s="119" t="s">
        <v>172</v>
      </c>
      <c r="C44" s="120"/>
      <c r="D44" s="4" t="s">
        <v>158</v>
      </c>
      <c r="E44" s="41">
        <v>86</v>
      </c>
      <c r="F44" s="42"/>
      <c r="G44" s="42">
        <v>10</v>
      </c>
      <c r="H44" s="47"/>
      <c r="I44" s="48"/>
      <c r="J44" s="49"/>
      <c r="K44" s="50"/>
      <c r="L44" s="12"/>
    </row>
    <row r="45" spans="1:12" ht="15.65" customHeight="1" x14ac:dyDescent="0.35">
      <c r="A45" s="11">
        <v>35</v>
      </c>
      <c r="B45" s="119" t="s">
        <v>174</v>
      </c>
      <c r="C45" s="120"/>
      <c r="D45" s="4" t="s">
        <v>159</v>
      </c>
      <c r="E45" s="41">
        <v>47</v>
      </c>
      <c r="F45" s="42"/>
      <c r="G45" s="42">
        <v>6</v>
      </c>
      <c r="H45" s="47"/>
      <c r="I45" s="48"/>
      <c r="J45" s="49"/>
      <c r="K45" s="50"/>
      <c r="L45" s="12"/>
    </row>
    <row r="46" spans="1:12" ht="15.65" customHeight="1" x14ac:dyDescent="0.35">
      <c r="A46" s="11">
        <v>36</v>
      </c>
      <c r="B46" s="119" t="s">
        <v>173</v>
      </c>
      <c r="C46" s="120"/>
      <c r="D46" s="4" t="s">
        <v>160</v>
      </c>
      <c r="E46" s="41">
        <v>204</v>
      </c>
      <c r="F46" s="42"/>
      <c r="G46" s="42">
        <v>20</v>
      </c>
      <c r="H46" s="47"/>
      <c r="I46" s="48"/>
      <c r="J46" s="49"/>
      <c r="K46" s="50"/>
      <c r="L46" s="12"/>
    </row>
    <row r="47" spans="1:12" ht="15.65" customHeight="1" x14ac:dyDescent="0.35">
      <c r="A47" s="11">
        <v>37</v>
      </c>
      <c r="B47" s="119" t="s">
        <v>171</v>
      </c>
      <c r="C47" s="120"/>
      <c r="D47" s="4" t="s">
        <v>157</v>
      </c>
      <c r="E47" s="41">
        <v>160</v>
      </c>
      <c r="F47" s="42"/>
      <c r="G47" s="42">
        <v>16</v>
      </c>
      <c r="H47" s="47"/>
      <c r="I47" s="48"/>
      <c r="J47" s="49"/>
      <c r="K47" s="50"/>
      <c r="L47" s="12"/>
    </row>
    <row r="48" spans="1:12" ht="15.65" customHeight="1" x14ac:dyDescent="0.35">
      <c r="A48" s="11">
        <v>38</v>
      </c>
      <c r="B48" s="119" t="s">
        <v>164</v>
      </c>
      <c r="C48" s="120"/>
      <c r="D48" s="4" t="s">
        <v>146</v>
      </c>
      <c r="E48" s="41">
        <v>69</v>
      </c>
      <c r="F48" s="42"/>
      <c r="G48" s="42">
        <v>14</v>
      </c>
      <c r="H48" s="47"/>
      <c r="I48" s="48"/>
      <c r="J48" s="49"/>
      <c r="K48" s="50"/>
      <c r="L48" s="12"/>
    </row>
    <row r="49" spans="1:12" ht="15.65" customHeight="1" x14ac:dyDescent="0.35">
      <c r="A49" s="11">
        <v>39</v>
      </c>
      <c r="B49" s="119" t="s">
        <v>166</v>
      </c>
      <c r="C49" s="120"/>
      <c r="D49" s="4" t="s">
        <v>149</v>
      </c>
      <c r="E49" s="41">
        <v>35</v>
      </c>
      <c r="F49" s="42"/>
      <c r="G49" s="42">
        <v>6</v>
      </c>
      <c r="H49" s="47"/>
      <c r="I49" s="48"/>
      <c r="J49" s="49"/>
      <c r="K49" s="50"/>
      <c r="L49" s="12"/>
    </row>
    <row r="50" spans="1:12" ht="15.65" customHeight="1" x14ac:dyDescent="0.35">
      <c r="A50" s="11">
        <v>40</v>
      </c>
      <c r="B50" s="119" t="s">
        <v>164</v>
      </c>
      <c r="C50" s="120"/>
      <c r="D50" s="4" t="s">
        <v>146</v>
      </c>
      <c r="E50" s="41">
        <v>82</v>
      </c>
      <c r="F50" s="42"/>
      <c r="G50" s="42">
        <v>12</v>
      </c>
      <c r="H50" s="47"/>
      <c r="I50" s="48"/>
      <c r="J50" s="49"/>
      <c r="K50" s="50"/>
      <c r="L50" s="12"/>
    </row>
    <row r="51" spans="1:12" ht="15.65" customHeight="1" x14ac:dyDescent="0.35">
      <c r="A51" s="11">
        <v>41</v>
      </c>
      <c r="B51" s="119" t="s">
        <v>161</v>
      </c>
      <c r="C51" s="120"/>
      <c r="D51" s="4"/>
      <c r="E51" s="41">
        <v>41</v>
      </c>
      <c r="F51" s="42"/>
      <c r="G51" s="42">
        <v>7</v>
      </c>
      <c r="H51" s="47"/>
      <c r="I51" s="48"/>
      <c r="J51" s="49"/>
      <c r="K51" s="50"/>
      <c r="L51" s="12"/>
    </row>
    <row r="52" spans="1:12" ht="15.65" customHeight="1" x14ac:dyDescent="0.35">
      <c r="A52" s="11">
        <v>42</v>
      </c>
      <c r="B52" s="119" t="s">
        <v>179</v>
      </c>
      <c r="C52" s="120"/>
      <c r="D52" s="4" t="s">
        <v>162</v>
      </c>
      <c r="E52" s="41">
        <v>102</v>
      </c>
      <c r="F52" s="42"/>
      <c r="G52" s="42">
        <v>16</v>
      </c>
      <c r="H52" s="74"/>
      <c r="I52" s="75"/>
      <c r="J52" s="72"/>
      <c r="K52" s="73"/>
      <c r="L52" s="12"/>
    </row>
    <row r="53" spans="1:12" ht="15.65" customHeight="1" x14ac:dyDescent="0.35">
      <c r="A53" s="11">
        <v>43</v>
      </c>
      <c r="B53" s="119" t="s">
        <v>164</v>
      </c>
      <c r="C53" s="120"/>
      <c r="D53" s="4" t="s">
        <v>146</v>
      </c>
      <c r="E53" s="41">
        <v>48</v>
      </c>
      <c r="F53" s="42"/>
      <c r="G53" s="42">
        <v>7</v>
      </c>
      <c r="H53" s="74"/>
      <c r="I53" s="75"/>
      <c r="J53" s="72"/>
      <c r="K53" s="73"/>
      <c r="L53" s="12"/>
    </row>
    <row r="54" spans="1:12" ht="15.65" customHeight="1" x14ac:dyDescent="0.35">
      <c r="A54" s="11">
        <v>44</v>
      </c>
      <c r="B54" s="119" t="s">
        <v>171</v>
      </c>
      <c r="C54" s="120"/>
      <c r="D54" s="4" t="s">
        <v>157</v>
      </c>
      <c r="E54" s="41">
        <v>162</v>
      </c>
      <c r="F54" s="42"/>
      <c r="G54" s="42">
        <v>17</v>
      </c>
      <c r="H54" s="74"/>
      <c r="I54" s="75"/>
      <c r="J54" s="72"/>
      <c r="K54" s="73"/>
      <c r="L54" s="12"/>
    </row>
    <row r="55" spans="1:12" ht="15.65" customHeight="1" x14ac:dyDescent="0.35">
      <c r="A55" s="11">
        <v>45</v>
      </c>
      <c r="B55" s="119" t="s">
        <v>167</v>
      </c>
      <c r="C55" s="120"/>
      <c r="D55" s="4" t="s">
        <v>151</v>
      </c>
      <c r="E55" s="41">
        <v>47</v>
      </c>
      <c r="F55" s="42"/>
      <c r="G55" s="42">
        <v>9</v>
      </c>
      <c r="H55" s="121"/>
      <c r="I55" s="122"/>
      <c r="J55" s="123"/>
      <c r="K55" s="124"/>
      <c r="L55" s="12"/>
    </row>
  </sheetData>
  <mergeCells count="1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H21:I21"/>
    <mergeCell ref="H22:I22"/>
    <mergeCell ref="H23:I23"/>
    <mergeCell ref="H24:I24"/>
    <mergeCell ref="H16:I16"/>
    <mergeCell ref="H17:I17"/>
    <mergeCell ref="H18:I18"/>
    <mergeCell ref="H19:I19"/>
    <mergeCell ref="H20:I20"/>
    <mergeCell ref="H55:I55"/>
    <mergeCell ref="H41:I41"/>
    <mergeCell ref="H36:I36"/>
    <mergeCell ref="H34:I34"/>
    <mergeCell ref="H35:I35"/>
    <mergeCell ref="H37:I37"/>
    <mergeCell ref="H38:I38"/>
    <mergeCell ref="H39:I39"/>
    <mergeCell ref="H40:I4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453125" customWidth="1"/>
    <col min="2" max="2" width="13.6328125" customWidth="1"/>
    <col min="3" max="3" width="10.453125" customWidth="1"/>
    <col min="4" max="4" width="7.726562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5" x14ac:dyDescent="0.35">
      <c r="A6" s="127"/>
      <c r="B6" s="127"/>
      <c r="C6" s="127"/>
      <c r="D6" s="127"/>
      <c r="E6" s="133" t="s">
        <v>72</v>
      </c>
      <c r="F6" s="134"/>
      <c r="G6" s="135"/>
      <c r="H6" s="133" t="s">
        <v>73</v>
      </c>
      <c r="I6" s="134"/>
      <c r="J6" s="135"/>
      <c r="K6" s="133" t="s">
        <v>74</v>
      </c>
      <c r="L6" s="134"/>
      <c r="M6" s="135"/>
      <c r="N6" s="127"/>
      <c r="O6" s="126" t="s">
        <v>75</v>
      </c>
      <c r="P6" s="126" t="s">
        <v>76</v>
      </c>
      <c r="Q6" s="127"/>
    </row>
    <row r="7" spans="1:17" ht="16" thickBot="1" x14ac:dyDescent="0.4">
      <c r="A7" s="127"/>
      <c r="B7" s="127"/>
      <c r="C7" s="129"/>
      <c r="D7" s="127"/>
      <c r="E7" s="139" t="s">
        <v>77</v>
      </c>
      <c r="F7" s="140"/>
      <c r="G7" s="141"/>
      <c r="H7" s="139" t="s">
        <v>78</v>
      </c>
      <c r="I7" s="140"/>
      <c r="J7" s="141"/>
      <c r="K7" s="139" t="s">
        <v>77</v>
      </c>
      <c r="L7" s="140"/>
      <c r="M7" s="141"/>
      <c r="N7" s="127"/>
      <c r="O7" s="127"/>
      <c r="P7" s="127"/>
      <c r="Q7" s="127"/>
    </row>
    <row r="8" spans="1:17" ht="16" thickBot="1" x14ac:dyDescent="0.4">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1.75" customHeight="1" x14ac:dyDescent="0.35">
      <c r="A9" s="68">
        <v>1</v>
      </c>
      <c r="B9" s="136" t="s">
        <v>180</v>
      </c>
      <c r="C9" s="137"/>
      <c r="D9" s="137"/>
      <c r="E9" s="137"/>
      <c r="F9" s="137"/>
      <c r="G9" s="137"/>
      <c r="H9" s="137"/>
      <c r="I9" s="137"/>
      <c r="J9" s="137"/>
      <c r="K9" s="137"/>
      <c r="L9" s="137"/>
      <c r="M9" s="137"/>
      <c r="N9" s="137"/>
      <c r="O9" s="137"/>
      <c r="P9" s="137"/>
      <c r="Q9" s="13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B28" sqref="B2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42"/>
      <c r="B2" s="142"/>
      <c r="H2" t="s">
        <v>83</v>
      </c>
      <c r="I2" s="10">
        <f>'Form 1'!C9</f>
        <v>359</v>
      </c>
    </row>
    <row r="3" spans="1:9" ht="24" customHeight="1" x14ac:dyDescent="0.35">
      <c r="A3" s="143" t="s">
        <v>10</v>
      </c>
      <c r="B3" s="143" t="s">
        <v>11</v>
      </c>
      <c r="C3" s="143" t="s">
        <v>12</v>
      </c>
      <c r="D3" s="143" t="s">
        <v>84</v>
      </c>
      <c r="E3" s="143" t="s">
        <v>108</v>
      </c>
      <c r="F3" s="143" t="s">
        <v>85</v>
      </c>
      <c r="G3" s="82" t="s">
        <v>15</v>
      </c>
      <c r="H3" s="83"/>
      <c r="I3" s="143" t="s">
        <v>86</v>
      </c>
    </row>
    <row r="4" spans="1:9" ht="60" x14ac:dyDescent="0.35">
      <c r="A4" s="144"/>
      <c r="B4" s="144"/>
      <c r="C4" s="144"/>
      <c r="D4" s="144"/>
      <c r="E4" s="144"/>
      <c r="F4" s="144"/>
      <c r="G4" s="20" t="s">
        <v>87</v>
      </c>
      <c r="H4" s="20" t="s">
        <v>19</v>
      </c>
      <c r="I4" s="144"/>
    </row>
    <row r="5" spans="1:9" ht="15.65" customHeight="1" x14ac:dyDescent="0.35">
      <c r="A5" s="23">
        <v>1</v>
      </c>
      <c r="B5" s="33" t="s">
        <v>178</v>
      </c>
      <c r="C5" s="4" t="s">
        <v>144</v>
      </c>
      <c r="D5" s="4"/>
      <c r="E5" s="4">
        <v>32.6</v>
      </c>
      <c r="F5" s="42">
        <v>2</v>
      </c>
      <c r="G5" s="23"/>
      <c r="H5" s="23"/>
      <c r="I5" s="23"/>
    </row>
    <row r="6" spans="1:9" ht="15.65" customHeight="1" x14ac:dyDescent="0.35">
      <c r="A6" s="23">
        <v>2</v>
      </c>
      <c r="B6" s="44" t="s">
        <v>167</v>
      </c>
      <c r="C6" s="4" t="s">
        <v>151</v>
      </c>
      <c r="D6" s="4"/>
      <c r="E6" s="4">
        <v>32.5</v>
      </c>
      <c r="F6" s="42">
        <v>2</v>
      </c>
      <c r="G6" s="23"/>
      <c r="H6" s="23"/>
      <c r="I6" s="23"/>
    </row>
    <row r="7" spans="1:9" ht="15.65" customHeight="1" x14ac:dyDescent="0.35">
      <c r="A7" s="23">
        <v>3</v>
      </c>
      <c r="B7" s="44" t="s">
        <v>167</v>
      </c>
      <c r="C7" s="4" t="s">
        <v>151</v>
      </c>
      <c r="D7" s="4"/>
      <c r="E7" s="4">
        <v>31.9</v>
      </c>
      <c r="F7" s="42">
        <v>2</v>
      </c>
      <c r="G7" s="23"/>
      <c r="H7" s="23"/>
      <c r="I7" s="23"/>
    </row>
    <row r="8" spans="1:9" ht="15.65" customHeight="1" x14ac:dyDescent="0.35">
      <c r="A8" s="23">
        <v>4</v>
      </c>
      <c r="B8" s="44" t="s">
        <v>164</v>
      </c>
      <c r="C8" s="4" t="s">
        <v>146</v>
      </c>
      <c r="D8" s="4"/>
      <c r="E8" s="4">
        <v>20.3</v>
      </c>
      <c r="F8" s="42">
        <v>1.5</v>
      </c>
      <c r="G8" s="23"/>
      <c r="H8" s="23"/>
      <c r="I8" s="23"/>
    </row>
    <row r="9" spans="1:9" ht="15.65" customHeight="1" x14ac:dyDescent="0.35">
      <c r="A9" s="23">
        <v>5</v>
      </c>
      <c r="B9" s="33" t="s">
        <v>179</v>
      </c>
      <c r="C9" s="4" t="s">
        <v>162</v>
      </c>
      <c r="D9" s="4"/>
      <c r="E9" s="4">
        <v>30.6</v>
      </c>
      <c r="F9" s="42">
        <v>3</v>
      </c>
      <c r="G9" s="23"/>
      <c r="H9" s="23"/>
      <c r="I9" s="23"/>
    </row>
    <row r="10" spans="1:9" ht="15.65" customHeight="1" x14ac:dyDescent="0.35">
      <c r="A10" s="23">
        <v>6</v>
      </c>
      <c r="B10" s="44" t="s">
        <v>167</v>
      </c>
      <c r="C10" s="4" t="s">
        <v>151</v>
      </c>
      <c r="D10" s="4"/>
      <c r="E10" s="4">
        <v>25.4</v>
      </c>
      <c r="F10" s="42">
        <v>2</v>
      </c>
      <c r="G10" s="23"/>
      <c r="H10" s="23"/>
      <c r="I10" s="23"/>
    </row>
    <row r="11" spans="1:9" ht="15.65" customHeight="1" x14ac:dyDescent="0.35">
      <c r="A11" s="23">
        <v>7</v>
      </c>
      <c r="B11" s="44" t="s">
        <v>199</v>
      </c>
      <c r="C11" s="4" t="s">
        <v>181</v>
      </c>
      <c r="D11" s="4"/>
      <c r="E11" s="4">
        <v>23.5</v>
      </c>
      <c r="F11" s="42">
        <v>2</v>
      </c>
      <c r="G11" s="23"/>
      <c r="H11" s="23"/>
      <c r="I11" s="23"/>
    </row>
    <row r="12" spans="1:9" ht="15.5" x14ac:dyDescent="0.35">
      <c r="A12" s="25"/>
      <c r="B12" s="26"/>
      <c r="C12" s="27"/>
      <c r="D12" s="28"/>
      <c r="E12" s="28"/>
      <c r="F12" s="28"/>
      <c r="G12" s="25"/>
      <c r="H12" s="25"/>
      <c r="I12" s="25"/>
    </row>
    <row r="13" spans="1:9" ht="21" x14ac:dyDescent="0.35">
      <c r="A13" s="125" t="s">
        <v>88</v>
      </c>
      <c r="B13" s="125"/>
      <c r="C13" s="125"/>
      <c r="D13" s="125"/>
      <c r="E13" s="125"/>
      <c r="F13" s="125"/>
      <c r="G13" s="125"/>
      <c r="H13" s="125"/>
      <c r="I13" s="125"/>
    </row>
    <row r="14" spans="1:9" ht="15.5" x14ac:dyDescent="0.35">
      <c r="A14" s="145"/>
      <c r="B14" s="145"/>
      <c r="H14" t="s">
        <v>83</v>
      </c>
      <c r="I14" s="10">
        <f>'Form 1'!C9</f>
        <v>359</v>
      </c>
    </row>
    <row r="15" spans="1:9" ht="15.75" customHeight="1" x14ac:dyDescent="0.35">
      <c r="A15" s="92" t="s">
        <v>10</v>
      </c>
      <c r="B15" s="92" t="s">
        <v>11</v>
      </c>
      <c r="C15" s="92" t="s">
        <v>12</v>
      </c>
      <c r="D15" s="92" t="s">
        <v>84</v>
      </c>
      <c r="E15" s="143" t="s">
        <v>108</v>
      </c>
      <c r="F15" s="92" t="s">
        <v>85</v>
      </c>
      <c r="G15" s="92" t="s">
        <v>15</v>
      </c>
      <c r="H15" s="92"/>
      <c r="I15" s="143" t="s">
        <v>86</v>
      </c>
    </row>
    <row r="16" spans="1:9" ht="60" x14ac:dyDescent="0.35">
      <c r="A16" s="92"/>
      <c r="B16" s="92"/>
      <c r="C16" s="92"/>
      <c r="D16" s="92"/>
      <c r="E16" s="144"/>
      <c r="F16" s="92"/>
      <c r="G16" s="20" t="s">
        <v>87</v>
      </c>
      <c r="H16" s="20" t="s">
        <v>19</v>
      </c>
      <c r="I16" s="144"/>
    </row>
    <row r="17" spans="1:9" ht="15.5" x14ac:dyDescent="0.35">
      <c r="A17" s="23">
        <v>1</v>
      </c>
      <c r="B17" s="24" t="s">
        <v>200</v>
      </c>
      <c r="C17" s="3" t="s">
        <v>190</v>
      </c>
      <c r="D17" s="41"/>
      <c r="E17" s="43">
        <v>35.6</v>
      </c>
      <c r="F17" s="41" t="s">
        <v>192</v>
      </c>
      <c r="G17" s="23"/>
      <c r="H17" s="23"/>
      <c r="I17" s="29"/>
    </row>
    <row r="18" spans="1:9" ht="15.5" x14ac:dyDescent="0.35">
      <c r="A18" s="23">
        <v>2</v>
      </c>
      <c r="B18" s="24" t="s">
        <v>199</v>
      </c>
      <c r="C18" s="3" t="s">
        <v>191</v>
      </c>
      <c r="D18" s="41"/>
      <c r="E18" s="43">
        <v>27.5</v>
      </c>
      <c r="F18" s="41">
        <v>2</v>
      </c>
      <c r="G18" s="23"/>
      <c r="H18" s="23"/>
      <c r="I18" s="29"/>
    </row>
    <row r="19" spans="1:9" ht="15.5" x14ac:dyDescent="0.35">
      <c r="A19" s="23">
        <v>3</v>
      </c>
      <c r="B19" s="24" t="s">
        <v>166</v>
      </c>
      <c r="C19" s="3" t="s">
        <v>149</v>
      </c>
      <c r="D19" s="41"/>
      <c r="E19" s="43">
        <v>31.5</v>
      </c>
      <c r="F19" s="41">
        <v>3</v>
      </c>
      <c r="G19" s="23"/>
      <c r="H19" s="23"/>
      <c r="I19" s="29"/>
    </row>
    <row r="20" spans="1:9" ht="15.5" x14ac:dyDescent="0.35">
      <c r="A20" s="23">
        <v>4</v>
      </c>
      <c r="B20" s="24" t="s">
        <v>167</v>
      </c>
      <c r="C20" s="3" t="s">
        <v>151</v>
      </c>
      <c r="D20" s="41"/>
      <c r="E20" s="43">
        <v>22.6</v>
      </c>
      <c r="F20" s="41">
        <v>2</v>
      </c>
      <c r="G20" s="23"/>
      <c r="H20" s="23"/>
      <c r="I20" s="29"/>
    </row>
    <row r="21" spans="1:9" ht="15.5" x14ac:dyDescent="0.35">
      <c r="A21" s="23">
        <v>5</v>
      </c>
      <c r="B21" s="24" t="s">
        <v>167</v>
      </c>
      <c r="C21" s="3" t="s">
        <v>151</v>
      </c>
      <c r="D21" s="41"/>
      <c r="E21" s="43">
        <v>36.700000000000003</v>
      </c>
      <c r="F21" s="41">
        <v>2</v>
      </c>
      <c r="G21" s="23"/>
      <c r="H21" s="23"/>
      <c r="I21" s="29"/>
    </row>
    <row r="23" spans="1:9" ht="21" x14ac:dyDescent="0.35">
      <c r="A23" s="125" t="s">
        <v>89</v>
      </c>
      <c r="B23" s="125"/>
      <c r="C23" s="125"/>
      <c r="D23" s="125"/>
      <c r="E23" s="125"/>
      <c r="F23" s="125"/>
      <c r="G23" s="125"/>
      <c r="H23" s="125"/>
      <c r="I23" s="125"/>
    </row>
    <row r="24" spans="1:9" ht="15.5" x14ac:dyDescent="0.35">
      <c r="A24" s="145"/>
      <c r="B24" s="145"/>
      <c r="H24" s="10" t="s">
        <v>83</v>
      </c>
      <c r="I24" s="10">
        <f>'Form 1'!C9</f>
        <v>359</v>
      </c>
    </row>
    <row r="25" spans="1:9" ht="15.75" customHeight="1" x14ac:dyDescent="0.35">
      <c r="A25" s="92" t="s">
        <v>10</v>
      </c>
      <c r="B25" s="92" t="s">
        <v>11</v>
      </c>
      <c r="C25" s="92" t="s">
        <v>12</v>
      </c>
      <c r="D25" s="92" t="s">
        <v>84</v>
      </c>
      <c r="E25" s="143" t="s">
        <v>108</v>
      </c>
      <c r="F25" s="92" t="s">
        <v>85</v>
      </c>
      <c r="G25" s="92" t="s">
        <v>15</v>
      </c>
      <c r="H25" s="92"/>
      <c r="I25" s="143" t="s">
        <v>86</v>
      </c>
    </row>
    <row r="26" spans="1:9" ht="60" x14ac:dyDescent="0.35">
      <c r="A26" s="92"/>
      <c r="B26" s="92"/>
      <c r="C26" s="92"/>
      <c r="D26" s="92"/>
      <c r="E26" s="144"/>
      <c r="F26" s="92"/>
      <c r="G26" s="20" t="s">
        <v>87</v>
      </c>
      <c r="H26" s="20" t="s">
        <v>19</v>
      </c>
      <c r="I26" s="144"/>
    </row>
    <row r="27" spans="1:9" ht="15.65" customHeight="1" x14ac:dyDescent="0.35">
      <c r="A27" s="23">
        <v>1</v>
      </c>
      <c r="B27" s="24" t="s">
        <v>201</v>
      </c>
      <c r="C27" s="3" t="s">
        <v>160</v>
      </c>
      <c r="D27" s="41"/>
      <c r="E27" s="3">
        <v>36.700000000000003</v>
      </c>
      <c r="F27" s="41">
        <v>2</v>
      </c>
      <c r="G27" s="23"/>
      <c r="H27" s="23"/>
      <c r="I27" s="23"/>
    </row>
    <row r="28" spans="1:9" ht="15.65" customHeight="1" x14ac:dyDescent="0.35">
      <c r="A28" s="23">
        <v>2</v>
      </c>
      <c r="B28" s="33" t="s">
        <v>198</v>
      </c>
      <c r="C28" s="3" t="s">
        <v>193</v>
      </c>
      <c r="D28" s="41"/>
      <c r="E28" s="3">
        <v>28.6</v>
      </c>
      <c r="F28" s="41">
        <v>1.5</v>
      </c>
      <c r="G28" s="23"/>
      <c r="H28" s="23"/>
      <c r="I28" s="23"/>
    </row>
    <row r="29" spans="1:9" ht="15.65" customHeight="1" x14ac:dyDescent="0.35">
      <c r="A29" s="23">
        <v>3</v>
      </c>
      <c r="B29" s="24" t="s">
        <v>167</v>
      </c>
      <c r="C29" s="3" t="s">
        <v>151</v>
      </c>
      <c r="D29" s="41"/>
      <c r="E29" s="3">
        <v>54.6</v>
      </c>
      <c r="F29" s="41">
        <v>5</v>
      </c>
      <c r="G29" s="23"/>
      <c r="H29" s="23"/>
      <c r="I29" s="23"/>
    </row>
    <row r="30" spans="1:9" ht="15.65" customHeight="1" x14ac:dyDescent="0.35">
      <c r="A30" s="23">
        <v>4</v>
      </c>
      <c r="B30" s="24" t="s">
        <v>167</v>
      </c>
      <c r="C30" s="3" t="s">
        <v>151</v>
      </c>
      <c r="D30" s="41"/>
      <c r="E30" s="3">
        <v>39.700000000000003</v>
      </c>
      <c r="F30" s="41">
        <v>2</v>
      </c>
      <c r="G30" s="23"/>
      <c r="H30" s="23"/>
      <c r="I30" s="23"/>
    </row>
    <row r="31" spans="1:9" ht="15.5" x14ac:dyDescent="0.35">
      <c r="D31" s="28"/>
      <c r="F31" s="30"/>
    </row>
    <row r="32" spans="1:9" ht="21" x14ac:dyDescent="0.35">
      <c r="A32" s="125" t="s">
        <v>90</v>
      </c>
      <c r="B32" s="125"/>
      <c r="C32" s="125"/>
      <c r="D32" s="125"/>
      <c r="E32" s="125"/>
      <c r="F32" s="125"/>
      <c r="G32" s="125"/>
      <c r="H32" s="125"/>
      <c r="I32" s="125"/>
    </row>
    <row r="33" spans="1:9" x14ac:dyDescent="0.35">
      <c r="A33" s="146"/>
      <c r="B33" s="146"/>
      <c r="H33" t="s">
        <v>83</v>
      </c>
      <c r="I33" s="10">
        <f>'Form 1'!C9</f>
        <v>359</v>
      </c>
    </row>
    <row r="34" spans="1:9" ht="15.75" customHeight="1" x14ac:dyDescent="0.35">
      <c r="A34" s="92" t="s">
        <v>10</v>
      </c>
      <c r="B34" s="92" t="s">
        <v>11</v>
      </c>
      <c r="C34" s="92" t="s">
        <v>12</v>
      </c>
      <c r="D34" s="92" t="s">
        <v>84</v>
      </c>
      <c r="E34" s="143" t="s">
        <v>108</v>
      </c>
      <c r="F34" s="92" t="s">
        <v>85</v>
      </c>
      <c r="G34" s="92" t="s">
        <v>15</v>
      </c>
      <c r="H34" s="92"/>
      <c r="I34" s="92" t="s">
        <v>86</v>
      </c>
    </row>
    <row r="35" spans="1:9" ht="60" x14ac:dyDescent="0.35">
      <c r="A35" s="92"/>
      <c r="B35" s="92"/>
      <c r="C35" s="92"/>
      <c r="D35" s="92"/>
      <c r="E35" s="144"/>
      <c r="F35" s="92"/>
      <c r="G35" s="39" t="s">
        <v>87</v>
      </c>
      <c r="H35" s="39" t="s">
        <v>19</v>
      </c>
      <c r="I35" s="92"/>
    </row>
    <row r="36" spans="1:9" ht="17.25" customHeight="1" x14ac:dyDescent="0.35">
      <c r="A36" s="23">
        <v>1</v>
      </c>
      <c r="B36" s="33" t="s">
        <v>164</v>
      </c>
      <c r="C36" s="3" t="s">
        <v>146</v>
      </c>
      <c r="D36" s="41"/>
      <c r="E36" s="3">
        <v>28.7</v>
      </c>
      <c r="F36" s="41">
        <v>2</v>
      </c>
      <c r="G36" s="23"/>
      <c r="H36" s="23"/>
      <c r="I36" s="23"/>
    </row>
    <row r="37" spans="1:9" ht="17.25" customHeight="1" x14ac:dyDescent="0.35">
      <c r="A37" s="23">
        <v>2</v>
      </c>
      <c r="B37" s="24" t="s">
        <v>167</v>
      </c>
      <c r="C37" s="3" t="s">
        <v>151</v>
      </c>
      <c r="D37" s="41"/>
      <c r="E37" s="3">
        <v>31.9</v>
      </c>
      <c r="F37" s="41">
        <v>2</v>
      </c>
      <c r="G37" s="23"/>
      <c r="H37" s="23"/>
      <c r="I37" s="23"/>
    </row>
    <row r="38" spans="1:9" ht="17.25" customHeight="1" x14ac:dyDescent="0.35">
      <c r="A38" s="23">
        <v>3</v>
      </c>
      <c r="B38" s="24" t="s">
        <v>167</v>
      </c>
      <c r="C38" s="3" t="s">
        <v>151</v>
      </c>
      <c r="D38" s="41"/>
      <c r="E38" s="3">
        <v>21.5</v>
      </c>
      <c r="F38" s="41">
        <v>1.5</v>
      </c>
      <c r="G38" s="23"/>
      <c r="H38" s="23"/>
      <c r="I38" s="23"/>
    </row>
    <row r="39" spans="1:9" ht="17.25" customHeight="1" x14ac:dyDescent="0.35">
      <c r="A39" s="23">
        <v>4</v>
      </c>
      <c r="B39" s="33" t="s">
        <v>198</v>
      </c>
      <c r="C39" s="3" t="s">
        <v>193</v>
      </c>
      <c r="D39" s="41"/>
      <c r="E39" s="3">
        <v>35.200000000000003</v>
      </c>
      <c r="F39" s="41">
        <v>2</v>
      </c>
      <c r="G39" s="23"/>
      <c r="H39" s="23"/>
      <c r="I39" s="23"/>
    </row>
  </sheetData>
  <mergeCells count="40">
    <mergeCell ref="A32:I32"/>
    <mergeCell ref="A33:B33"/>
    <mergeCell ref="A34:A35"/>
    <mergeCell ref="B34:B35"/>
    <mergeCell ref="C34:C35"/>
    <mergeCell ref="D34:D35"/>
    <mergeCell ref="E34:E35"/>
    <mergeCell ref="F34:F35"/>
    <mergeCell ref="G34:H34"/>
    <mergeCell ref="I34:I35"/>
    <mergeCell ref="A23:I23"/>
    <mergeCell ref="A24:B24"/>
    <mergeCell ref="A25:A26"/>
    <mergeCell ref="B25:B26"/>
    <mergeCell ref="C25:C26"/>
    <mergeCell ref="D25:D26"/>
    <mergeCell ref="E25:E26"/>
    <mergeCell ref="F25:F26"/>
    <mergeCell ref="G25:H25"/>
    <mergeCell ref="I25:I26"/>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workbookViewId="0">
      <selection activeCell="B6" sqref="B6"/>
    </sheetView>
  </sheetViews>
  <sheetFormatPr defaultRowHeight="14.5" x14ac:dyDescent="0.35"/>
  <cols>
    <col min="1" max="1" width="5.1796875" customWidth="1"/>
    <col min="2" max="2" width="26.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7" t="s">
        <v>91</v>
      </c>
      <c r="B1" s="147"/>
      <c r="C1" s="147"/>
      <c r="D1" s="147"/>
      <c r="E1" s="147"/>
      <c r="F1" s="147"/>
      <c r="G1" s="147"/>
    </row>
    <row r="2" spans="1:7" ht="15.5" x14ac:dyDescent="0.35">
      <c r="A2" s="148"/>
      <c r="B2" s="148"/>
      <c r="C2" s="2"/>
      <c r="D2" s="2"/>
      <c r="E2" s="2"/>
      <c r="F2" t="s">
        <v>83</v>
      </c>
      <c r="G2" s="10">
        <f>'Form 1'!C9</f>
        <v>359</v>
      </c>
    </row>
    <row r="3" spans="1:7" ht="15" x14ac:dyDescent="0.35">
      <c r="A3" s="92" t="s">
        <v>10</v>
      </c>
      <c r="B3" s="92" t="s">
        <v>11</v>
      </c>
      <c r="C3" s="92" t="s">
        <v>12</v>
      </c>
      <c r="D3" s="92" t="s">
        <v>92</v>
      </c>
      <c r="E3" s="92" t="s">
        <v>15</v>
      </c>
      <c r="F3" s="92"/>
      <c r="G3" s="92" t="s">
        <v>93</v>
      </c>
    </row>
    <row r="4" spans="1:7" ht="30" x14ac:dyDescent="0.35">
      <c r="A4" s="92"/>
      <c r="B4" s="92"/>
      <c r="C4" s="92"/>
      <c r="D4" s="92"/>
      <c r="E4" s="31" t="s">
        <v>94</v>
      </c>
      <c r="F4" s="31" t="s">
        <v>95</v>
      </c>
      <c r="G4" s="92"/>
    </row>
    <row r="5" spans="1:7" ht="15" x14ac:dyDescent="0.35">
      <c r="A5" s="92"/>
      <c r="B5" s="92"/>
      <c r="C5" s="92"/>
      <c r="D5" s="92"/>
      <c r="E5" s="32" t="s">
        <v>96</v>
      </c>
      <c r="F5" s="32" t="s">
        <v>97</v>
      </c>
      <c r="G5" s="92"/>
    </row>
    <row r="6" spans="1:7" ht="15.5" x14ac:dyDescent="0.35">
      <c r="A6" s="23">
        <v>1</v>
      </c>
      <c r="B6" s="33" t="s">
        <v>164</v>
      </c>
      <c r="C6" s="3" t="s">
        <v>146</v>
      </c>
      <c r="D6" s="41">
        <v>45</v>
      </c>
      <c r="E6" s="23"/>
      <c r="F6" s="31"/>
      <c r="G6" s="23"/>
    </row>
    <row r="7" spans="1:7" ht="15.5" x14ac:dyDescent="0.35">
      <c r="A7" s="23">
        <v>2</v>
      </c>
      <c r="B7" s="24" t="s">
        <v>196</v>
      </c>
      <c r="C7" s="3" t="s">
        <v>194</v>
      </c>
      <c r="D7" s="41">
        <v>36</v>
      </c>
      <c r="E7" s="23"/>
      <c r="F7" s="23"/>
      <c r="G7" s="23"/>
    </row>
    <row r="8" spans="1:7" ht="15.5" x14ac:dyDescent="0.35">
      <c r="A8" s="23">
        <v>3</v>
      </c>
      <c r="B8" s="33" t="s">
        <v>196</v>
      </c>
      <c r="C8" s="3" t="s">
        <v>194</v>
      </c>
      <c r="D8" s="41">
        <v>15</v>
      </c>
      <c r="E8" s="23"/>
      <c r="F8" s="40"/>
      <c r="G8" s="23"/>
    </row>
    <row r="9" spans="1:7" ht="15.5" x14ac:dyDescent="0.35">
      <c r="A9" s="23">
        <v>4</v>
      </c>
      <c r="B9" s="33" t="s">
        <v>197</v>
      </c>
      <c r="C9" s="3" t="s">
        <v>195</v>
      </c>
      <c r="D9" s="41">
        <v>35</v>
      </c>
      <c r="E9" s="23"/>
      <c r="F9" s="23"/>
      <c r="G9" s="23"/>
    </row>
    <row r="10" spans="1:7" ht="15.5" x14ac:dyDescent="0.35">
      <c r="A10" s="23">
        <v>5</v>
      </c>
      <c r="B10" s="33" t="s">
        <v>197</v>
      </c>
      <c r="C10" s="3" t="s">
        <v>195</v>
      </c>
      <c r="D10" s="41">
        <v>46</v>
      </c>
      <c r="E10" s="23"/>
      <c r="F10" s="40"/>
      <c r="G10" s="23"/>
    </row>
    <row r="11" spans="1:7" ht="15.5" x14ac:dyDescent="0.35">
      <c r="A11" s="23">
        <v>6</v>
      </c>
      <c r="B11" s="33" t="s">
        <v>197</v>
      </c>
      <c r="C11" s="3" t="s">
        <v>195</v>
      </c>
      <c r="D11" s="41">
        <v>30</v>
      </c>
      <c r="E11" s="23"/>
      <c r="F11" s="23"/>
      <c r="G11" s="23"/>
    </row>
    <row r="12" spans="1:7" ht="15.5" x14ac:dyDescent="0.35">
      <c r="A12" s="23">
        <v>7</v>
      </c>
      <c r="B12" s="33" t="s">
        <v>197</v>
      </c>
      <c r="C12" s="3" t="s">
        <v>195</v>
      </c>
      <c r="D12" s="41">
        <v>28</v>
      </c>
      <c r="E12" s="23"/>
      <c r="F12" s="40"/>
      <c r="G12" s="23"/>
    </row>
    <row r="13" spans="1:7" ht="15.5" x14ac:dyDescent="0.35">
      <c r="A13" s="23">
        <v>8</v>
      </c>
      <c r="B13" s="33" t="s">
        <v>197</v>
      </c>
      <c r="C13" s="3" t="s">
        <v>195</v>
      </c>
      <c r="D13" s="41">
        <v>15</v>
      </c>
      <c r="E13" s="23"/>
      <c r="F13" s="23"/>
      <c r="G13" s="23"/>
    </row>
    <row r="14" spans="1:7" ht="15.5" x14ac:dyDescent="0.35">
      <c r="A14" s="23">
        <v>9</v>
      </c>
      <c r="B14" s="33" t="s">
        <v>197</v>
      </c>
      <c r="C14" s="3" t="s">
        <v>195</v>
      </c>
      <c r="D14" s="41">
        <v>46</v>
      </c>
      <c r="E14" s="23"/>
      <c r="F14" s="40"/>
      <c r="G14" s="23"/>
    </row>
    <row r="15" spans="1:7" ht="15.5" x14ac:dyDescent="0.35">
      <c r="A15" s="23">
        <v>10</v>
      </c>
      <c r="B15" s="33" t="s">
        <v>197</v>
      </c>
      <c r="C15" s="3" t="s">
        <v>195</v>
      </c>
      <c r="D15" s="41">
        <v>52</v>
      </c>
      <c r="E15" s="23"/>
      <c r="F15" s="46"/>
      <c r="G15" s="23"/>
    </row>
    <row r="16" spans="1:7" ht="15.5" x14ac:dyDescent="0.35">
      <c r="A16" s="23">
        <v>11</v>
      </c>
      <c r="B16" s="33" t="s">
        <v>197</v>
      </c>
      <c r="C16" s="3" t="s">
        <v>195</v>
      </c>
      <c r="D16" s="41">
        <v>10</v>
      </c>
      <c r="E16" s="23"/>
      <c r="F16" s="46"/>
      <c r="G16" s="23"/>
    </row>
    <row r="17" spans="1:12" ht="15.5" x14ac:dyDescent="0.35">
      <c r="A17" s="23">
        <v>12</v>
      </c>
      <c r="B17" s="33" t="s">
        <v>197</v>
      </c>
      <c r="C17" s="3" t="s">
        <v>195</v>
      </c>
      <c r="D17" s="41">
        <v>8</v>
      </c>
      <c r="E17" s="23"/>
      <c r="F17" s="46"/>
      <c r="G17" s="23"/>
    </row>
    <row r="18" spans="1:12" ht="15" x14ac:dyDescent="0.35">
      <c r="A18" s="82" t="s">
        <v>103</v>
      </c>
      <c r="B18" s="152"/>
      <c r="C18" s="152"/>
      <c r="D18" s="152"/>
      <c r="E18" s="152"/>
      <c r="F18" s="152"/>
      <c r="G18" s="83"/>
    </row>
    <row r="19" spans="1:12" ht="15.5" x14ac:dyDescent="0.35">
      <c r="A19" s="23">
        <v>1</v>
      </c>
      <c r="B19" s="149" t="s">
        <v>104</v>
      </c>
      <c r="C19" s="150"/>
      <c r="D19" s="150"/>
      <c r="E19" s="150"/>
      <c r="F19" s="151"/>
      <c r="G19" s="3" t="s">
        <v>182</v>
      </c>
    </row>
    <row r="20" spans="1:12" ht="15.5" x14ac:dyDescent="0.35">
      <c r="A20" s="23">
        <v>2</v>
      </c>
      <c r="B20" s="149" t="s">
        <v>105</v>
      </c>
      <c r="C20" s="150"/>
      <c r="D20" s="150"/>
      <c r="E20" s="150"/>
      <c r="F20" s="151"/>
      <c r="G20" s="3" t="s">
        <v>183</v>
      </c>
    </row>
    <row r="21" spans="1:12" ht="15.5" x14ac:dyDescent="0.35">
      <c r="A21" s="23">
        <v>3</v>
      </c>
      <c r="B21" s="149" t="s">
        <v>106</v>
      </c>
      <c r="C21" s="150"/>
      <c r="D21" s="150"/>
      <c r="E21" s="150"/>
      <c r="F21" s="151"/>
      <c r="G21" s="3" t="s">
        <v>184</v>
      </c>
    </row>
    <row r="22" spans="1:12" ht="15.5" x14ac:dyDescent="0.35">
      <c r="A22" s="23">
        <v>4</v>
      </c>
      <c r="B22" s="149" t="s">
        <v>107</v>
      </c>
      <c r="C22" s="150"/>
      <c r="D22" s="150"/>
      <c r="E22" s="150"/>
      <c r="F22" s="151"/>
      <c r="G22" s="3" t="s">
        <v>185</v>
      </c>
    </row>
    <row r="23" spans="1:12" ht="15.5" x14ac:dyDescent="0.35">
      <c r="A23" s="25"/>
      <c r="B23" s="35"/>
      <c r="C23" s="35"/>
      <c r="D23" s="25"/>
      <c r="E23" s="25"/>
      <c r="F23" s="25"/>
      <c r="G23" s="25"/>
      <c r="L23" s="34"/>
    </row>
    <row r="24" spans="1:12" s="36" customFormat="1" ht="19.899999999999999" customHeight="1" x14ac:dyDescent="0.35">
      <c r="A24" s="154" t="s">
        <v>98</v>
      </c>
      <c r="B24" s="154"/>
      <c r="C24" s="154"/>
      <c r="D24" s="154"/>
      <c r="E24" s="154"/>
      <c r="F24" s="154"/>
      <c r="G24" s="154"/>
      <c r="L24" s="34"/>
    </row>
    <row r="25" spans="1:12" ht="15.5" x14ac:dyDescent="0.35">
      <c r="A25" s="36"/>
      <c r="B25" s="36"/>
      <c r="C25" s="36"/>
      <c r="D25" s="36"/>
      <c r="E25" s="36"/>
      <c r="F25" t="s">
        <v>83</v>
      </c>
      <c r="G25" s="10">
        <f>'Form 1'!C9</f>
        <v>359</v>
      </c>
      <c r="L25" s="34"/>
    </row>
    <row r="26" spans="1:12" ht="15.75" customHeight="1" x14ac:dyDescent="0.35">
      <c r="A26" s="143" t="s">
        <v>10</v>
      </c>
      <c r="B26" s="143" t="s">
        <v>11</v>
      </c>
      <c r="C26" s="143" t="s">
        <v>12</v>
      </c>
      <c r="D26" s="143" t="s">
        <v>99</v>
      </c>
      <c r="E26" s="82" t="s">
        <v>15</v>
      </c>
      <c r="F26" s="83"/>
      <c r="G26" s="143" t="s">
        <v>100</v>
      </c>
      <c r="L26" s="34"/>
    </row>
    <row r="27" spans="1:12" ht="30" x14ac:dyDescent="0.35">
      <c r="A27" s="153"/>
      <c r="B27" s="153"/>
      <c r="C27" s="153"/>
      <c r="D27" s="153"/>
      <c r="E27" s="31" t="s">
        <v>94</v>
      </c>
      <c r="F27" s="31" t="s">
        <v>95</v>
      </c>
      <c r="G27" s="153"/>
      <c r="L27" s="34"/>
    </row>
    <row r="28" spans="1:12" ht="15.5" x14ac:dyDescent="0.35">
      <c r="A28" s="144"/>
      <c r="B28" s="144"/>
      <c r="C28" s="144"/>
      <c r="D28" s="144"/>
      <c r="E28" s="32" t="s">
        <v>96</v>
      </c>
      <c r="F28" s="32" t="s">
        <v>97</v>
      </c>
      <c r="G28" s="144"/>
      <c r="L28" s="34"/>
    </row>
    <row r="29" spans="1:12" ht="15.5" x14ac:dyDescent="0.35">
      <c r="A29" s="23">
        <v>1</v>
      </c>
      <c r="B29" s="44" t="s">
        <v>172</v>
      </c>
      <c r="C29" s="3" t="s">
        <v>158</v>
      </c>
      <c r="D29" s="41">
        <v>71</v>
      </c>
      <c r="E29" s="23"/>
      <c r="F29" s="23"/>
      <c r="G29" s="23"/>
      <c r="L29" s="34"/>
    </row>
    <row r="30" spans="1:12" ht="15.5" x14ac:dyDescent="0.35">
      <c r="A30" s="23">
        <v>2</v>
      </c>
      <c r="B30" s="24" t="s">
        <v>199</v>
      </c>
      <c r="C30" s="3" t="s">
        <v>191</v>
      </c>
      <c r="D30" s="41">
        <v>15</v>
      </c>
      <c r="E30" s="23"/>
      <c r="F30" s="23"/>
      <c r="G30" s="23"/>
      <c r="L30" s="34"/>
    </row>
    <row r="31" spans="1:12" ht="15.5" x14ac:dyDescent="0.35">
      <c r="A31" s="23">
        <v>3</v>
      </c>
      <c r="B31" s="33" t="s">
        <v>199</v>
      </c>
      <c r="C31" s="3" t="s">
        <v>191</v>
      </c>
      <c r="D31" s="41">
        <v>34</v>
      </c>
      <c r="E31" s="23"/>
      <c r="F31" s="23"/>
      <c r="G31" s="23"/>
      <c r="L31" s="34"/>
    </row>
    <row r="32" spans="1:12" ht="15.5" x14ac:dyDescent="0.35">
      <c r="A32" s="23">
        <v>4</v>
      </c>
      <c r="B32" s="24" t="s">
        <v>196</v>
      </c>
      <c r="C32" s="3" t="s">
        <v>194</v>
      </c>
      <c r="D32" s="41">
        <v>28</v>
      </c>
      <c r="E32" s="23"/>
      <c r="F32" s="23"/>
      <c r="G32" s="23"/>
      <c r="L32" s="34"/>
    </row>
    <row r="33" spans="1:12" ht="15.5" x14ac:dyDescent="0.35">
      <c r="A33" s="23">
        <v>5</v>
      </c>
      <c r="B33" s="33" t="s">
        <v>167</v>
      </c>
      <c r="C33" s="3" t="s">
        <v>151</v>
      </c>
      <c r="D33" s="41">
        <v>15</v>
      </c>
      <c r="E33" s="23"/>
      <c r="F33" s="23"/>
      <c r="G33" s="23"/>
      <c r="L33" s="34"/>
    </row>
    <row r="34" spans="1:12" ht="15.5" x14ac:dyDescent="0.35">
      <c r="A34" s="23">
        <v>6</v>
      </c>
      <c r="B34" s="33" t="s">
        <v>197</v>
      </c>
      <c r="C34" s="3" t="s">
        <v>195</v>
      </c>
      <c r="D34" s="41">
        <v>30</v>
      </c>
      <c r="E34" s="23"/>
      <c r="F34" s="23"/>
      <c r="G34" s="23"/>
      <c r="L34" s="34"/>
    </row>
    <row r="35" spans="1:12" ht="15.5" x14ac:dyDescent="0.35">
      <c r="A35" s="23">
        <v>7</v>
      </c>
      <c r="B35" s="33" t="s">
        <v>197</v>
      </c>
      <c r="C35" s="3" t="s">
        <v>195</v>
      </c>
      <c r="D35" s="41">
        <v>21</v>
      </c>
      <c r="E35" s="23"/>
      <c r="F35" s="23"/>
      <c r="G35" s="23"/>
      <c r="L35" s="34"/>
    </row>
    <row r="36" spans="1:12" ht="15.5" x14ac:dyDescent="0.35">
      <c r="A36" s="23">
        <v>8</v>
      </c>
      <c r="B36" s="33" t="s">
        <v>197</v>
      </c>
      <c r="C36" s="3" t="s">
        <v>195</v>
      </c>
      <c r="D36" s="41">
        <v>15</v>
      </c>
      <c r="E36" s="23"/>
      <c r="F36" s="23"/>
      <c r="G36" s="23"/>
      <c r="L36" s="34"/>
    </row>
    <row r="37" spans="1:12" ht="15.5" x14ac:dyDescent="0.35">
      <c r="A37" s="23">
        <v>9</v>
      </c>
      <c r="B37" s="33" t="s">
        <v>197</v>
      </c>
      <c r="C37" s="3" t="s">
        <v>195</v>
      </c>
      <c r="D37" s="41">
        <v>40</v>
      </c>
      <c r="E37" s="23"/>
      <c r="F37" s="23"/>
      <c r="G37" s="23"/>
      <c r="L37" s="34"/>
    </row>
    <row r="38" spans="1:12" ht="15.5" x14ac:dyDescent="0.35">
      <c r="A38" s="23">
        <v>10</v>
      </c>
      <c r="B38" s="33" t="s">
        <v>197</v>
      </c>
      <c r="C38" s="3" t="s">
        <v>195</v>
      </c>
      <c r="D38" s="41">
        <v>7</v>
      </c>
      <c r="E38" s="23"/>
      <c r="F38" s="23"/>
      <c r="G38" s="23"/>
      <c r="L38" s="34"/>
    </row>
    <row r="39" spans="1:12" ht="15" x14ac:dyDescent="0.35">
      <c r="A39" s="82" t="s">
        <v>103</v>
      </c>
      <c r="B39" s="152"/>
      <c r="C39" s="152"/>
      <c r="D39" s="152"/>
      <c r="E39" s="152"/>
      <c r="F39" s="152"/>
      <c r="G39" s="83"/>
    </row>
    <row r="40" spans="1:12" ht="15.5" x14ac:dyDescent="0.35">
      <c r="A40" s="23">
        <v>1</v>
      </c>
      <c r="B40" s="149" t="s">
        <v>104</v>
      </c>
      <c r="C40" s="150"/>
      <c r="D40" s="150"/>
      <c r="E40" s="150"/>
      <c r="F40" s="151"/>
      <c r="G40" s="3" t="s">
        <v>186</v>
      </c>
    </row>
    <row r="41" spans="1:12" ht="15.5" x14ac:dyDescent="0.35">
      <c r="A41" s="23">
        <v>2</v>
      </c>
      <c r="B41" s="149" t="s">
        <v>105</v>
      </c>
      <c r="C41" s="150"/>
      <c r="D41" s="150"/>
      <c r="E41" s="150"/>
      <c r="F41" s="151"/>
      <c r="G41" s="3" t="s">
        <v>187</v>
      </c>
    </row>
    <row r="42" spans="1:12" ht="15.5" x14ac:dyDescent="0.35">
      <c r="A42" s="23">
        <v>3</v>
      </c>
      <c r="B42" s="149" t="s">
        <v>106</v>
      </c>
      <c r="C42" s="150"/>
      <c r="D42" s="150"/>
      <c r="E42" s="150"/>
      <c r="F42" s="151"/>
      <c r="G42" s="3" t="s">
        <v>188</v>
      </c>
    </row>
    <row r="43" spans="1:12" ht="15.5" x14ac:dyDescent="0.35">
      <c r="A43" s="23">
        <v>4</v>
      </c>
      <c r="B43" s="149" t="s">
        <v>107</v>
      </c>
      <c r="C43" s="150"/>
      <c r="D43" s="150"/>
      <c r="E43" s="150"/>
      <c r="F43" s="151"/>
      <c r="G43" s="3" t="s">
        <v>189</v>
      </c>
    </row>
  </sheetData>
  <mergeCells count="25">
    <mergeCell ref="B42:F42"/>
    <mergeCell ref="B43:F43"/>
    <mergeCell ref="A18:G18"/>
    <mergeCell ref="B19:F19"/>
    <mergeCell ref="A39:G39"/>
    <mergeCell ref="B40:F40"/>
    <mergeCell ref="B41:F41"/>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2024-10-28T01:56:44Z</dcterms:modified>
</cp:coreProperties>
</file>